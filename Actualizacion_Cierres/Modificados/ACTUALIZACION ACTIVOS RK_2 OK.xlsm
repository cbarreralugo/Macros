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Macros\Actualizacion_Cierres\Modificados\"/>
    </mc:Choice>
  </mc:AlternateContent>
  <xr:revisionPtr revIDLastSave="0" documentId="13_ncr:1_{DE1BA555-8783-4CFE-A05E-7CD59D703253}" xr6:coauthVersionLast="47" xr6:coauthVersionMax="47" xr10:uidLastSave="{00000000-0000-0000-0000-000000000000}"/>
  <bookViews>
    <workbookView xWindow="20850" yWindow="-13665" windowWidth="24240" windowHeight="13020" tabRatio="803" activeTab="6" xr2:uid="{00000000-000D-0000-FFFF-FFFF00000000}"/>
  </bookViews>
  <sheets>
    <sheet name="PENDIENTES" sheetId="3" r:id="rId1"/>
    <sheet name="FONT" sheetId="1" r:id="rId2"/>
    <sheet name="CONTRATOS RK" sheetId="2" r:id="rId3"/>
    <sheet name="CONTRATOS MANUALES RK" sheetId="14" r:id="rId4"/>
    <sheet name="Contratos" sheetId="11" state="hidden" r:id="rId5"/>
    <sheet name="CatalogoContratosManuales" sheetId="13" state="hidden" r:id="rId6"/>
    <sheet name="VALUACIÓN" sheetId="4" r:id="rId7"/>
    <sheet name="CONTRATOSMANUALESRK" sheetId="15" state="hidden" r:id="rId8"/>
    <sheet name="CatalogoContratos" sheetId="12" state="hidden" r:id="rId9"/>
    <sheet name="ListaContratos" sheetId="10" state="hidden" r:id="rId10"/>
    <sheet name="CatalogoConfiguracion" sheetId="8" state="hidden" r:id="rId11"/>
    <sheet name="Especial" sheetId="5" state="hidden" r:id="rId12"/>
    <sheet name="Retiro" sheetId="6" state="hidden" r:id="rId13"/>
    <sheet name="Comercial" sheetId="7" state="hidden" r:id="rId14"/>
  </sheets>
  <definedNames>
    <definedName name="_xlnm._FilterDatabase" localSheetId="10" hidden="1">CatalogoContratos!$B$1:$E$157</definedName>
    <definedName name="_xlnm._FilterDatabase" localSheetId="8" hidden="1">CatalogoContratos!$A$1:$E$162</definedName>
    <definedName name="_xlnm._FilterDatabase" localSheetId="13" hidden="1">Comercial!$A$1:$F$45</definedName>
    <definedName name="_xlnm._FilterDatabase" localSheetId="4" hidden="1">Contratos!$A$1:$H$183</definedName>
    <definedName name="_xlnm._FilterDatabase" localSheetId="11" hidden="1">Especial!$A$1:$F$51</definedName>
    <definedName name="_xlnm._FilterDatabase" localSheetId="1" hidden="1">FONT!$A$5:$S$2005</definedName>
    <definedName name="_xlnm._FilterDatabase" localSheetId="12" hidden="1">Retiro!$A$1:$F$5</definedName>
    <definedName name="_xlnm._FilterDatabase" localSheetId="6" hidden="1">VALUACIÓN!$Q$3:$V$66</definedName>
  </definedNames>
  <calcPr calcId="191029" iterateCount="1"/>
  <pivotCaches>
    <pivotCache cacheId="0" r:id="rId15"/>
    <pivotCache cacheId="1" r:id="rId1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0" i="2" l="1"/>
  <c r="K10" i="2"/>
  <c r="O9" i="2"/>
  <c r="K9" i="2"/>
  <c r="O8" i="2"/>
  <c r="K8" i="2"/>
  <c r="O7" i="2"/>
  <c r="K7" i="2"/>
  <c r="W48" i="2"/>
  <c r="W4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S25" i="2"/>
  <c r="S26" i="2"/>
  <c r="S27" i="2"/>
  <c r="S28" i="2"/>
  <c r="G39" i="2"/>
  <c r="G54" i="2"/>
  <c r="G16" i="2"/>
  <c r="G17" i="2"/>
  <c r="G18" i="2"/>
  <c r="G19" i="2"/>
  <c r="G20" i="2"/>
  <c r="W46" i="2" l="1"/>
  <c r="W45" i="2"/>
  <c r="W44" i="2"/>
  <c r="W43" i="2"/>
  <c r="W42" i="2"/>
  <c r="W41" i="2"/>
  <c r="W40" i="2"/>
  <c r="W39" i="2"/>
  <c r="W38" i="2"/>
  <c r="W37" i="2"/>
  <c r="W36" i="2"/>
  <c r="W35" i="2"/>
  <c r="W34" i="2"/>
  <c r="W33" i="2"/>
  <c r="W32" i="2"/>
  <c r="W31" i="2"/>
  <c r="W30" i="2"/>
  <c r="W29" i="2"/>
  <c r="W28" i="2"/>
  <c r="W27" i="2"/>
  <c r="W26" i="2"/>
  <c r="W25" i="2"/>
  <c r="W24" i="2"/>
  <c r="W23" i="2"/>
  <c r="W22" i="2"/>
  <c r="W21" i="2"/>
  <c r="W20" i="2"/>
  <c r="W19" i="2"/>
  <c r="W18" i="2"/>
  <c r="W17" i="2"/>
  <c r="W16" i="2"/>
  <c r="W15" i="2"/>
  <c r="W14" i="2"/>
  <c r="W13" i="2"/>
  <c r="W12" i="2"/>
  <c r="W11" i="2"/>
  <c r="W10" i="2"/>
  <c r="W9" i="2"/>
  <c r="W8" i="2"/>
  <c r="W7" i="2"/>
  <c r="G56" i="2"/>
  <c r="G55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15" i="2"/>
  <c r="G14" i="2"/>
  <c r="G13" i="2"/>
  <c r="G12" i="2"/>
  <c r="G11" i="2"/>
  <c r="G10" i="2"/>
  <c r="G9" i="2"/>
  <c r="G8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G7" i="2" l="1"/>
  <c r="C7" i="2"/>
  <c r="A2005" i="1"/>
  <c r="A2004" i="1"/>
  <c r="A2003" i="1"/>
  <c r="A2002" i="1"/>
  <c r="A2001" i="1"/>
  <c r="A2000" i="1"/>
  <c r="A1999" i="1"/>
  <c r="A1998" i="1"/>
  <c r="A1997" i="1"/>
  <c r="A1996" i="1"/>
  <c r="A1995" i="1"/>
  <c r="A1994" i="1"/>
  <c r="A1993" i="1"/>
  <c r="A1992" i="1"/>
  <c r="A1991" i="1"/>
  <c r="A1990" i="1"/>
  <c r="A1989" i="1"/>
  <c r="A1988" i="1"/>
  <c r="A1987" i="1"/>
  <c r="A1986" i="1"/>
  <c r="A1985" i="1"/>
  <c r="A1984" i="1"/>
  <c r="A1983" i="1"/>
  <c r="A1982" i="1"/>
  <c r="A1981" i="1"/>
  <c r="A1980" i="1"/>
  <c r="A1979" i="1"/>
  <c r="A1978" i="1"/>
  <c r="A1977" i="1"/>
  <c r="A1976" i="1"/>
  <c r="A1975" i="1"/>
  <c r="A1974" i="1"/>
  <c r="A1973" i="1"/>
  <c r="A1972" i="1"/>
  <c r="A1971" i="1"/>
  <c r="A1970" i="1"/>
  <c r="A1969" i="1"/>
  <c r="A1968" i="1"/>
  <c r="A1967" i="1"/>
  <c r="A1966" i="1"/>
  <c r="A1965" i="1"/>
  <c r="A1964" i="1"/>
  <c r="A1963" i="1"/>
  <c r="A1962" i="1"/>
  <c r="A1961" i="1"/>
  <c r="A1960" i="1"/>
  <c r="A1959" i="1"/>
  <c r="A1958" i="1"/>
  <c r="A1957" i="1"/>
  <c r="A1956" i="1"/>
  <c r="A1955" i="1"/>
  <c r="A1954" i="1"/>
  <c r="A1953" i="1"/>
  <c r="A1952" i="1"/>
  <c r="A1951" i="1"/>
  <c r="A1950" i="1"/>
  <c r="A1949" i="1"/>
  <c r="A1948" i="1"/>
  <c r="A1947" i="1"/>
  <c r="A1946" i="1"/>
  <c r="A1945" i="1"/>
  <c r="A1944" i="1"/>
  <c r="A1943" i="1"/>
  <c r="A1942" i="1"/>
  <c r="A1941" i="1"/>
  <c r="A1940" i="1"/>
  <c r="A1939" i="1"/>
  <c r="A1938" i="1"/>
  <c r="A1937" i="1"/>
  <c r="A1936" i="1"/>
  <c r="A1935" i="1"/>
  <c r="A1934" i="1"/>
  <c r="A1933" i="1"/>
  <c r="A1932" i="1"/>
  <c r="A1931" i="1"/>
  <c r="A1930" i="1"/>
  <c r="A1929" i="1"/>
  <c r="A1928" i="1"/>
  <c r="A1927" i="1"/>
  <c r="A1926" i="1"/>
  <c r="A1925" i="1"/>
  <c r="A1924" i="1"/>
  <c r="A1923" i="1"/>
  <c r="A1922" i="1"/>
  <c r="A1921" i="1"/>
  <c r="A1920" i="1"/>
  <c r="A1919" i="1"/>
  <c r="A1918" i="1"/>
  <c r="A1917" i="1"/>
  <c r="A1916" i="1"/>
  <c r="A1915" i="1"/>
  <c r="A1914" i="1"/>
  <c r="A1913" i="1"/>
  <c r="A1912" i="1"/>
  <c r="A1911" i="1"/>
  <c r="A1910" i="1"/>
  <c r="A1909" i="1"/>
  <c r="A1908" i="1"/>
  <c r="A1907" i="1"/>
  <c r="A1906" i="1"/>
  <c r="A1905" i="1"/>
  <c r="A1904" i="1"/>
  <c r="A1903" i="1"/>
  <c r="A1902" i="1"/>
  <c r="A1901" i="1"/>
  <c r="A1900" i="1"/>
  <c r="A1899" i="1"/>
  <c r="A1898" i="1"/>
  <c r="A1897" i="1"/>
  <c r="A1896" i="1"/>
  <c r="A1895" i="1"/>
  <c r="A1894" i="1"/>
  <c r="A1893" i="1"/>
  <c r="A1892" i="1"/>
  <c r="A1891" i="1"/>
  <c r="A1890" i="1"/>
  <c r="A1889" i="1"/>
  <c r="A1888" i="1"/>
  <c r="A1887" i="1"/>
  <c r="A1886" i="1"/>
  <c r="A1885" i="1"/>
  <c r="A1884" i="1"/>
  <c r="A1883" i="1"/>
  <c r="A1882" i="1"/>
  <c r="A1881" i="1"/>
  <c r="A1880" i="1"/>
  <c r="A1879" i="1"/>
  <c r="A1878" i="1"/>
  <c r="A1877" i="1"/>
  <c r="A1876" i="1"/>
  <c r="A1875" i="1"/>
  <c r="A1874" i="1"/>
  <c r="A1873" i="1"/>
  <c r="A1872" i="1"/>
  <c r="A1871" i="1"/>
  <c r="A1870" i="1"/>
  <c r="A1869" i="1"/>
  <c r="A1868" i="1"/>
  <c r="A1867" i="1"/>
  <c r="A1866" i="1"/>
  <c r="A1865" i="1"/>
  <c r="A1864" i="1"/>
  <c r="A1863" i="1"/>
  <c r="A1862" i="1"/>
  <c r="A1861" i="1"/>
  <c r="A1860" i="1"/>
  <c r="A1859" i="1"/>
  <c r="A1858" i="1"/>
  <c r="A1857" i="1"/>
  <c r="A1856" i="1"/>
  <c r="A1855" i="1"/>
  <c r="A1854" i="1"/>
  <c r="A1853" i="1"/>
  <c r="A1852" i="1"/>
  <c r="A1851" i="1"/>
  <c r="A1850" i="1"/>
  <c r="A1849" i="1"/>
  <c r="A1848" i="1"/>
  <c r="A1847" i="1"/>
  <c r="A1846" i="1"/>
  <c r="A1845" i="1"/>
  <c r="A1844" i="1"/>
  <c r="A1843" i="1"/>
  <c r="A1842" i="1"/>
  <c r="A1841" i="1"/>
  <c r="A1840" i="1"/>
  <c r="A1839" i="1"/>
  <c r="A1838" i="1"/>
  <c r="A1837" i="1"/>
  <c r="A1836" i="1"/>
  <c r="A1835" i="1"/>
  <c r="A1834" i="1"/>
  <c r="A1833" i="1"/>
  <c r="A1832" i="1"/>
  <c r="A1831" i="1"/>
  <c r="A1830" i="1"/>
  <c r="A1829" i="1"/>
  <c r="A1828" i="1"/>
  <c r="A1827" i="1"/>
  <c r="A1826" i="1"/>
  <c r="A1825" i="1"/>
  <c r="A1824" i="1"/>
  <c r="A1823" i="1"/>
  <c r="A1822" i="1"/>
  <c r="A1821" i="1"/>
  <c r="A1820" i="1"/>
  <c r="A1819" i="1"/>
  <c r="A1818" i="1"/>
  <c r="A1817" i="1"/>
  <c r="A1816" i="1"/>
  <c r="A1815" i="1"/>
  <c r="A1814" i="1"/>
  <c r="A1813" i="1"/>
  <c r="A1812" i="1"/>
  <c r="A1811" i="1"/>
  <c r="A1810" i="1"/>
  <c r="A1809" i="1"/>
  <c r="A1808" i="1"/>
  <c r="A1807" i="1"/>
  <c r="A1806" i="1"/>
  <c r="A1805" i="1"/>
  <c r="A1804" i="1"/>
  <c r="A1803" i="1"/>
  <c r="A1802" i="1"/>
  <c r="A1801" i="1"/>
  <c r="A1800" i="1"/>
  <c r="A1799" i="1"/>
  <c r="A1798" i="1"/>
  <c r="A1797" i="1"/>
  <c r="A1796" i="1"/>
  <c r="A1795" i="1"/>
  <c r="A1794" i="1"/>
  <c r="A1793" i="1"/>
  <c r="A1792" i="1"/>
  <c r="A1791" i="1"/>
  <c r="A1790" i="1"/>
  <c r="A1789" i="1"/>
  <c r="A1788" i="1"/>
  <c r="A1787" i="1"/>
  <c r="A1786" i="1"/>
  <c r="A1785" i="1"/>
  <c r="A1784" i="1"/>
  <c r="A1783" i="1"/>
  <c r="A1782" i="1"/>
  <c r="A1781" i="1"/>
  <c r="A1780" i="1"/>
  <c r="A1779" i="1"/>
  <c r="A1778" i="1"/>
  <c r="A1777" i="1"/>
  <c r="A1776" i="1"/>
  <c r="A1775" i="1"/>
  <c r="A1774" i="1"/>
  <c r="A1773" i="1"/>
  <c r="A1772" i="1"/>
  <c r="A1771" i="1"/>
  <c r="A1770" i="1"/>
  <c r="A1769" i="1"/>
  <c r="A1768" i="1"/>
  <c r="A1767" i="1"/>
  <c r="A1766" i="1"/>
  <c r="A1765" i="1"/>
  <c r="A1764" i="1"/>
  <c r="A1763" i="1"/>
  <c r="A1762" i="1"/>
  <c r="A1761" i="1"/>
  <c r="A1760" i="1"/>
  <c r="A1759" i="1"/>
  <c r="A1758" i="1"/>
  <c r="A1757" i="1"/>
  <c r="A1756" i="1"/>
  <c r="A1755" i="1"/>
  <c r="A1754" i="1"/>
  <c r="A1753" i="1"/>
  <c r="A1752" i="1"/>
  <c r="A1751" i="1"/>
  <c r="A1750" i="1"/>
  <c r="A1749" i="1"/>
  <c r="A1748" i="1"/>
  <c r="A1747" i="1"/>
  <c r="A1746" i="1"/>
  <c r="A1745" i="1"/>
  <c r="A1744" i="1"/>
  <c r="A1743" i="1"/>
  <c r="A1742" i="1"/>
  <c r="A1741" i="1"/>
  <c r="A1740" i="1"/>
  <c r="A1739" i="1"/>
  <c r="A1738" i="1"/>
  <c r="A1737" i="1"/>
  <c r="A1736" i="1"/>
  <c r="A1735" i="1"/>
  <c r="A1734" i="1"/>
  <c r="A1733" i="1"/>
  <c r="A1732" i="1"/>
  <c r="A1731" i="1"/>
  <c r="A1730" i="1"/>
  <c r="A1729" i="1"/>
  <c r="A1728" i="1"/>
  <c r="A1727" i="1"/>
  <c r="A1726" i="1"/>
  <c r="A1725" i="1"/>
  <c r="A1724" i="1"/>
  <c r="A1723" i="1"/>
  <c r="A1722" i="1"/>
  <c r="A1721" i="1"/>
  <c r="A1720" i="1"/>
  <c r="A1719" i="1"/>
  <c r="A1718" i="1"/>
  <c r="A1717" i="1"/>
  <c r="A1716" i="1"/>
  <c r="A1715" i="1"/>
  <c r="A1714" i="1"/>
  <c r="A1713" i="1"/>
  <c r="A1712" i="1"/>
  <c r="A1711" i="1"/>
  <c r="A1710" i="1"/>
  <c r="A1709" i="1"/>
  <c r="A1708" i="1"/>
  <c r="A1707" i="1"/>
  <c r="A1706" i="1"/>
  <c r="A1705" i="1"/>
  <c r="A1704" i="1"/>
  <c r="A1703" i="1"/>
  <c r="A1702" i="1"/>
  <c r="A1701" i="1"/>
  <c r="A1700" i="1"/>
  <c r="A1699" i="1"/>
  <c r="A1698" i="1"/>
  <c r="A1697" i="1"/>
  <c r="A1696" i="1"/>
  <c r="A1695" i="1"/>
  <c r="A1694" i="1"/>
  <c r="A1693" i="1"/>
  <c r="A1692" i="1"/>
  <c r="A1691" i="1"/>
  <c r="A1690" i="1"/>
  <c r="A1689" i="1"/>
  <c r="A1688" i="1"/>
  <c r="A1687" i="1"/>
  <c r="A1686" i="1"/>
  <c r="A1685" i="1"/>
  <c r="A1684" i="1"/>
  <c r="A1683" i="1"/>
  <c r="A1682" i="1"/>
  <c r="A1681" i="1"/>
  <c r="A1680" i="1"/>
  <c r="A1679" i="1"/>
  <c r="A1678" i="1"/>
  <c r="A1677" i="1"/>
  <c r="A1676" i="1"/>
  <c r="A1675" i="1"/>
  <c r="A1674" i="1"/>
  <c r="A1673" i="1"/>
  <c r="A1672" i="1"/>
  <c r="A1671" i="1"/>
  <c r="A1670" i="1"/>
  <c r="A1669" i="1"/>
  <c r="A1668" i="1"/>
  <c r="A1667" i="1"/>
  <c r="A1666" i="1"/>
  <c r="A1665" i="1"/>
  <c r="A1664" i="1"/>
  <c r="A1663" i="1"/>
  <c r="A1662" i="1"/>
  <c r="A1661" i="1"/>
  <c r="A1660" i="1"/>
  <c r="A1659" i="1"/>
  <c r="A1658" i="1"/>
  <c r="A1657" i="1"/>
  <c r="A1656" i="1"/>
  <c r="A1655" i="1"/>
  <c r="A1654" i="1"/>
  <c r="A1653" i="1"/>
  <c r="A1652" i="1"/>
  <c r="A1651" i="1"/>
  <c r="A1650" i="1"/>
  <c r="A1649" i="1"/>
  <c r="A1648" i="1"/>
  <c r="A1647" i="1"/>
  <c r="A1646" i="1"/>
  <c r="A1645" i="1"/>
  <c r="A1644" i="1"/>
  <c r="A1643" i="1"/>
  <c r="A1642" i="1"/>
  <c r="A1641" i="1"/>
  <c r="A1640" i="1"/>
  <c r="A1639" i="1"/>
  <c r="A1638" i="1"/>
  <c r="A1637" i="1"/>
  <c r="A1636" i="1"/>
  <c r="A1635" i="1"/>
  <c r="A1634" i="1"/>
  <c r="A1633" i="1"/>
  <c r="A1632" i="1"/>
  <c r="A1631" i="1"/>
  <c r="A1630" i="1"/>
  <c r="A1629" i="1"/>
  <c r="A1628" i="1"/>
  <c r="A1627" i="1"/>
  <c r="A1626" i="1"/>
  <c r="A1625" i="1"/>
  <c r="A1624" i="1"/>
  <c r="A1623" i="1"/>
  <c r="A1622" i="1"/>
  <c r="A1621" i="1"/>
  <c r="A1620" i="1"/>
  <c r="A1619" i="1"/>
  <c r="A1618" i="1"/>
  <c r="A1617" i="1"/>
  <c r="A1616" i="1"/>
  <c r="A1615" i="1"/>
  <c r="A1614" i="1"/>
  <c r="A1613" i="1"/>
  <c r="A1612" i="1"/>
  <c r="A1611" i="1"/>
  <c r="A1610" i="1"/>
  <c r="A1609" i="1"/>
  <c r="A1608" i="1"/>
  <c r="A1607" i="1"/>
  <c r="A1606" i="1"/>
  <c r="A1605" i="1"/>
  <c r="A1604" i="1"/>
  <c r="A1603" i="1"/>
  <c r="A1602" i="1"/>
  <c r="A1601" i="1"/>
  <c r="A1600" i="1"/>
  <c r="A1599" i="1"/>
  <c r="A1598" i="1"/>
  <c r="A1597" i="1"/>
  <c r="A1596" i="1"/>
  <c r="A1595" i="1"/>
  <c r="A1594" i="1"/>
  <c r="A1593" i="1"/>
  <c r="A1592" i="1"/>
  <c r="A1591" i="1"/>
  <c r="A1590" i="1"/>
  <c r="A1589" i="1"/>
  <c r="A1588" i="1"/>
  <c r="A1587" i="1"/>
  <c r="A1586" i="1"/>
  <c r="A1585" i="1"/>
  <c r="A1584" i="1"/>
  <c r="A1583" i="1"/>
  <c r="A1582" i="1"/>
  <c r="A1581" i="1"/>
  <c r="A1580" i="1"/>
  <c r="A1579" i="1"/>
  <c r="A1578" i="1"/>
  <c r="A1577" i="1"/>
  <c r="A1576" i="1"/>
  <c r="A1575" i="1"/>
  <c r="A1574" i="1"/>
  <c r="A1573" i="1"/>
  <c r="A1572" i="1"/>
  <c r="A1571" i="1"/>
  <c r="A1570" i="1"/>
  <c r="A1569" i="1"/>
  <c r="A1568" i="1"/>
  <c r="A1567" i="1"/>
  <c r="A1566" i="1"/>
  <c r="A1565" i="1"/>
  <c r="A1564" i="1"/>
  <c r="A1563" i="1"/>
  <c r="A1562" i="1"/>
  <c r="A1561" i="1"/>
  <c r="A1560" i="1"/>
  <c r="A1559" i="1"/>
  <c r="A1558" i="1"/>
  <c r="A1557" i="1"/>
  <c r="A1556" i="1"/>
  <c r="A1555" i="1"/>
  <c r="A1554" i="1"/>
  <c r="A1553" i="1"/>
  <c r="A1552" i="1"/>
  <c r="A1551" i="1"/>
  <c r="A1550" i="1"/>
  <c r="A1549" i="1"/>
  <c r="A1548" i="1"/>
  <c r="A1547" i="1"/>
  <c r="A1546" i="1"/>
  <c r="A1545" i="1"/>
  <c r="A1544" i="1"/>
  <c r="A1543" i="1"/>
  <c r="A1542" i="1"/>
  <c r="A1541" i="1"/>
  <c r="A1540" i="1"/>
  <c r="A1539" i="1"/>
  <c r="A1538" i="1"/>
  <c r="A1537" i="1"/>
  <c r="A1536" i="1"/>
  <c r="A1535" i="1"/>
  <c r="A1534" i="1"/>
  <c r="A1533" i="1"/>
  <c r="A1532" i="1"/>
  <c r="A1531" i="1"/>
  <c r="A1530" i="1"/>
  <c r="A1529" i="1"/>
  <c r="A1528" i="1"/>
  <c r="A1527" i="1"/>
  <c r="A1526" i="1"/>
  <c r="A1525" i="1"/>
  <c r="A1524" i="1"/>
  <c r="A1523" i="1"/>
  <c r="A1522" i="1"/>
  <c r="A1521" i="1"/>
  <c r="A1520" i="1"/>
  <c r="A1519" i="1"/>
  <c r="A1518" i="1"/>
  <c r="A1517" i="1"/>
  <c r="A1516" i="1"/>
  <c r="A1515" i="1"/>
  <c r="A1514" i="1"/>
  <c r="A1513" i="1"/>
  <c r="A1512" i="1"/>
  <c r="A1511" i="1"/>
  <c r="A1510" i="1"/>
  <c r="A1509" i="1"/>
  <c r="A1508" i="1"/>
  <c r="A1507" i="1"/>
  <c r="A1506" i="1"/>
  <c r="A1505" i="1"/>
  <c r="A1504" i="1"/>
  <c r="A1503" i="1"/>
  <c r="A1502" i="1"/>
  <c r="A1501" i="1"/>
  <c r="A1500" i="1"/>
  <c r="A1499" i="1"/>
  <c r="A1498" i="1"/>
  <c r="A1497" i="1"/>
  <c r="A1496" i="1"/>
  <c r="A1495" i="1"/>
  <c r="A1494" i="1"/>
  <c r="A1493" i="1"/>
  <c r="A1492" i="1"/>
  <c r="A1491" i="1"/>
  <c r="A1490" i="1"/>
  <c r="A1489" i="1"/>
  <c r="A1488" i="1"/>
  <c r="A1487" i="1"/>
  <c r="A1486" i="1"/>
  <c r="A1485" i="1"/>
  <c r="A1484" i="1"/>
  <c r="A1483" i="1"/>
  <c r="A1482" i="1"/>
  <c r="A1481" i="1"/>
  <c r="A1480" i="1"/>
  <c r="A1479" i="1"/>
  <c r="A1478" i="1"/>
  <c r="A1477" i="1"/>
  <c r="A1476" i="1"/>
  <c r="A1475" i="1"/>
  <c r="A1474" i="1"/>
  <c r="A1473" i="1"/>
  <c r="A1472" i="1"/>
  <c r="A1471" i="1"/>
  <c r="A1470" i="1"/>
  <c r="A1469" i="1"/>
  <c r="A1468" i="1"/>
  <c r="A1467" i="1"/>
  <c r="A1466" i="1"/>
  <c r="A1465" i="1"/>
  <c r="A1464" i="1"/>
  <c r="A1463" i="1"/>
  <c r="A1462" i="1"/>
  <c r="A1461" i="1"/>
  <c r="A1460" i="1"/>
  <c r="A1459" i="1"/>
  <c r="A1458" i="1"/>
  <c r="A1457" i="1"/>
  <c r="A1456" i="1"/>
  <c r="A1455" i="1"/>
  <c r="A1454" i="1"/>
  <c r="A1453" i="1"/>
  <c r="A1452" i="1"/>
  <c r="A1451" i="1"/>
  <c r="A1450" i="1"/>
  <c r="A1449" i="1"/>
  <c r="A1448" i="1"/>
  <c r="A1447" i="1"/>
  <c r="A1446" i="1"/>
  <c r="A1445" i="1"/>
  <c r="A1444" i="1"/>
  <c r="A1443" i="1"/>
  <c r="A1442" i="1"/>
  <c r="A1441" i="1"/>
  <c r="A1440" i="1"/>
  <c r="A1439" i="1"/>
  <c r="A1438" i="1"/>
  <c r="A1437" i="1"/>
  <c r="A1436" i="1"/>
  <c r="A1435" i="1"/>
  <c r="A1434" i="1"/>
  <c r="A1433" i="1"/>
  <c r="A1432" i="1"/>
  <c r="A1431" i="1"/>
  <c r="A1430" i="1"/>
  <c r="A1429" i="1"/>
  <c r="A1428" i="1"/>
  <c r="A1427" i="1"/>
  <c r="A1426" i="1"/>
  <c r="A1425" i="1"/>
  <c r="A1424" i="1"/>
  <c r="A1423" i="1"/>
  <c r="A1422" i="1"/>
  <c r="A1421" i="1"/>
  <c r="A1420" i="1"/>
  <c r="A1419" i="1"/>
  <c r="A1418" i="1"/>
  <c r="A1417" i="1"/>
  <c r="A1416" i="1"/>
  <c r="A1415" i="1"/>
  <c r="A1414" i="1"/>
  <c r="A1413" i="1"/>
  <c r="A1412" i="1"/>
  <c r="A1411" i="1"/>
  <c r="A1410" i="1"/>
  <c r="A1409" i="1"/>
  <c r="A1408" i="1"/>
  <c r="A1407" i="1"/>
  <c r="A1406" i="1"/>
  <c r="A1405" i="1"/>
  <c r="A1404" i="1"/>
  <c r="A1403" i="1"/>
  <c r="A1402" i="1"/>
  <c r="A1401" i="1"/>
  <c r="A1400" i="1"/>
  <c r="A1399" i="1"/>
  <c r="A1398" i="1"/>
  <c r="A1397" i="1"/>
  <c r="A1396" i="1"/>
  <c r="A1395" i="1"/>
  <c r="A1394" i="1"/>
  <c r="A1393" i="1"/>
  <c r="A1392" i="1"/>
  <c r="A1391" i="1"/>
  <c r="A1390" i="1"/>
  <c r="A1389" i="1"/>
  <c r="A1388" i="1"/>
  <c r="A1387" i="1"/>
  <c r="A1386" i="1"/>
  <c r="A1385" i="1"/>
  <c r="A1384" i="1"/>
  <c r="A1383" i="1"/>
  <c r="A1382" i="1"/>
  <c r="A1381" i="1"/>
  <c r="A1380" i="1"/>
  <c r="A1379" i="1"/>
  <c r="A1378" i="1"/>
  <c r="A1377" i="1"/>
  <c r="A1376" i="1"/>
  <c r="A1375" i="1"/>
  <c r="A1374" i="1"/>
  <c r="A1373" i="1"/>
  <c r="A1372" i="1"/>
  <c r="A1371" i="1"/>
  <c r="A1370" i="1"/>
  <c r="A1369" i="1"/>
  <c r="A1368" i="1"/>
  <c r="A1367" i="1"/>
  <c r="A1366" i="1"/>
  <c r="A1365" i="1"/>
  <c r="A1364" i="1"/>
  <c r="A1363" i="1"/>
  <c r="A1362" i="1"/>
  <c r="A1361" i="1"/>
  <c r="A1360" i="1"/>
  <c r="A1359" i="1"/>
  <c r="A1358" i="1"/>
  <c r="A1357" i="1"/>
  <c r="A1356" i="1"/>
  <c r="A1355" i="1"/>
  <c r="A1354" i="1"/>
  <c r="A1353" i="1"/>
  <c r="A1352" i="1"/>
  <c r="A1351" i="1"/>
  <c r="A1350" i="1"/>
  <c r="A1349" i="1"/>
  <c r="A1348" i="1"/>
  <c r="A1347" i="1"/>
  <c r="A1346" i="1"/>
  <c r="A1345" i="1"/>
  <c r="A1344" i="1"/>
  <c r="A1343" i="1"/>
  <c r="A1342" i="1"/>
  <c r="A1341" i="1"/>
  <c r="A1340" i="1"/>
  <c r="A1339" i="1"/>
  <c r="A1338" i="1"/>
  <c r="A1337" i="1"/>
  <c r="A1336" i="1"/>
  <c r="A1335" i="1"/>
  <c r="A1334" i="1"/>
  <c r="A1333" i="1"/>
  <c r="A1332" i="1"/>
  <c r="A1331" i="1"/>
  <c r="A1330" i="1"/>
  <c r="A1329" i="1"/>
  <c r="A1328" i="1"/>
  <c r="A1327" i="1"/>
  <c r="A1326" i="1"/>
  <c r="A1325" i="1"/>
  <c r="A1324" i="1"/>
  <c r="A1323" i="1"/>
  <c r="A1322" i="1"/>
  <c r="A1321" i="1"/>
  <c r="A1320" i="1"/>
  <c r="A1319" i="1"/>
  <c r="A1318" i="1"/>
  <c r="A1317" i="1"/>
  <c r="A1316" i="1"/>
  <c r="A1315" i="1"/>
  <c r="A1314" i="1"/>
  <c r="A1313" i="1"/>
  <c r="A1312" i="1"/>
  <c r="A1311" i="1"/>
  <c r="A1310" i="1"/>
  <c r="A1309" i="1"/>
  <c r="A1308" i="1"/>
  <c r="A1307" i="1"/>
  <c r="A1306" i="1"/>
  <c r="A1305" i="1"/>
  <c r="A1304" i="1"/>
  <c r="A1303" i="1"/>
  <c r="A1302" i="1"/>
  <c r="A1301" i="1"/>
  <c r="A1300" i="1"/>
  <c r="A1299" i="1"/>
  <c r="A1298" i="1"/>
  <c r="A1297" i="1"/>
  <c r="A1296" i="1"/>
  <c r="A1295" i="1"/>
  <c r="A1294" i="1"/>
  <c r="A1293" i="1"/>
  <c r="A1292" i="1"/>
  <c r="A1291" i="1"/>
  <c r="A1290" i="1"/>
  <c r="A1289" i="1"/>
  <c r="A1288" i="1"/>
  <c r="A1287" i="1"/>
  <c r="A1286" i="1"/>
  <c r="A1285" i="1"/>
  <c r="A1284" i="1"/>
  <c r="A1283" i="1"/>
  <c r="A1282" i="1"/>
  <c r="A1281" i="1"/>
  <c r="A1280" i="1"/>
  <c r="A1279" i="1"/>
  <c r="A1278" i="1"/>
  <c r="A1277" i="1"/>
  <c r="A1276" i="1"/>
  <c r="A1275" i="1"/>
  <c r="A1274" i="1"/>
  <c r="A1273" i="1"/>
  <c r="A1272" i="1"/>
  <c r="A1271" i="1"/>
  <c r="A1270" i="1"/>
  <c r="A1269" i="1"/>
  <c r="A1268" i="1"/>
  <c r="A1267" i="1"/>
  <c r="A1266" i="1"/>
  <c r="A1265" i="1"/>
  <c r="A1264" i="1"/>
  <c r="A1263" i="1"/>
  <c r="A1262" i="1"/>
  <c r="A1261" i="1"/>
  <c r="A1260" i="1"/>
  <c r="A1259" i="1"/>
  <c r="A1258" i="1"/>
  <c r="A1257" i="1"/>
  <c r="A1256" i="1"/>
  <c r="A1255" i="1"/>
  <c r="A1254" i="1"/>
  <c r="A1253" i="1"/>
  <c r="A1252" i="1"/>
  <c r="A1251" i="1"/>
  <c r="A1250" i="1"/>
  <c r="A1249" i="1"/>
  <c r="A1248" i="1"/>
  <c r="A1247" i="1"/>
  <c r="A1246" i="1"/>
  <c r="A1245" i="1"/>
  <c r="A1244" i="1"/>
  <c r="A1243" i="1"/>
  <c r="A1242" i="1"/>
  <c r="A1241" i="1"/>
  <c r="A1240" i="1"/>
  <c r="A1239" i="1"/>
  <c r="A1238" i="1"/>
  <c r="A1237" i="1"/>
  <c r="A1236" i="1"/>
  <c r="A1235" i="1"/>
  <c r="A1234" i="1"/>
  <c r="A1233" i="1"/>
  <c r="A1232" i="1"/>
  <c r="A1231" i="1"/>
  <c r="A1230" i="1"/>
  <c r="A1229" i="1"/>
  <c r="A1228" i="1"/>
  <c r="A1227" i="1"/>
  <c r="A1226" i="1"/>
  <c r="A1225" i="1"/>
  <c r="A1224" i="1"/>
  <c r="A1223" i="1"/>
  <c r="A1222" i="1"/>
  <c r="A1221" i="1"/>
  <c r="A1220" i="1"/>
  <c r="A1219" i="1"/>
  <c r="A1218" i="1"/>
  <c r="A1217" i="1"/>
  <c r="A1216" i="1"/>
  <c r="A1215" i="1"/>
  <c r="A1214" i="1"/>
  <c r="A1213" i="1"/>
  <c r="A1212" i="1"/>
  <c r="A1211" i="1"/>
  <c r="A1210" i="1"/>
  <c r="A1209" i="1"/>
  <c r="A1208" i="1"/>
  <c r="A1207" i="1"/>
  <c r="A1206" i="1"/>
  <c r="A1205" i="1"/>
  <c r="A1204" i="1"/>
  <c r="A1203" i="1"/>
  <c r="A1202" i="1"/>
  <c r="A1201" i="1"/>
  <c r="A1200" i="1"/>
  <c r="A1199" i="1"/>
  <c r="A1198" i="1"/>
  <c r="A1197" i="1"/>
  <c r="A1196" i="1"/>
  <c r="A1195" i="1"/>
  <c r="A1194" i="1"/>
  <c r="A1193" i="1"/>
  <c r="A1192" i="1"/>
  <c r="A1191" i="1"/>
  <c r="A1190" i="1"/>
  <c r="A1189" i="1"/>
  <c r="A1188" i="1"/>
  <c r="A1187" i="1"/>
  <c r="A1186" i="1"/>
  <c r="A1185" i="1"/>
  <c r="A1184" i="1"/>
  <c r="A1183" i="1"/>
  <c r="A1182" i="1"/>
  <c r="A1181" i="1"/>
  <c r="A1180" i="1"/>
  <c r="A1179" i="1"/>
  <c r="A1178" i="1"/>
  <c r="A1177" i="1"/>
  <c r="A1176" i="1"/>
  <c r="A1175" i="1"/>
  <c r="A1174" i="1"/>
  <c r="A1173" i="1"/>
  <c r="A1172" i="1"/>
  <c r="A1171" i="1"/>
  <c r="A1170" i="1"/>
  <c r="A1169" i="1"/>
  <c r="A1168" i="1"/>
  <c r="A1167" i="1"/>
  <c r="A1166" i="1"/>
  <c r="A1165" i="1"/>
  <c r="A1164" i="1"/>
  <c r="A1163" i="1"/>
  <c r="A1162" i="1"/>
  <c r="A1161" i="1"/>
  <c r="A1160" i="1"/>
  <c r="A1159" i="1"/>
  <c r="A1158" i="1"/>
  <c r="A1157" i="1"/>
  <c r="A1156" i="1"/>
  <c r="A1155" i="1"/>
  <c r="A1154" i="1"/>
  <c r="A1153" i="1"/>
  <c r="A1152" i="1"/>
  <c r="A1151" i="1"/>
  <c r="A1150" i="1"/>
  <c r="A1149" i="1"/>
  <c r="A1148" i="1"/>
  <c r="A1147" i="1"/>
  <c r="A1146" i="1"/>
  <c r="A1145" i="1"/>
  <c r="A1144" i="1"/>
  <c r="A1143" i="1"/>
  <c r="A1142" i="1"/>
  <c r="A1141" i="1"/>
  <c r="A1140" i="1"/>
  <c r="A1139" i="1"/>
  <c r="A1138" i="1"/>
  <c r="A1137" i="1"/>
  <c r="A1136" i="1"/>
  <c r="A1135" i="1"/>
  <c r="A1134" i="1"/>
  <c r="A1133" i="1"/>
  <c r="A1132" i="1"/>
  <c r="A1131" i="1"/>
  <c r="A1130" i="1"/>
  <c r="A1129" i="1"/>
  <c r="A1128" i="1"/>
  <c r="A1127" i="1"/>
  <c r="A1126" i="1"/>
  <c r="A1125" i="1"/>
  <c r="A1124" i="1"/>
  <c r="A1123" i="1"/>
  <c r="A1122" i="1"/>
  <c r="A1121" i="1"/>
  <c r="A1120" i="1"/>
  <c r="A1119" i="1"/>
  <c r="A1118" i="1"/>
  <c r="A1117" i="1"/>
  <c r="A1116" i="1"/>
  <c r="A1115" i="1"/>
  <c r="A1114" i="1"/>
  <c r="A1113" i="1"/>
  <c r="A1112" i="1"/>
  <c r="A1111" i="1"/>
  <c r="A1110" i="1"/>
  <c r="A1109" i="1"/>
  <c r="A1108" i="1"/>
  <c r="A1107" i="1"/>
  <c r="A1106" i="1"/>
  <c r="A1105" i="1"/>
  <c r="A1104" i="1"/>
  <c r="A1103" i="1"/>
  <c r="A1102" i="1"/>
  <c r="A1101" i="1"/>
  <c r="A1100" i="1"/>
  <c r="A1099" i="1"/>
  <c r="A1098" i="1"/>
  <c r="A1097" i="1"/>
  <c r="A1096" i="1"/>
  <c r="A1095" i="1"/>
  <c r="A1094" i="1"/>
  <c r="A1093" i="1"/>
  <c r="A1092" i="1"/>
  <c r="A1091" i="1"/>
  <c r="A1090" i="1"/>
  <c r="A1089" i="1"/>
  <c r="A1088" i="1"/>
  <c r="A1087" i="1"/>
  <c r="A1086" i="1"/>
  <c r="A1085" i="1"/>
  <c r="A1084" i="1"/>
  <c r="A1083" i="1"/>
  <c r="A1082" i="1"/>
  <c r="A1081" i="1"/>
  <c r="A1080" i="1"/>
  <c r="A1079" i="1"/>
  <c r="A1078" i="1"/>
  <c r="A1077" i="1"/>
  <c r="A1076" i="1"/>
  <c r="A1075" i="1"/>
  <c r="A1074" i="1"/>
  <c r="A1073" i="1"/>
  <c r="A1072" i="1"/>
  <c r="A1071" i="1"/>
  <c r="A1070" i="1"/>
  <c r="A1069" i="1"/>
  <c r="A1068" i="1"/>
  <c r="A1067" i="1"/>
  <c r="A1066" i="1"/>
  <c r="A1065" i="1"/>
  <c r="A1064" i="1"/>
  <c r="A1063" i="1"/>
  <c r="A1062" i="1"/>
  <c r="A1061" i="1"/>
  <c r="A1060" i="1"/>
  <c r="A1059" i="1"/>
  <c r="A1058" i="1"/>
  <c r="A1057" i="1"/>
  <c r="A1056" i="1"/>
  <c r="A1055" i="1"/>
  <c r="A1054" i="1"/>
  <c r="A1053" i="1"/>
  <c r="A1052" i="1"/>
  <c r="A1051" i="1"/>
  <c r="A1050" i="1"/>
  <c r="A1049" i="1"/>
  <c r="A1048" i="1"/>
  <c r="A1047" i="1"/>
  <c r="A1046" i="1"/>
  <c r="A1045" i="1"/>
  <c r="A1044" i="1"/>
  <c r="A1043" i="1"/>
  <c r="A1042" i="1"/>
  <c r="A1041" i="1"/>
  <c r="A1040" i="1"/>
  <c r="A1039" i="1"/>
  <c r="A1038" i="1"/>
  <c r="A1037" i="1"/>
  <c r="A1036" i="1"/>
  <c r="A1035" i="1"/>
  <c r="A1034" i="1"/>
  <c r="A1033" i="1"/>
  <c r="A1032" i="1"/>
  <c r="A1031" i="1"/>
  <c r="A1030" i="1"/>
  <c r="A1029" i="1"/>
  <c r="A1028" i="1"/>
  <c r="A1027" i="1"/>
  <c r="A1026" i="1"/>
  <c r="A1025" i="1"/>
  <c r="A1024" i="1"/>
  <c r="A1023" i="1"/>
  <c r="A1022" i="1"/>
  <c r="A1021" i="1"/>
  <c r="A1020" i="1"/>
  <c r="A1019" i="1"/>
  <c r="A1018" i="1"/>
  <c r="A1017" i="1"/>
  <c r="A1016" i="1"/>
  <c r="A1015" i="1"/>
  <c r="A1014" i="1"/>
  <c r="A1013" i="1"/>
  <c r="A1012" i="1"/>
  <c r="A1011" i="1"/>
  <c r="A1010" i="1"/>
  <c r="A1009" i="1"/>
  <c r="A1008" i="1"/>
  <c r="A1007" i="1"/>
  <c r="A1006" i="1"/>
  <c r="A1005" i="1"/>
  <c r="A1004" i="1"/>
  <c r="A1003" i="1"/>
  <c r="A1002" i="1"/>
  <c r="A1001" i="1"/>
  <c r="A1000" i="1"/>
  <c r="A999" i="1"/>
  <c r="A998" i="1"/>
  <c r="A997" i="1"/>
  <c r="A996" i="1"/>
  <c r="A995" i="1"/>
  <c r="A994" i="1"/>
  <c r="A993" i="1"/>
  <c r="A992" i="1"/>
  <c r="A991" i="1"/>
  <c r="A990" i="1"/>
  <c r="A989" i="1"/>
  <c r="A988" i="1"/>
  <c r="A987" i="1"/>
  <c r="A986" i="1"/>
  <c r="A985" i="1"/>
  <c r="A984" i="1"/>
  <c r="A983" i="1"/>
  <c r="A982" i="1"/>
  <c r="A981" i="1"/>
  <c r="A980" i="1"/>
  <c r="A979" i="1"/>
  <c r="A978" i="1"/>
  <c r="A977" i="1"/>
  <c r="A976" i="1"/>
  <c r="A975" i="1"/>
  <c r="A974" i="1"/>
  <c r="A973" i="1"/>
  <c r="A972" i="1"/>
  <c r="A971" i="1"/>
  <c r="A970" i="1"/>
  <c r="A969" i="1"/>
  <c r="A968" i="1"/>
  <c r="A967" i="1"/>
  <c r="A966" i="1"/>
  <c r="A965" i="1"/>
  <c r="A964" i="1"/>
  <c r="A963" i="1"/>
  <c r="A962" i="1"/>
  <c r="A961" i="1"/>
  <c r="A960" i="1"/>
  <c r="A959" i="1"/>
  <c r="A958" i="1"/>
  <c r="A957" i="1"/>
  <c r="A956" i="1"/>
  <c r="A955" i="1"/>
  <c r="A954" i="1"/>
  <c r="A953" i="1"/>
  <c r="A952" i="1"/>
  <c r="A951" i="1"/>
  <c r="A950" i="1"/>
  <c r="A949" i="1"/>
  <c r="A948" i="1"/>
  <c r="A947" i="1"/>
  <c r="A946" i="1"/>
  <c r="A945" i="1"/>
  <c r="A944" i="1"/>
  <c r="A943" i="1"/>
  <c r="A942" i="1"/>
  <c r="A941" i="1"/>
  <c r="A940" i="1"/>
  <c r="A939" i="1"/>
  <c r="A938" i="1"/>
  <c r="A937" i="1"/>
  <c r="A936" i="1"/>
  <c r="A935" i="1"/>
  <c r="A934" i="1"/>
  <c r="A933" i="1"/>
  <c r="A932" i="1"/>
  <c r="A931" i="1"/>
  <c r="A930" i="1"/>
  <c r="A929" i="1"/>
  <c r="A928" i="1"/>
  <c r="A927" i="1"/>
  <c r="A926" i="1"/>
  <c r="A925" i="1"/>
  <c r="A924" i="1"/>
  <c r="A923" i="1"/>
  <c r="A922" i="1"/>
  <c r="A921" i="1"/>
  <c r="A920" i="1"/>
  <c r="A919" i="1"/>
  <c r="A918" i="1"/>
  <c r="A917" i="1"/>
  <c r="A916" i="1"/>
  <c r="A915" i="1"/>
  <c r="A914" i="1"/>
  <c r="A913" i="1"/>
  <c r="A912" i="1"/>
  <c r="A911" i="1"/>
  <c r="A910" i="1"/>
  <c r="A909" i="1"/>
  <c r="A908" i="1"/>
  <c r="A907" i="1"/>
  <c r="A906" i="1"/>
  <c r="A905" i="1"/>
  <c r="A904" i="1"/>
  <c r="A903" i="1"/>
  <c r="A902" i="1"/>
  <c r="A901" i="1"/>
  <c r="A900" i="1"/>
  <c r="A899" i="1"/>
  <c r="A898" i="1"/>
  <c r="A897" i="1"/>
  <c r="A896" i="1"/>
  <c r="A895" i="1"/>
  <c r="A894" i="1"/>
  <c r="A893" i="1"/>
  <c r="A892" i="1"/>
  <c r="A891" i="1"/>
  <c r="A890" i="1"/>
  <c r="A889" i="1"/>
  <c r="A888" i="1"/>
  <c r="A887" i="1"/>
  <c r="A886" i="1"/>
  <c r="A885" i="1"/>
  <c r="A884" i="1"/>
  <c r="A883" i="1"/>
  <c r="A882" i="1"/>
  <c r="A881" i="1"/>
  <c r="A880" i="1"/>
  <c r="A879" i="1"/>
  <c r="A878" i="1"/>
  <c r="A877" i="1"/>
  <c r="A876" i="1"/>
  <c r="A875" i="1"/>
  <c r="A874" i="1"/>
  <c r="A873" i="1"/>
  <c r="A872" i="1"/>
  <c r="A871" i="1"/>
  <c r="A870" i="1"/>
  <c r="A869" i="1"/>
  <c r="A868" i="1"/>
  <c r="A867" i="1"/>
  <c r="A866" i="1"/>
  <c r="A865" i="1"/>
  <c r="A864" i="1"/>
  <c r="A863" i="1"/>
  <c r="A862" i="1"/>
  <c r="A861" i="1"/>
  <c r="A860" i="1"/>
  <c r="A859" i="1"/>
  <c r="A858" i="1"/>
  <c r="A857" i="1"/>
  <c r="A856" i="1"/>
  <c r="A855" i="1"/>
  <c r="A854" i="1"/>
  <c r="A853" i="1"/>
  <c r="A852" i="1"/>
  <c r="A851" i="1"/>
  <c r="A850" i="1"/>
  <c r="A849" i="1"/>
  <c r="A848" i="1"/>
  <c r="A847" i="1"/>
  <c r="A846" i="1"/>
  <c r="A845" i="1"/>
  <c r="A844" i="1"/>
  <c r="A843" i="1"/>
  <c r="A842" i="1"/>
  <c r="A841" i="1"/>
  <c r="A840" i="1"/>
  <c r="A839" i="1"/>
  <c r="A838" i="1"/>
  <c r="A837" i="1"/>
  <c r="A836" i="1"/>
  <c r="A835" i="1"/>
  <c r="A834" i="1"/>
  <c r="A833" i="1"/>
  <c r="A832" i="1"/>
  <c r="A831" i="1"/>
  <c r="A830" i="1"/>
  <c r="A829" i="1"/>
  <c r="A828" i="1"/>
  <c r="A827" i="1"/>
  <c r="A826" i="1"/>
  <c r="A825" i="1"/>
  <c r="A824" i="1"/>
  <c r="A823" i="1"/>
  <c r="A822" i="1"/>
  <c r="A821" i="1"/>
  <c r="A820" i="1"/>
  <c r="A819" i="1"/>
  <c r="A818" i="1"/>
  <c r="A817" i="1"/>
  <c r="A816" i="1"/>
  <c r="A815" i="1"/>
  <c r="A814" i="1"/>
  <c r="A813" i="1"/>
  <c r="A812" i="1"/>
  <c r="A811" i="1"/>
  <c r="A810" i="1"/>
  <c r="A809" i="1"/>
  <c r="A808" i="1"/>
  <c r="A807" i="1"/>
  <c r="A806" i="1"/>
  <c r="A805" i="1"/>
  <c r="A804" i="1"/>
  <c r="A803" i="1"/>
  <c r="A802" i="1"/>
  <c r="A801" i="1"/>
  <c r="A800" i="1"/>
  <c r="A799" i="1"/>
  <c r="A798" i="1"/>
  <c r="A797" i="1"/>
  <c r="A796" i="1"/>
  <c r="A795" i="1"/>
  <c r="A794" i="1"/>
  <c r="A793" i="1"/>
  <c r="A792" i="1"/>
  <c r="A791" i="1"/>
  <c r="A790" i="1"/>
  <c r="A789" i="1"/>
  <c r="A788" i="1"/>
  <c r="A787" i="1"/>
  <c r="A786" i="1"/>
  <c r="A785" i="1"/>
  <c r="A784" i="1"/>
  <c r="A783" i="1"/>
  <c r="A782" i="1"/>
  <c r="A781" i="1"/>
  <c r="A780" i="1"/>
  <c r="A779" i="1"/>
  <c r="A778" i="1"/>
  <c r="A777" i="1"/>
  <c r="A776" i="1"/>
  <c r="A775" i="1"/>
  <c r="A774" i="1"/>
  <c r="A773" i="1"/>
  <c r="A772" i="1"/>
  <c r="A771" i="1"/>
  <c r="A770" i="1"/>
  <c r="A769" i="1"/>
  <c r="A768" i="1"/>
  <c r="A767" i="1"/>
  <c r="A766" i="1"/>
  <c r="A765" i="1"/>
  <c r="A764" i="1"/>
  <c r="A763" i="1"/>
  <c r="A762" i="1"/>
  <c r="A761" i="1"/>
  <c r="A760" i="1"/>
  <c r="A759" i="1"/>
  <c r="A758" i="1"/>
  <c r="A757" i="1"/>
  <c r="A756" i="1"/>
  <c r="A755" i="1"/>
  <c r="A754" i="1"/>
  <c r="A753" i="1"/>
  <c r="A752" i="1"/>
  <c r="A751" i="1"/>
  <c r="A750" i="1"/>
  <c r="A749" i="1"/>
  <c r="A748" i="1"/>
  <c r="A747" i="1"/>
  <c r="A746" i="1"/>
  <c r="A745" i="1"/>
  <c r="A744" i="1"/>
  <c r="A743" i="1"/>
  <c r="A742" i="1"/>
  <c r="A741" i="1"/>
  <c r="A740" i="1"/>
  <c r="A739" i="1"/>
  <c r="A738" i="1"/>
  <c r="A737" i="1"/>
  <c r="A736" i="1"/>
  <c r="A735" i="1"/>
  <c r="A734" i="1"/>
  <c r="A733" i="1"/>
  <c r="A732" i="1"/>
  <c r="A731" i="1"/>
  <c r="A730" i="1"/>
  <c r="A729" i="1"/>
  <c r="A728" i="1"/>
  <c r="A727" i="1"/>
  <c r="A726" i="1"/>
  <c r="A725" i="1"/>
  <c r="A724" i="1"/>
  <c r="A723" i="1"/>
  <c r="A722" i="1"/>
  <c r="A721" i="1"/>
  <c r="A720" i="1"/>
  <c r="A719" i="1"/>
  <c r="A718" i="1"/>
  <c r="A717" i="1"/>
  <c r="A716" i="1"/>
  <c r="A715" i="1"/>
  <c r="A714" i="1"/>
  <c r="A713" i="1"/>
  <c r="A712" i="1"/>
  <c r="A711" i="1"/>
  <c r="A710" i="1"/>
  <c r="A709" i="1"/>
  <c r="A708" i="1"/>
  <c r="A707" i="1"/>
  <c r="A706" i="1"/>
  <c r="A705" i="1"/>
  <c r="A704" i="1"/>
  <c r="A703" i="1"/>
  <c r="A702" i="1"/>
  <c r="A701" i="1"/>
  <c r="A700" i="1"/>
  <c r="A699" i="1"/>
  <c r="A698" i="1"/>
  <c r="A697" i="1"/>
  <c r="A696" i="1"/>
  <c r="A695" i="1"/>
  <c r="A694" i="1"/>
  <c r="A693" i="1"/>
  <c r="A692" i="1"/>
  <c r="A691" i="1"/>
  <c r="A690" i="1"/>
  <c r="A689" i="1"/>
  <c r="A688" i="1"/>
  <c r="A687" i="1"/>
  <c r="A686" i="1"/>
  <c r="A685" i="1"/>
  <c r="A684" i="1"/>
  <c r="A683" i="1"/>
  <c r="A682" i="1"/>
  <c r="A681" i="1"/>
  <c r="A680" i="1"/>
  <c r="A679" i="1"/>
  <c r="A678" i="1"/>
  <c r="A677" i="1"/>
  <c r="A676" i="1"/>
  <c r="A675" i="1"/>
  <c r="A674" i="1"/>
  <c r="A673" i="1"/>
  <c r="A672" i="1"/>
  <c r="A671" i="1"/>
  <c r="A670" i="1"/>
  <c r="A669" i="1"/>
  <c r="A668" i="1"/>
  <c r="A667" i="1"/>
  <c r="A666" i="1"/>
  <c r="A665" i="1"/>
  <c r="A664" i="1"/>
  <c r="A663" i="1"/>
  <c r="A662" i="1"/>
  <c r="A661" i="1"/>
  <c r="A660" i="1"/>
  <c r="A659" i="1"/>
  <c r="A658" i="1"/>
  <c r="A657" i="1"/>
  <c r="A656" i="1"/>
  <c r="A655" i="1"/>
  <c r="A654" i="1"/>
  <c r="A653" i="1"/>
  <c r="A652" i="1"/>
  <c r="A651" i="1"/>
  <c r="A650" i="1"/>
  <c r="A649" i="1"/>
  <c r="A648" i="1"/>
  <c r="A647" i="1"/>
  <c r="A646" i="1"/>
  <c r="A645" i="1"/>
  <c r="A644" i="1"/>
  <c r="A643" i="1"/>
  <c r="A642" i="1"/>
  <c r="A641" i="1"/>
  <c r="A640" i="1"/>
  <c r="A639" i="1"/>
  <c r="A638" i="1"/>
  <c r="A637" i="1"/>
  <c r="A636" i="1"/>
  <c r="A635" i="1"/>
  <c r="A634" i="1"/>
  <c r="A633" i="1"/>
  <c r="A632" i="1"/>
  <c r="A631" i="1"/>
  <c r="A630" i="1"/>
  <c r="A629" i="1"/>
  <c r="A628" i="1"/>
  <c r="A627" i="1"/>
  <c r="A626" i="1"/>
  <c r="A625" i="1"/>
  <c r="A624" i="1"/>
  <c r="A623" i="1"/>
  <c r="A622" i="1"/>
  <c r="A621" i="1"/>
  <c r="A620" i="1"/>
  <c r="A619" i="1"/>
  <c r="A618" i="1"/>
  <c r="A617" i="1"/>
  <c r="A616" i="1"/>
  <c r="A615" i="1"/>
  <c r="A614" i="1"/>
  <c r="A613" i="1"/>
  <c r="A612" i="1"/>
  <c r="A611" i="1"/>
  <c r="A610" i="1"/>
  <c r="A609" i="1"/>
  <c r="A608" i="1"/>
  <c r="A607" i="1"/>
  <c r="A606" i="1"/>
  <c r="A605" i="1"/>
  <c r="A604" i="1"/>
  <c r="A603" i="1"/>
  <c r="A602" i="1"/>
  <c r="A601" i="1"/>
  <c r="A600" i="1"/>
  <c r="A599" i="1"/>
  <c r="A598" i="1"/>
  <c r="A597" i="1"/>
  <c r="A596" i="1"/>
  <c r="A595" i="1"/>
  <c r="A594" i="1"/>
  <c r="A593" i="1"/>
  <c r="A592" i="1"/>
  <c r="A591" i="1"/>
  <c r="A590" i="1"/>
  <c r="A589" i="1"/>
  <c r="A588" i="1"/>
  <c r="A587" i="1"/>
  <c r="A586" i="1"/>
  <c r="A585" i="1"/>
  <c r="A584" i="1"/>
  <c r="A583" i="1"/>
  <c r="A582" i="1"/>
  <c r="A581" i="1"/>
  <c r="A580" i="1"/>
  <c r="A579" i="1"/>
  <c r="A578" i="1"/>
  <c r="A577" i="1"/>
  <c r="A576" i="1"/>
  <c r="A575" i="1"/>
  <c r="A574" i="1"/>
  <c r="A573" i="1"/>
  <c r="A572" i="1"/>
  <c r="A571" i="1"/>
  <c r="A570" i="1"/>
  <c r="A569" i="1"/>
  <c r="A568" i="1"/>
  <c r="A567" i="1"/>
  <c r="A566" i="1"/>
  <c r="A565" i="1"/>
  <c r="A564" i="1"/>
  <c r="A563" i="1"/>
  <c r="A562" i="1"/>
  <c r="A561" i="1"/>
  <c r="A560" i="1"/>
  <c r="A559" i="1"/>
  <c r="A558" i="1"/>
  <c r="A557" i="1"/>
  <c r="A556" i="1"/>
  <c r="A555" i="1"/>
  <c r="A554" i="1"/>
  <c r="A553" i="1"/>
  <c r="A552" i="1"/>
  <c r="A551" i="1"/>
  <c r="A550" i="1"/>
  <c r="A549" i="1"/>
  <c r="A548" i="1"/>
  <c r="A547" i="1"/>
  <c r="A546" i="1"/>
  <c r="A545" i="1"/>
  <c r="A54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</calcChain>
</file>

<file path=xl/sharedStrings.xml><?xml version="1.0" encoding="utf-8"?>
<sst xmlns="http://schemas.openxmlformats.org/spreadsheetml/2006/main" count="13491" uniqueCount="893">
  <si>
    <t>Contrato</t>
  </si>
  <si>
    <t>Nombre</t>
  </si>
  <si>
    <t>Emisora</t>
  </si>
  <si>
    <t>Tipo de Pos.</t>
  </si>
  <si>
    <t>Moneda</t>
  </si>
  <si>
    <t>Títulos</t>
  </si>
  <si>
    <t>Prec Ult Hecho</t>
  </si>
  <si>
    <t>Monto</t>
  </si>
  <si>
    <t>Costo Unitario</t>
  </si>
  <si>
    <t>Plusvalia o Minusvalia</t>
  </si>
  <si>
    <t>Títulos Operados</t>
  </si>
  <si>
    <t>Monto Operado</t>
  </si>
  <si>
    <t>Títulos Pendientes</t>
  </si>
  <si>
    <t>Monto Pendiente</t>
  </si>
  <si>
    <t>Títulos Totales</t>
  </si>
  <si>
    <t>Monto Total</t>
  </si>
  <si>
    <t>Promotor</t>
  </si>
  <si>
    <t>Centro de Costos</t>
  </si>
  <si>
    <t>ADMINISTRADORA DE PERSONAL DE CASA LEY 80 SA DE CV FONDO DE AHORRO</t>
  </si>
  <si>
    <t>Etiquetas de fila</t>
  </si>
  <si>
    <t>(en blanco)</t>
  </si>
  <si>
    <t>Total general</t>
  </si>
  <si>
    <t>Suma de Monto</t>
  </si>
  <si>
    <t>CONTRATO</t>
  </si>
  <si>
    <t>TOTAL</t>
  </si>
  <si>
    <t>Suma de Monto Total</t>
  </si>
  <si>
    <t>Tipo Fondo</t>
  </si>
  <si>
    <t>Admon</t>
  </si>
  <si>
    <t>Cliente</t>
  </si>
  <si>
    <t>Sdo. Cto Inversión</t>
  </si>
  <si>
    <t>Sdo. RK</t>
  </si>
  <si>
    <t>Diferencia</t>
  </si>
  <si>
    <t>Observaciones</t>
  </si>
  <si>
    <t>ICA</t>
  </si>
  <si>
    <t>DISTRIBUCION MARZAM S.A. DE C.V.</t>
  </si>
  <si>
    <t>MARZAM DEL PACÍFICO S.A. DE C.V.</t>
  </si>
  <si>
    <t>ASESORIA Y DIRECCION MARZAM S.A. DE C.V.</t>
  </si>
  <si>
    <t>MARZAM S.A. DE C.V.</t>
  </si>
  <si>
    <t>DISTRIBUCION GUERRA ZAMUDIO S.A. DE C.V.</t>
  </si>
  <si>
    <t>INFONAVIT</t>
  </si>
  <si>
    <t>CHARTIS</t>
  </si>
  <si>
    <t>PRAXAIR</t>
  </si>
  <si>
    <t>FORTE TABASCO</t>
  </si>
  <si>
    <t>ISSSTEP 1013187</t>
  </si>
  <si>
    <t>LISMAN MEX SA DE CV FONDO DE AHORRO</t>
  </si>
  <si>
    <t>FABRICA DE JABON LA CORONA</t>
  </si>
  <si>
    <t>ASI</t>
  </si>
  <si>
    <t>CI</t>
  </si>
  <si>
    <t>CLUB INDUSTRIAL</t>
  </si>
  <si>
    <t>INVERCAPAFORE</t>
  </si>
  <si>
    <t>LC</t>
  </si>
  <si>
    <t>LAFON LAUNAY COSMETICS</t>
  </si>
  <si>
    <t>MODCOAHUILA</t>
  </si>
  <si>
    <t>NMPP</t>
  </si>
  <si>
    <t>OASISAL</t>
  </si>
  <si>
    <t>OASIS LATINOAMERICA</t>
  </si>
  <si>
    <t>IESTPSCONT</t>
  </si>
  <si>
    <t>IESTPS</t>
  </si>
  <si>
    <t>PUMA</t>
  </si>
  <si>
    <t>PUMA DE MEXICO</t>
  </si>
  <si>
    <t>CHRYSLER DAIMLER</t>
  </si>
  <si>
    <t>DAIMLER</t>
  </si>
  <si>
    <t>LA SALLE</t>
  </si>
  <si>
    <t>BOLSA MEXICANA SIF-ICAP</t>
  </si>
  <si>
    <t>BOLSA MEXICANA AMIB</t>
  </si>
  <si>
    <t>BOLSA MEXICANA CMMV</t>
  </si>
  <si>
    <t>U.A.E.M UNIV EDO MEX</t>
  </si>
  <si>
    <t>AFIANZADORA ASERTA</t>
  </si>
  <si>
    <t>TRIBUNAL T.S.J.D.F  AHORRO</t>
  </si>
  <si>
    <t>MOTOROLA MOBILITY DE MEXICO /  BCO SANTANDER MEXICO FIDEICOMISO F/2001807 2</t>
  </si>
  <si>
    <t>AXALTO / GMALTO PRINTER</t>
  </si>
  <si>
    <t>EL POTOSI CIA</t>
  </si>
  <si>
    <t>EL POTOSI EMPL</t>
  </si>
  <si>
    <t>AFIANZADORAP.F. DOLARES</t>
  </si>
  <si>
    <t>AFIANZADORA P.M. DOLARES</t>
  </si>
  <si>
    <t>ADMINISTRADORA DE PERSONAL DE CASA LEY 80 SA DE CV PENSIONES</t>
  </si>
  <si>
    <t>JOHNSON</t>
  </si>
  <si>
    <t>SAP ADI</t>
  </si>
  <si>
    <t>SAP EMPL</t>
  </si>
  <si>
    <t>AISA MANCOMUNADOS</t>
  </si>
  <si>
    <t>ASERTA MANCOMUNADOS</t>
  </si>
  <si>
    <t>ASERTA CANCELADAS</t>
  </si>
  <si>
    <t>FIDEICOMISO FOMENTO MINERO</t>
  </si>
  <si>
    <t>ARRENDADORA VIVEICA, S.A. DE C.V</t>
  </si>
  <si>
    <t xml:space="preserve">ICAI OPERACIÓN DE INFRAESTRUCTURA                        </t>
  </si>
  <si>
    <t>ICAI SERVICIOS</t>
  </si>
  <si>
    <t>SERVICIOS S.C. JOHNSON</t>
  </si>
  <si>
    <t>RETIRO</t>
  </si>
  <si>
    <t>ESPECIAL</t>
  </si>
  <si>
    <t>LIQA</t>
  </si>
  <si>
    <t>OAA</t>
  </si>
  <si>
    <t>OFR</t>
  </si>
  <si>
    <t>OFRA</t>
  </si>
  <si>
    <t>ANAHUAC</t>
  </si>
  <si>
    <t>BOSECORP</t>
  </si>
  <si>
    <t>BOSE CORPORATION SA DE CV</t>
  </si>
  <si>
    <t>AGUABONQ</t>
  </si>
  <si>
    <t>AGUABONS</t>
  </si>
  <si>
    <t>ENVASABON</t>
  </si>
  <si>
    <t>NOMISER</t>
  </si>
  <si>
    <t>BREMBO</t>
  </si>
  <si>
    <t>BREMBO MEXICO</t>
  </si>
  <si>
    <t>PRENDAS JURIDICAS FMTY</t>
  </si>
  <si>
    <t>FIANZAS MONTERREY</t>
  </si>
  <si>
    <t>FIANZAS FIANDLLS</t>
  </si>
  <si>
    <t>COMERCIAL</t>
  </si>
  <si>
    <t>MONTO</t>
  </si>
  <si>
    <t>NUM CLIENTE</t>
  </si>
  <si>
    <t>CLIENTE</t>
  </si>
  <si>
    <t>FONDO</t>
  </si>
  <si>
    <t>ADMON</t>
  </si>
  <si>
    <t>2000183B</t>
  </si>
  <si>
    <t>2000183C</t>
  </si>
  <si>
    <t>2000183D</t>
  </si>
  <si>
    <t>2000182B</t>
  </si>
  <si>
    <t>2000182C</t>
  </si>
  <si>
    <t>2000182D</t>
  </si>
  <si>
    <t>1012260A-N</t>
  </si>
  <si>
    <t>1012260B-N</t>
  </si>
  <si>
    <t>1012260C-N</t>
  </si>
  <si>
    <t>1012260D-N</t>
  </si>
  <si>
    <t>1012259A-N</t>
  </si>
  <si>
    <t>1012259B-N</t>
  </si>
  <si>
    <t>1012259C-N</t>
  </si>
  <si>
    <t>1012259D-N</t>
  </si>
  <si>
    <t>2000780A-N</t>
  </si>
  <si>
    <t>2000780B-N</t>
  </si>
  <si>
    <t>2000780C-N</t>
  </si>
  <si>
    <t>2000780D-N</t>
  </si>
  <si>
    <t>2000779A-N</t>
  </si>
  <si>
    <t>2000779B-N</t>
  </si>
  <si>
    <t>2000779C-N</t>
  </si>
  <si>
    <t>2000779D-N</t>
  </si>
  <si>
    <t>2000424-N</t>
  </si>
  <si>
    <t>2000424A-N</t>
  </si>
  <si>
    <t>2000424B-N</t>
  </si>
  <si>
    <t>2000424C-N</t>
  </si>
  <si>
    <t>2000423-N</t>
  </si>
  <si>
    <t>2000423A-N</t>
  </si>
  <si>
    <t>2000423B-N</t>
  </si>
  <si>
    <t>2000423C-N</t>
  </si>
  <si>
    <t>GESBAN-AEMP</t>
  </si>
  <si>
    <t>BANCO SANTANDER</t>
  </si>
  <si>
    <t>Cuenta de Contrato</t>
  </si>
  <si>
    <t>PENDIENTES</t>
  </si>
  <si>
    <t>VALIDACION</t>
  </si>
  <si>
    <t>KANTENAH</t>
  </si>
  <si>
    <t>KANTENAH SERVICIOS SC</t>
  </si>
  <si>
    <t>VIDANTA DESARROLLO VALLARTA</t>
  </si>
  <si>
    <t>CASA SAUZA</t>
  </si>
  <si>
    <t>2001047A-N</t>
  </si>
  <si>
    <t>2001047B-N</t>
  </si>
  <si>
    <t>2001047C-N</t>
  </si>
  <si>
    <t>2001047D-N</t>
  </si>
  <si>
    <t>2001046A-N</t>
  </si>
  <si>
    <t>2001046B-N</t>
  </si>
  <si>
    <t>2001046C-N</t>
  </si>
  <si>
    <t>2001046D-N</t>
  </si>
  <si>
    <t xml:space="preserve"> VIVEICA CONSTRUCCION Y DESARROLLO</t>
  </si>
  <si>
    <t>2001022A-N</t>
  </si>
  <si>
    <t>2001022B-N</t>
  </si>
  <si>
    <t>2001022C-N</t>
  </si>
  <si>
    <t>2001022D-N</t>
  </si>
  <si>
    <t>FONHAPO</t>
  </si>
  <si>
    <t>ENVASES PRIMO CUEVAS</t>
  </si>
  <si>
    <t>GESTION</t>
  </si>
  <si>
    <t>PENSIONES</t>
  </si>
  <si>
    <t>CAJA AHORRO</t>
  </si>
  <si>
    <t>KANTENAH SERVICIOS SC FONDO DE AHORRO</t>
  </si>
  <si>
    <t>SERVICIOS MODELO DE COAHUILA</t>
  </si>
  <si>
    <t>PRESTADORA DE SERVICIOS PARA HOTELES Y RESTAURANTES GP</t>
  </si>
  <si>
    <t>PRESIDENTE 2000486</t>
  </si>
  <si>
    <t>HEB</t>
  </si>
  <si>
    <t>AVONSIND</t>
  </si>
  <si>
    <t>AVONEMPL</t>
  </si>
  <si>
    <t>VIDANTA</t>
  </si>
  <si>
    <t>OTISSIND</t>
  </si>
  <si>
    <t>OTISADMON</t>
  </si>
  <si>
    <t>C.B. EMPL</t>
  </si>
  <si>
    <t>C.B. CIA</t>
  </si>
  <si>
    <t>Especial</t>
  </si>
  <si>
    <t>Comercial</t>
  </si>
  <si>
    <t>Retiro</t>
  </si>
  <si>
    <t>X</t>
  </si>
  <si>
    <t>Documento</t>
  </si>
  <si>
    <t>Ruta Contratos</t>
  </si>
  <si>
    <t>Contratos</t>
  </si>
  <si>
    <t>Ruta reportes</t>
  </si>
  <si>
    <t>TIPO</t>
  </si>
  <si>
    <t>CONTRATO OPICS</t>
  </si>
  <si>
    <t>SISTEMA RK</t>
  </si>
  <si>
    <t>NOMBRE P/VALUACIÓN</t>
  </si>
  <si>
    <t>EMPRESA</t>
  </si>
  <si>
    <t>TIPO DE FONDO</t>
  </si>
  <si>
    <t>ACTUALIZA</t>
  </si>
  <si>
    <t xml:space="preserve">BASE </t>
  </si>
  <si>
    <t>MANUAL</t>
  </si>
  <si>
    <t>INSTITU</t>
  </si>
  <si>
    <t>F AHORRO</t>
  </si>
  <si>
    <t>ICA PRIM</t>
  </si>
  <si>
    <t>MOTOROLA</t>
  </si>
  <si>
    <t>AXALTO</t>
  </si>
  <si>
    <t>FIANZAS</t>
  </si>
  <si>
    <t>FOMENTO MINERO</t>
  </si>
  <si>
    <t xml:space="preserve">GESTIÓN </t>
  </si>
  <si>
    <t xml:space="preserve">CASA  SAUZA </t>
  </si>
  <si>
    <t>x</t>
  </si>
  <si>
    <t>NACIONAL MONTE DE PIEDAD I.A.P. VIVE 50</t>
  </si>
  <si>
    <t xml:space="preserve">NACIONALMONTE DE PIEDAD, I.A.P. </t>
  </si>
  <si>
    <t>CASA LEY (ASESORES NORESTE)</t>
  </si>
  <si>
    <t>AIG</t>
  </si>
  <si>
    <t>MANTARA</t>
  </si>
  <si>
    <t>BOLSA MEXICANA</t>
  </si>
  <si>
    <t>U.J.A.T UNIV TABASCO /BCO SANTANDER (MEXICO) FIDEICOMISO F/2001447-1</t>
  </si>
  <si>
    <t xml:space="preserve">UNIV TABASCO </t>
  </si>
  <si>
    <t>UNIV EDO MÉXICO</t>
  </si>
  <si>
    <t>AFIANZADORA (ASERTA)</t>
  </si>
  <si>
    <t>TRIBUNAL</t>
  </si>
  <si>
    <t>UADY CAJA AHORRO/BCO.SANTANDER MEXICO S.A FID.2001672-1</t>
  </si>
  <si>
    <t>U.A.D.Y.</t>
  </si>
  <si>
    <t>PRESIDENTE 2000206</t>
  </si>
  <si>
    <t xml:space="preserve">HOTELES PRESIDENTE </t>
  </si>
  <si>
    <t>PRESIDENTE 2000205</t>
  </si>
  <si>
    <t>SANTEP20</t>
  </si>
  <si>
    <t>SANTCIA20</t>
  </si>
  <si>
    <t>SANTEMP35</t>
  </si>
  <si>
    <t>SANTEMP50</t>
  </si>
  <si>
    <t>SANTEMP60</t>
  </si>
  <si>
    <t>SANTCIA35</t>
  </si>
  <si>
    <t>SANTCIA50</t>
  </si>
  <si>
    <t>SANTCIA60</t>
  </si>
  <si>
    <t xml:space="preserve">ELAVONSCC CIA </t>
  </si>
  <si>
    <t>ELAVON</t>
  </si>
  <si>
    <t>ELAVONSCE EMP</t>
  </si>
  <si>
    <t>ELAVONCE CIA</t>
  </si>
  <si>
    <t>ELAVONCE EMP</t>
  </si>
  <si>
    <t>ISSSTEP</t>
  </si>
  <si>
    <t>ALBANY CIA</t>
  </si>
  <si>
    <t>ALBANY</t>
  </si>
  <si>
    <t>ALBANY EMPL</t>
  </si>
  <si>
    <t>EL POTOSI</t>
  </si>
  <si>
    <t>SAP</t>
  </si>
  <si>
    <t>Palace</t>
  </si>
  <si>
    <t xml:space="preserve"> Grupo Palace Resorts</t>
  </si>
  <si>
    <t>GESBAN-HACIA</t>
  </si>
  <si>
    <t>MARZAM</t>
  </si>
  <si>
    <t>AGUABON QUINCENAL</t>
  </si>
  <si>
    <t>ENVASADORA</t>
  </si>
  <si>
    <t>AGUABON SEMANAL</t>
  </si>
  <si>
    <t>ANAHUAC - INVESTIGACIONES Y ESTUDIOS SUPERIORES SC</t>
  </si>
  <si>
    <t xml:space="preserve">ANAHUAC INVESTIGACIONES Y ESTUDIOS SUPERIORES SC  </t>
  </si>
  <si>
    <t>AVON COSMETICS EMPLEADOS</t>
  </si>
  <si>
    <t>AVON</t>
  </si>
  <si>
    <t>AVON COSMETICS SINDICALIZADO</t>
  </si>
  <si>
    <t>BOSE</t>
  </si>
  <si>
    <t>HEB SUPER MERCADOS INT</t>
  </si>
  <si>
    <t xml:space="preserve">IEST </t>
  </si>
  <si>
    <t>IEST - INSTITUTO DE  ESTUDIOS SUPERIORES DE TAMAULIPAS, A.C.</t>
  </si>
  <si>
    <t>INSTITUTO DE ESTUDIOS SUPERIORES DE TAMAULIPAS A.C. CAJA DE AHORRO</t>
  </si>
  <si>
    <t xml:space="preserve">CAJA DE AHORRO </t>
  </si>
  <si>
    <t>IESTPS - IEST PLAN DE PENSIONES</t>
  </si>
  <si>
    <t>INSTITUTO DE ESTUDIOS SUPERIORES DE TAMAULIPAS A.C. PLAN DE PENSIONES</t>
  </si>
  <si>
    <t>IESTPSCONT - IEST PLAN DE PENSIONES CONTINGENCIA</t>
  </si>
  <si>
    <t>INSTITUTO DE ESTUDIOS SUPERIORES DE TAMAULIPAS A.C. PENSIONES CONTINGENCIA</t>
  </si>
  <si>
    <t>DANONE LIQUIMEX FDO AHORRO</t>
  </si>
  <si>
    <t>GRUPO DANONE</t>
  </si>
  <si>
    <t>DANONE OAM FDO AHORRO</t>
  </si>
  <si>
    <t xml:space="preserve">OASIS LATINOAMERICA </t>
  </si>
  <si>
    <t>DANONE OFR SINDICALIZADO FDO AHORRO</t>
  </si>
  <si>
    <t>DANONE OFR NO SINDICALIZADO FDO AHORRO</t>
  </si>
  <si>
    <t>Elevadores OTIS Fondo de Ahorro Empleados</t>
  </si>
  <si>
    <t>OTIS</t>
  </si>
  <si>
    <t>Elevadores OTIS Fondo de Ahorro Sindicalizados</t>
  </si>
  <si>
    <t>Fuentes</t>
  </si>
  <si>
    <t>TXT</t>
  </si>
  <si>
    <t>CSV</t>
  </si>
  <si>
    <t>Columnas Consulta</t>
  </si>
  <si>
    <t>C</t>
  </si>
  <si>
    <t>D</t>
  </si>
  <si>
    <t>NumCliente</t>
  </si>
  <si>
    <t>CASA SAUZA PENSIONES</t>
  </si>
  <si>
    <t>NACIONAL MONTE DE PIEDAD I.A.P. VIVE 20</t>
  </si>
  <si>
    <t>NACIONAL MONTE DE PIEDAD I.A.P. VIVE 60</t>
  </si>
  <si>
    <t>NACIONAL MONTE DE PIEDAD I.A.P. VIVE 35</t>
  </si>
  <si>
    <t>GESTION EMPL</t>
  </si>
  <si>
    <t>GESTION CIA</t>
  </si>
  <si>
    <t xml:space="preserve">TOPSAM CIA </t>
  </si>
  <si>
    <t>TOPSAM EMP</t>
  </si>
  <si>
    <t>BANCO S3 EMP</t>
  </si>
  <si>
    <t>BANCO S3 CIA</t>
  </si>
  <si>
    <t xml:space="preserve"> COATS MEXICO</t>
  </si>
  <si>
    <t xml:space="preserve">GENERAL MOTORS FINANCIAL </t>
  </si>
  <si>
    <t>SERVICIOS GMACFA</t>
  </si>
  <si>
    <t>F. AHORRO</t>
  </si>
  <si>
    <t>E</t>
  </si>
  <si>
    <t>C:\Reportes\Reportes</t>
  </si>
  <si>
    <t>Y:\Operativa\CONTRATOS DEFINITIVOS.xlsx</t>
  </si>
  <si>
    <t>PPR</t>
  </si>
  <si>
    <t xml:space="preserve">AP NO DEDUCIBLE </t>
  </si>
  <si>
    <t>P.P.R.</t>
  </si>
  <si>
    <t xml:space="preserve">AP DEDUCIBLE </t>
  </si>
  <si>
    <t>AP DEDUCIBLE RV</t>
  </si>
  <si>
    <t>AP DEDUCIBLE GUBERNAMENTAL</t>
  </si>
  <si>
    <t>EAMSIND</t>
  </si>
  <si>
    <t>EAMEMP</t>
  </si>
  <si>
    <t>CGA</t>
  </si>
  <si>
    <t>OASIS</t>
  </si>
  <si>
    <t>F.AHORRO</t>
  </si>
  <si>
    <t>CGA - Compañía General de Aguas</t>
  </si>
  <si>
    <t>EAMSIND - Envasadoras de Aguas en México Sind</t>
  </si>
  <si>
    <t>EAMEMP - Envasadoras de Aguas en México Empl</t>
  </si>
  <si>
    <t>Ajemex Consultores</t>
  </si>
  <si>
    <t>RADIOPOLIS CA</t>
  </si>
  <si>
    <t>RADIOPOLIS FA</t>
  </si>
  <si>
    <t>RADIOPOLIS CA - RADIOPOLIS CAJA DE AHORRO</t>
  </si>
  <si>
    <t>RADIOPOLIS FA - RADIOPOLIS FONDO DE AHORRO</t>
  </si>
  <si>
    <t>UDG - UNIVERSIDAD DE GUADALAJARA</t>
  </si>
  <si>
    <t>BANCO</t>
  </si>
  <si>
    <t>UDG</t>
  </si>
  <si>
    <t>UNIVERSIDAD DE GUADALAJARA</t>
  </si>
  <si>
    <t>Ajemex</t>
  </si>
  <si>
    <t>Cocentro</t>
  </si>
  <si>
    <t>Ajegroup</t>
  </si>
  <si>
    <t>Ajemex - Ajemex</t>
  </si>
  <si>
    <t>Cocentro - Cocentro</t>
  </si>
  <si>
    <t>Ajegroup - Ajegroup</t>
  </si>
  <si>
    <t>FECHA</t>
  </si>
  <si>
    <t>RODEO CESANTIA</t>
  </si>
  <si>
    <t>RODEO RETIRO</t>
  </si>
  <si>
    <t>RODEO VIVIENDA</t>
  </si>
  <si>
    <t>UTDCESANTIA</t>
  </si>
  <si>
    <t>UTD SUBCUENTA</t>
  </si>
  <si>
    <t>UTDRETIRO</t>
  </si>
  <si>
    <t>UTDVIVIENDA</t>
  </si>
  <si>
    <t>BONAFONT QUIN</t>
  </si>
  <si>
    <t>BONAFONT QUIN - BONAFONT QUIN</t>
  </si>
  <si>
    <t>Danone de México Q</t>
  </si>
  <si>
    <t>Danone de México Q - Danone de México Quin</t>
  </si>
  <si>
    <t>La suprema</t>
  </si>
  <si>
    <t>SUPREMA</t>
  </si>
  <si>
    <t>BONAFONT SEM</t>
  </si>
  <si>
    <t>BONAFONT SEMANAL</t>
  </si>
  <si>
    <t>Danone de México S</t>
  </si>
  <si>
    <t>DANONE DE MEXICO SEMANAL</t>
  </si>
  <si>
    <t>Bonafont Pens</t>
  </si>
  <si>
    <t>Danone Mex pensiones</t>
  </si>
  <si>
    <t>Bonafont Pens - Bonafont Pensiones</t>
  </si>
  <si>
    <t>Danone de México</t>
  </si>
  <si>
    <t>DANONE</t>
  </si>
  <si>
    <t>Arcelor Mittal México</t>
  </si>
  <si>
    <t>Arcelor Mittal Portuarios</t>
  </si>
  <si>
    <t xml:space="preserve">Arcelor Mittal Las Truchas </t>
  </si>
  <si>
    <t>Corporación del Balsas</t>
  </si>
  <si>
    <t>AM</t>
  </si>
  <si>
    <t>AP</t>
  </si>
  <si>
    <t>AT</t>
  </si>
  <si>
    <t>CB</t>
  </si>
  <si>
    <t xml:space="preserve">AC *                </t>
  </si>
  <si>
    <t xml:space="preserve">ACWI *              </t>
  </si>
  <si>
    <t xml:space="preserve">ALSEA *             </t>
  </si>
  <si>
    <t xml:space="preserve">AMX B               </t>
  </si>
  <si>
    <t xml:space="preserve">BIMBO A             </t>
  </si>
  <si>
    <t xml:space="preserve">CEMEX CPO           </t>
  </si>
  <si>
    <t xml:space="preserve">CETES 241003        </t>
  </si>
  <si>
    <t xml:space="preserve">CETES 250123        </t>
  </si>
  <si>
    <t xml:space="preserve">EEM *               </t>
  </si>
  <si>
    <t>EFECTIVO</t>
  </si>
  <si>
    <t xml:space="preserve">EPP *               </t>
  </si>
  <si>
    <t xml:space="preserve">EWJ *               </t>
  </si>
  <si>
    <t xml:space="preserve">FEMSA UBD           </t>
  </si>
  <si>
    <t xml:space="preserve">GAP B               </t>
  </si>
  <si>
    <t xml:space="preserve">GCC *               </t>
  </si>
  <si>
    <t xml:space="preserve">GENTERA *           </t>
  </si>
  <si>
    <t xml:space="preserve">GFNORTE O           </t>
  </si>
  <si>
    <t xml:space="preserve">GMEXICO B           </t>
  </si>
  <si>
    <t xml:space="preserve">GOBFED 240905       </t>
  </si>
  <si>
    <t xml:space="preserve">GOBFED 241205       </t>
  </si>
  <si>
    <t xml:space="preserve">GOBFED 250306       </t>
  </si>
  <si>
    <t xml:space="preserve">GOBFED 260305       </t>
  </si>
  <si>
    <t xml:space="preserve">GOBFED 270304       </t>
  </si>
  <si>
    <t xml:space="preserve">GOBFED 270603       </t>
  </si>
  <si>
    <t xml:space="preserve">GOBFED 290531       </t>
  </si>
  <si>
    <t xml:space="preserve">GOBFED 310529       </t>
  </si>
  <si>
    <t xml:space="preserve">GOBFED 330526       </t>
  </si>
  <si>
    <t xml:space="preserve">GOBFED 421113       </t>
  </si>
  <si>
    <t xml:space="preserve">GOBFED 471107       </t>
  </si>
  <si>
    <t xml:space="preserve">GOBFED 530731       </t>
  </si>
  <si>
    <t xml:space="preserve">GRUMA B             </t>
  </si>
  <si>
    <t xml:space="preserve">IVV *               </t>
  </si>
  <si>
    <t xml:space="preserve">STERGOB ED          </t>
  </si>
  <si>
    <t xml:space="preserve">UDIBONO 231116      </t>
  </si>
  <si>
    <t xml:space="preserve">UDIBONO 251204      </t>
  </si>
  <si>
    <t xml:space="preserve">UDIBONO 261203      </t>
  </si>
  <si>
    <t xml:space="preserve">UDIBONO 281130      </t>
  </si>
  <si>
    <t xml:space="preserve">UDIBONO 311127      </t>
  </si>
  <si>
    <t xml:space="preserve">UDIBONO 351122      </t>
  </si>
  <si>
    <t xml:space="preserve">UDIBONO 401115      </t>
  </si>
  <si>
    <t xml:space="preserve">UDIBONO 431112      </t>
  </si>
  <si>
    <t xml:space="preserve">UDIBONO 461108      </t>
  </si>
  <si>
    <t xml:space="preserve">UDIBONO 501103      </t>
  </si>
  <si>
    <t xml:space="preserve">VESTA *             </t>
  </si>
  <si>
    <t xml:space="preserve">VGK *               </t>
  </si>
  <si>
    <t xml:space="preserve">VOO *               </t>
  </si>
  <si>
    <t xml:space="preserve">WALMEX *            </t>
  </si>
  <si>
    <t xml:space="preserve">SVIVE20 ED          </t>
  </si>
  <si>
    <t xml:space="preserve">SVIVE35 ED          </t>
  </si>
  <si>
    <t xml:space="preserve">SVIVE50 ED          </t>
  </si>
  <si>
    <t xml:space="preserve">SVIVE60 ED          </t>
  </si>
  <si>
    <t xml:space="preserve">GOBFED 381118       </t>
  </si>
  <si>
    <t xml:space="preserve">CETES 241128        </t>
  </si>
  <si>
    <t xml:space="preserve">CETES 250320        </t>
  </si>
  <si>
    <t xml:space="preserve">STERGOB B2          </t>
  </si>
  <si>
    <t xml:space="preserve">STERGOB B0          </t>
  </si>
  <si>
    <t xml:space="preserve">SVIVE20 S           </t>
  </si>
  <si>
    <t xml:space="preserve">SVIVE35 S           </t>
  </si>
  <si>
    <t xml:space="preserve">SVIVE50 S           </t>
  </si>
  <si>
    <t xml:space="preserve">SVIVE60 S           </t>
  </si>
  <si>
    <t xml:space="preserve">STRGOB2 ED          </t>
  </si>
  <si>
    <t xml:space="preserve">GOBFED 361120       </t>
  </si>
  <si>
    <t xml:space="preserve">IENOVA *            </t>
  </si>
  <si>
    <t xml:space="preserve">SVIVE50 C3          </t>
  </si>
  <si>
    <t xml:space="preserve">STRGOB2 B4          </t>
  </si>
  <si>
    <t xml:space="preserve">CETELEM 22          </t>
  </si>
  <si>
    <t xml:space="preserve">CETELEM 22-4        </t>
  </si>
  <si>
    <t xml:space="preserve">CFE 14-2            </t>
  </si>
  <si>
    <t xml:space="preserve">GAP 22L             </t>
  </si>
  <si>
    <t xml:space="preserve">GOBFED 231207       </t>
  </si>
  <si>
    <t xml:space="preserve">GOBFED 341123       </t>
  </si>
  <si>
    <t xml:space="preserve">LIVEPOL 19          </t>
  </si>
  <si>
    <t xml:space="preserve">PEMEX 13-2          </t>
  </si>
  <si>
    <t xml:space="preserve">ST&amp;ER-C ED          </t>
  </si>
  <si>
    <t xml:space="preserve">STERGOB B1          </t>
  </si>
  <si>
    <t xml:space="preserve">SANMEX B            </t>
  </si>
  <si>
    <t xml:space="preserve">BBVAMX 22X          </t>
  </si>
  <si>
    <t xml:space="preserve">BPA182 270121       </t>
  </si>
  <si>
    <t xml:space="preserve">CETELEM 21-4        </t>
  </si>
  <si>
    <t xml:space="preserve">FNCOT 22S           </t>
  </si>
  <si>
    <t xml:space="preserve">PEMEX 19            </t>
  </si>
  <si>
    <t xml:space="preserve">VWLEASE 22-2        </t>
  </si>
  <si>
    <t xml:space="preserve">CETES 151015        </t>
  </si>
  <si>
    <t xml:space="preserve">CETES 160414        </t>
  </si>
  <si>
    <t xml:space="preserve">CETES 160428        </t>
  </si>
  <si>
    <t xml:space="preserve">GOBFED 170615       </t>
  </si>
  <si>
    <t xml:space="preserve">GOBFED 180614       </t>
  </si>
  <si>
    <t xml:space="preserve">GOBFED 191211       </t>
  </si>
  <si>
    <t xml:space="preserve">GOBFED 200611       </t>
  </si>
  <si>
    <t xml:space="preserve">GOBFED 210610       </t>
  </si>
  <si>
    <t xml:space="preserve">GOBFED 220609       </t>
  </si>
  <si>
    <t xml:space="preserve">UDIBONO 160616      </t>
  </si>
  <si>
    <t xml:space="preserve">UDIBONO 171214      </t>
  </si>
  <si>
    <t xml:space="preserve">UDIBONO 190613      </t>
  </si>
  <si>
    <t xml:space="preserve">UDIBONO 201210      </t>
  </si>
  <si>
    <t xml:space="preserve">UDIBONO 220609      </t>
  </si>
  <si>
    <t xml:space="preserve">BONDESD 251211      </t>
  </si>
  <si>
    <t xml:space="preserve">CFE 21U             </t>
  </si>
  <si>
    <t xml:space="preserve">CHIACB 07           </t>
  </si>
  <si>
    <t xml:space="preserve">FOVISCB 17U         </t>
  </si>
  <si>
    <t xml:space="preserve">LALA 19-2           </t>
  </si>
  <si>
    <t xml:space="preserve">TFOVICB 16U         </t>
  </si>
  <si>
    <t xml:space="preserve">STER-OP ED          </t>
  </si>
  <si>
    <t xml:space="preserve">FERROMX 14          </t>
  </si>
  <si>
    <t xml:space="preserve">GICSA 17            </t>
  </si>
  <si>
    <t xml:space="preserve">MOLYMET 21-2        </t>
  </si>
  <si>
    <t xml:space="preserve">NM 15               </t>
  </si>
  <si>
    <t xml:space="preserve">PEMEX 14U           </t>
  </si>
  <si>
    <t xml:space="preserve">USA-EQ ED           </t>
  </si>
  <si>
    <t xml:space="preserve">TFOVICB 15U         </t>
  </si>
  <si>
    <t xml:space="preserve">STER-OP MD          </t>
  </si>
  <si>
    <t xml:space="preserve">BPA182 130919       </t>
  </si>
  <si>
    <t xml:space="preserve">BPA182 140327       </t>
  </si>
  <si>
    <t xml:space="preserve">CETES 131017        </t>
  </si>
  <si>
    <t xml:space="preserve">CETES 230601        </t>
  </si>
  <si>
    <t xml:space="preserve">STER-OP E2          </t>
  </si>
  <si>
    <t xml:space="preserve">STERGOB B3          </t>
  </si>
  <si>
    <t xml:space="preserve">CASITA *            </t>
  </si>
  <si>
    <t xml:space="preserve">STRGOB2 B2          </t>
  </si>
  <si>
    <t xml:space="preserve">CETES 160107        </t>
  </si>
  <si>
    <t xml:space="preserve">SVIVE35 C2          </t>
  </si>
  <si>
    <t xml:space="preserve">SVIVE35 C3          </t>
  </si>
  <si>
    <t xml:space="preserve">STERGOB B5          </t>
  </si>
  <si>
    <t xml:space="preserve">STERGOB B4          </t>
  </si>
  <si>
    <t xml:space="preserve">SVIVE60 C1          </t>
  </si>
  <si>
    <t xml:space="preserve">SVIVE60 C3          </t>
  </si>
  <si>
    <t xml:space="preserve">ACBE 17             </t>
  </si>
  <si>
    <t xml:space="preserve">ALSEA 17-2          </t>
  </si>
  <si>
    <t xml:space="preserve">BINBUR 14-7         </t>
  </si>
  <si>
    <t xml:space="preserve">CFE 17              </t>
  </si>
  <si>
    <t xml:space="preserve">DANHOS 17           </t>
  </si>
  <si>
    <t xml:space="preserve">FUNO 17             </t>
  </si>
  <si>
    <t xml:space="preserve">GMXT 17             </t>
  </si>
  <si>
    <t xml:space="preserve">HSBC 17-2           </t>
  </si>
  <si>
    <t xml:space="preserve">LALA 18             </t>
  </si>
  <si>
    <t xml:space="preserve">TELMEX 07           </t>
  </si>
  <si>
    <t xml:space="preserve">METROCB 07          </t>
  </si>
  <si>
    <t xml:space="preserve">SVIVE20 C2          </t>
  </si>
  <si>
    <t xml:space="preserve">SVIVE50 C2          </t>
  </si>
  <si>
    <t xml:space="preserve">SVIVE60 C2          </t>
  </si>
  <si>
    <t xml:space="preserve">BANOA64 999999      </t>
  </si>
  <si>
    <t xml:space="preserve">POSAS95 271230      </t>
  </si>
  <si>
    <t xml:space="preserve">GOBFED 260903       </t>
  </si>
  <si>
    <t xml:space="preserve">TRAXION A           </t>
  </si>
  <si>
    <t xml:space="preserve">SPSM *              </t>
  </si>
  <si>
    <t xml:space="preserve">AMX 0131X           </t>
  </si>
  <si>
    <t xml:space="preserve">HERDEZ *            </t>
  </si>
  <si>
    <t xml:space="preserve">SAM-RVG E           </t>
  </si>
  <si>
    <t xml:space="preserve">STER-OP E3          </t>
  </si>
  <si>
    <t xml:space="preserve">ALFA A              </t>
  </si>
  <si>
    <t xml:space="preserve">GOBFED 290301       </t>
  </si>
  <si>
    <t xml:space="preserve">EDUCA 23L           </t>
  </si>
  <si>
    <t xml:space="preserve">BONDESF 240815      </t>
  </si>
  <si>
    <t>Envasadora de Aguas Pensiones</t>
  </si>
  <si>
    <t xml:space="preserve">CASA LEY FONDO DE AHORRO - CASA LEY SAPI SA DE CV (PLAN DE PENSION) </t>
  </si>
  <si>
    <t>CASA LEY SAPI PENS</t>
  </si>
  <si>
    <t>CFE</t>
  </si>
  <si>
    <t>CFEnergía</t>
  </si>
  <si>
    <t>61A0</t>
  </si>
  <si>
    <t>61A2</t>
  </si>
  <si>
    <t>61C0</t>
  </si>
  <si>
    <t>25D0</t>
  </si>
  <si>
    <t>25D1</t>
  </si>
  <si>
    <t>41D0</t>
  </si>
  <si>
    <t>61A1</t>
  </si>
  <si>
    <t>698W</t>
  </si>
  <si>
    <t>86F0</t>
  </si>
  <si>
    <t>904W</t>
  </si>
  <si>
    <t>MX10</t>
  </si>
  <si>
    <t>Robert Bosch México Sistemas Automotrices, S.A. de C.V. (Fondo de Ahorro 61A0)</t>
  </si>
  <si>
    <t>Robert Bosch México Sistemas Automotrices, S.A. de C.V. (Fondo de Ahorro 61A2)</t>
  </si>
  <si>
    <t>Robert Bosch México Sistemas Automotrices, S.A. de C.V. (Fondo de Ahorro 61C0)</t>
  </si>
  <si>
    <t>Robert Bosch México Sistemas de Seguridad, S.A. de C.V. (Fondo de Ahorro 1528)</t>
  </si>
  <si>
    <t>Robert Bosch México, S.A. de C.V. (Fondo de Ahorro 25D0)</t>
  </si>
  <si>
    <t>Robert Bosch México, S.A. de C.V. (Fondo de Ahorro 25D1)</t>
  </si>
  <si>
    <t>Robert Bosch Tool de México, S.A de C.V. (Fondo de Ahorro 41D0)</t>
  </si>
  <si>
    <t>Robert Bosch México Sistemas de Frenos, S. de R.L. de C.V. (Fondo de Ahorro 61A1)</t>
  </si>
  <si>
    <t>Robert Bosch Sistemas Automotrices S.A de C.V (Fondo de Ahorro 6981)</t>
  </si>
  <si>
    <t>Robert Bosch Sistemas Automotrices S.A. de C.V. (Fondo de Ahorro 698W)</t>
  </si>
  <si>
    <t>Frenados Mexicanos, S.A. de C.V. (Fondo de Ahorro 86F0)</t>
  </si>
  <si>
    <t>Robert Bosch S de RL de CV (Fondo de Ahorro 904W)</t>
  </si>
  <si>
    <t>Bosch Rexroth S.A. de C.V. (Fondo de Ahorro MX10)</t>
  </si>
  <si>
    <t xml:space="preserve">KOF UBL             </t>
  </si>
  <si>
    <t xml:space="preserve">LACOMER UBC         </t>
  </si>
  <si>
    <t xml:space="preserve">R A                 </t>
  </si>
  <si>
    <t xml:space="preserve">BONDESF 241107      </t>
  </si>
  <si>
    <t xml:space="preserve">CETES 251030        </t>
  </si>
  <si>
    <t xml:space="preserve">NEMAK A             </t>
  </si>
  <si>
    <t xml:space="preserve">RSP *               </t>
  </si>
  <si>
    <t xml:space="preserve">BPA182 301010       </t>
  </si>
  <si>
    <t>BSH</t>
  </si>
  <si>
    <t>BSH Home Appliances, S.A de C.V. (Fondo de Ahorro</t>
  </si>
  <si>
    <t>Alpamayo</t>
  </si>
  <si>
    <t>Inmobiliaria Alpamayo, S.A. de C.V</t>
  </si>
  <si>
    <t xml:space="preserve">ASUR B              </t>
  </si>
  <si>
    <t xml:space="preserve">BLADEX 24           </t>
  </si>
  <si>
    <t xml:space="preserve">LIVEPOL C-1         </t>
  </si>
  <si>
    <t xml:space="preserve">CETES 251224        </t>
  </si>
  <si>
    <t xml:space="preserve">BPAG91 270107       </t>
  </si>
  <si>
    <t xml:space="preserve">CETES 250206        </t>
  </si>
  <si>
    <t xml:space="preserve">STERGOB C2          </t>
  </si>
  <si>
    <t xml:space="preserve">AMX 10-2            </t>
  </si>
  <si>
    <t xml:space="preserve">CBIC003 210128      </t>
  </si>
  <si>
    <t xml:space="preserve">CBIC007 221208      </t>
  </si>
  <si>
    <t xml:space="preserve">CBIC008 231207      </t>
  </si>
  <si>
    <t xml:space="preserve">CETES 140821        </t>
  </si>
  <si>
    <t xml:space="preserve">CETES 141211        </t>
  </si>
  <si>
    <t xml:space="preserve">GOBFED 181213       </t>
  </si>
  <si>
    <t xml:space="preserve">UDIBONO 141218      </t>
  </si>
  <si>
    <t xml:space="preserve">STERGOB M2          </t>
  </si>
  <si>
    <t xml:space="preserve">SVIVE20 C3          </t>
  </si>
  <si>
    <t xml:space="preserve">ST&amp;ER-7 ED          </t>
  </si>
  <si>
    <t xml:space="preserve">STEREAL ED          </t>
  </si>
  <si>
    <t xml:space="preserve">CETES 240822        </t>
  </si>
  <si>
    <t xml:space="preserve">BBPEN 21            </t>
  </si>
  <si>
    <t xml:space="preserve">BONDESF 250227      </t>
  </si>
  <si>
    <t xml:space="preserve">BONDESF 250424      </t>
  </si>
  <si>
    <t xml:space="preserve">BONDESF 250619      </t>
  </si>
  <si>
    <t xml:space="preserve">CETELEM 21-3        </t>
  </si>
  <si>
    <t xml:space="preserve">FIBRAMQ 12          </t>
  </si>
  <si>
    <t xml:space="preserve">FIBRAPL 14          </t>
  </si>
  <si>
    <t xml:space="preserve">JAVER *             </t>
  </si>
  <si>
    <t xml:space="preserve">KIMBER 22           </t>
  </si>
  <si>
    <t xml:space="preserve">KIMBER A            </t>
  </si>
  <si>
    <t xml:space="preserve">KOF 21-2L           </t>
  </si>
  <si>
    <t xml:space="preserve">TERRA 13            </t>
  </si>
  <si>
    <t xml:space="preserve">GFINBUR O           </t>
  </si>
  <si>
    <t xml:space="preserve">CETES 211118        </t>
  </si>
  <si>
    <t xml:space="preserve">CFE 21-5            </t>
  </si>
  <si>
    <t xml:space="preserve">TFOVICB 20U         </t>
  </si>
  <si>
    <t xml:space="preserve">ELEKTRA *           </t>
  </si>
  <si>
    <t xml:space="preserve">FINAMEX O           </t>
  </si>
  <si>
    <t xml:space="preserve">GFREGIO O           </t>
  </si>
  <si>
    <t xml:space="preserve">OHLMEX *            </t>
  </si>
  <si>
    <t xml:space="preserve">ABACOGF A           </t>
  </si>
  <si>
    <t xml:space="preserve">CABLE CPO           </t>
  </si>
  <si>
    <t xml:space="preserve">FEMSA UB            </t>
  </si>
  <si>
    <t xml:space="preserve">VIDEO *             </t>
  </si>
  <si>
    <t xml:space="preserve">COVARRA *           </t>
  </si>
  <si>
    <t xml:space="preserve">STRGOB2 B0          </t>
  </si>
  <si>
    <t xml:space="preserve">CREYCB 07-2         </t>
  </si>
  <si>
    <t xml:space="preserve">FOVISCB 19-2U       </t>
  </si>
  <si>
    <t xml:space="preserve">DANHOS 13           </t>
  </si>
  <si>
    <t xml:space="preserve">EDUCA 18            </t>
  </si>
  <si>
    <t xml:space="preserve">FEZ *               </t>
  </si>
  <si>
    <t xml:space="preserve">FHIPOCB 17U         </t>
  </si>
  <si>
    <t xml:space="preserve">FORION 20           </t>
  </si>
  <si>
    <t xml:space="preserve">FUNO 11             </t>
  </si>
  <si>
    <t xml:space="preserve">FVIA 16             </t>
  </si>
  <si>
    <t xml:space="preserve">HICKOK 90           </t>
  </si>
  <si>
    <t xml:space="preserve">IBANOBRA 13171      </t>
  </si>
  <si>
    <t xml:space="preserve">LASITE B-1          </t>
  </si>
  <si>
    <t xml:space="preserve">RCOCB 09            </t>
  </si>
  <si>
    <t xml:space="preserve">SPY *               </t>
  </si>
  <si>
    <t xml:space="preserve">TFOVICB 15-2U       </t>
  </si>
  <si>
    <t xml:space="preserve">CETES 240530        </t>
  </si>
  <si>
    <t xml:space="preserve">CETES 260219        </t>
  </si>
  <si>
    <t xml:space="preserve">CASA LEY SAPI SA DE CV (FONDO DE AHORRO) </t>
  </si>
  <si>
    <t xml:space="preserve">CETES 250306        </t>
  </si>
  <si>
    <t xml:space="preserve">FEFA 24             </t>
  </si>
  <si>
    <t xml:space="preserve">ALPEK A             </t>
  </si>
  <si>
    <t xml:space="preserve">UDIBONO 340824      </t>
  </si>
  <si>
    <t>CASA LEY SAPI FA</t>
  </si>
  <si>
    <t>QUE1</t>
  </si>
  <si>
    <t>Bosch Rexroth, S.A. de C.V. (Fondo de Ahorro QUE1)</t>
  </si>
  <si>
    <t>PEGASO PCS SA DE CV</t>
  </si>
  <si>
    <t>NORMAL</t>
  </si>
  <si>
    <t>MXN</t>
  </si>
  <si>
    <t>EPER</t>
  </si>
  <si>
    <t>CONTROLADORA MABE SA DE CV</t>
  </si>
  <si>
    <t xml:space="preserve">AMX 0129            </t>
  </si>
  <si>
    <t xml:space="preserve">MEGA 24X            </t>
  </si>
  <si>
    <t>BANCO SANTANDER MEXICO SA FIDEICOMISO F  24606130</t>
  </si>
  <si>
    <t>FUNDACION TELEFONICA MEXICO AC</t>
  </si>
  <si>
    <t>CFENERGIA SA DE CV</t>
  </si>
  <si>
    <t>ROBERT BOSCH MEXICO SISTEMAS AUTOMOTRICES, S.A. DE C.V. (FONDO DE AHOR</t>
  </si>
  <si>
    <t>ROBERT BOSCH MEXICO SISTEMAS DE SEGURIDAD, S.A. DE C.V. (FONDO DE AHOR</t>
  </si>
  <si>
    <t>ROBERT BOSCH MEXICO, S.A. DE C.V. (FONDO DE AHORRO 25D0)</t>
  </si>
  <si>
    <t>ROBERT BOSCH MEXICO, S.A. DE C.V. (FONDO DE AHORRO 25D1)</t>
  </si>
  <si>
    <t>ROBERT BOSCH TOOL DE MÉXICO, S.A DE C.V. (FONDO DE AHORRO 41D0)</t>
  </si>
  <si>
    <t>ROBERT BOSCH MÉXICO SISTEMAS DE FRENOS, S. DE R.L. DE C.V. (FONDO DE A</t>
  </si>
  <si>
    <t>ROBERT BOSCH SISTEMAS AUTOMOTRICES S.A DE C.V</t>
  </si>
  <si>
    <t>ROBERT BOSCH SISTEMAS AUTOMOTRICES S.A. DE C.V.</t>
  </si>
  <si>
    <t>FRENADOS MEXICANOS, S.A. DE C.V. (FONDO DE AHORRO 86F0)</t>
  </si>
  <si>
    <t>ROBERT BOSCH S DE RL DE CV (FONDO DE AHORRO 904W)</t>
  </si>
  <si>
    <t>BOSCH REXROTH S.A. DE C.V. (FONDO DE AHORRO MX10)</t>
  </si>
  <si>
    <t>BSH HOME APPLIANCES  S.A DE C.V (FONDO DE AHORRO)</t>
  </si>
  <si>
    <t>UNIVERSIDAD AUTONOMA DE BAJA C ALIFORNIA</t>
  </si>
  <si>
    <t>BANCO SANTANDER MEXICO FID F/2003141-0</t>
  </si>
  <si>
    <t>BCO.SANTANDER MEXICO S.A FID.2001672-1</t>
  </si>
  <si>
    <t>BANCO MERCANTIL DE NORTE SA X CTA DEL FID/30203-7 DEUDA</t>
  </si>
  <si>
    <t>BANCO SANTANDER MEXICO FIDEICOMISO F/2001815 2</t>
  </si>
  <si>
    <t xml:space="preserve">CETES 250403        </t>
  </si>
  <si>
    <t>BANCO SANTANDER MEXICO FIDEICOMISO F/2001815 3</t>
  </si>
  <si>
    <t>BANCO SANTANDER MEXICO FIDEICOMISO F/2001815 4</t>
  </si>
  <si>
    <t>BANCO SANTANDER MEXICO FIDEICOMISO F/2001213 4</t>
  </si>
  <si>
    <t>BCO SANT MEX, SA CTA CONC PLANES PERS DE RET DEDUC CONSERVADOR</t>
  </si>
  <si>
    <t>GESTION SANTANDER SA DE CV SO DE SICH CAJA AHORRO EMPLEADOS</t>
  </si>
  <si>
    <t>GESTION SANTANDER SA DE CV SOP SIPP</t>
  </si>
  <si>
    <t>BANCO SANTANDER MEXICO SA FIDEICOMISO 20018231</t>
  </si>
  <si>
    <t>BANCO SANTANDER MEXICO SA FID 2000352-1</t>
  </si>
  <si>
    <t>BANCO SANTANDER MEXICO SA FIDEICOMISO F/2110597-1</t>
  </si>
  <si>
    <t>NAFINSA COMO FID.DEL FISO ART.16 LEY ADUANERA (CON MANDATO)</t>
  </si>
  <si>
    <t>BANCO SANTANDER MEXICO SA FIDEICOMISO  F/35740-0</t>
  </si>
  <si>
    <t>BANCO SANTANDER MEXICO SA FIDEICOMISO  F/2002506-1</t>
  </si>
  <si>
    <t>BANCO SANTANDER MEXICO SA FIDEICOMISO  F/2002507-1</t>
  </si>
  <si>
    <t>INVESTIGACIONES Y ESTUDIOS SUPERIORES SC (FONDO DE AHORRO)</t>
  </si>
  <si>
    <t>BANCO NACIONAL DE MÉXICO, S.A. X CTA. DEL FID. 5073632</t>
  </si>
  <si>
    <t>BANCO SANTANDER MEXICO S. A. FIDEICOMISO F/2002670-5</t>
  </si>
  <si>
    <t>BANCO SANTANDER MEXICO S. A. FIDEICOMISO F/2002670-6</t>
  </si>
  <si>
    <t>BANCO SANTANDER MEXICO S. A. FIDEICOMISO F/2002670-2</t>
  </si>
  <si>
    <t>CAJA DE PREVISION Y AHORROS DEL S N T S S</t>
  </si>
  <si>
    <t>NACIONAL FINANCIERA SNC COMO FIDUCIARIA DEL FID 80722 PENSIONES PMI</t>
  </si>
  <si>
    <t>BANCO SANTANDER MEXICO SA FIDEICOMISO F/2003285-1</t>
  </si>
  <si>
    <t>ALMACENADORA SUR SA DE CV ORG. AUX. DEL CDTO.(RESERVA DE CONTINGENCIA)</t>
  </si>
  <si>
    <t>PRAXAIR MEXICO S DE RL DE CV</t>
  </si>
  <si>
    <t>BREMBO MEXICO SA DE CV FONDO DE AHORRO</t>
  </si>
  <si>
    <t>OPERADORA TURISTICA HOTELERA SA DE CV (FONDO DE AHORRO</t>
  </si>
  <si>
    <t>SEGUROS EL POTOSI,S.A.FDO.PENS.APOR.EMPL</t>
  </si>
  <si>
    <t>SEGUROS EL POTOSI,S.A.FDO.DE PENSIONES CONTRIBUCION DEFINIDA</t>
  </si>
  <si>
    <t>SAINT GOBAIN AMERICA SA DE CV</t>
  </si>
  <si>
    <t>SAINT GOBAIN MEXICO, S.A. DE C.V.</t>
  </si>
  <si>
    <t>SAINT-GOBAIN GYPSUM OPERADORA SA DE CV</t>
  </si>
  <si>
    <t>SAINT GOBAIN ABRASIVOS SA DE CV (FDO DE AHORRO EMPLEADOS)</t>
  </si>
  <si>
    <t>SAINT GOBAIN ABRASIVOS SA DE CV (FDO AHORRO SINDICAL)</t>
  </si>
  <si>
    <t>AHORRO EMPLEADOS)                                 SAINT GOBAIN SOPORTE</t>
  </si>
  <si>
    <t>SAINT GOBAIN AMERICA, S.A. DE C.V.</t>
  </si>
  <si>
    <t>SKANDIA LIFE, S.A. DE C.V POR CUENTA DEL FID 331-06 DEUDA</t>
  </si>
  <si>
    <t>SKANDIA LIFE, S.A. DE C.V. POR CUENTA DEL FID 331-06 RV</t>
  </si>
  <si>
    <t>BRINKS SERVICIOS ADMINISTRATIVOS SA DE CV (PLAN PENSIONES)</t>
  </si>
  <si>
    <t>SANTANDER SERVICIOS CORPORATIVOS SA DE CV (PLAN DE PENSIONES)</t>
  </si>
  <si>
    <t>SANTANDER SERVICIOS CORPORATIVOS SA DE CV (CAJA DE AHORRO)</t>
  </si>
  <si>
    <t>SANTANDER INCLUSION FINANCIERA SA DE CV SOFOM ER GFSM (PLAN PENSIONES)</t>
  </si>
  <si>
    <t>SANTANDER INCLUSION FINANCIERA SA DE CV SOFOM ER GFSM (CAJA DE AHORRO)</t>
  </si>
  <si>
    <t>ENVASADORAS DE AGUAS EN MEXICO S DE RL DE CV</t>
  </si>
  <si>
    <t>ENVASABON S DE RL DE CV</t>
  </si>
  <si>
    <t>ASOCIACION MEXICANA DE INSTITUCIONES BURSATILES  AC FDO DE AHORRO</t>
  </si>
  <si>
    <t>ARJEA, S.C</t>
  </si>
  <si>
    <t>SCOTIABANK INVERLAT SA FID 11041274</t>
  </si>
  <si>
    <t>BANCO SANTANDER MEXICO SA FIDEICOMISO F/2460173-0</t>
  </si>
  <si>
    <t>SAM ASSET MANAGEMENT SA CV SOFI X CTA Y ORDEN DE TERCEROS</t>
  </si>
  <si>
    <t>AJEMEX CONSULTORES SA DE CV</t>
  </si>
  <si>
    <t>CAJA RADIOPOLIS SC</t>
  </si>
  <si>
    <t>FONDO RADIOPOLIS SC</t>
  </si>
  <si>
    <t>SAINT GOBAIN PLAKA, S.A. DE C.V.</t>
  </si>
  <si>
    <t>DANONE DE MEXICO SA DE CV FONDO DE AHORRO SINDICALIZADO</t>
  </si>
  <si>
    <t>DANONE DE MEXICO SA DE CV FONDO DE AHORRO NO SINDICALIZADO</t>
  </si>
  <si>
    <t>COMPANIA GENERAL DE AGUAS SA DE CV FONDO DE AHORRO</t>
  </si>
  <si>
    <t>ENVASADORAS DE AGUAS EN MEXICO S DE RLDECV FDO DE AHORRO SINDICALIZADO</t>
  </si>
  <si>
    <t>SAINT GOBAIN MEXICO SA DE CV (FDO AHORRO EMPLEADOS)</t>
  </si>
  <si>
    <t>SAINT GOBAIN MEXICO SA DE CV (FDO AHORRO SINDICALIZADOS)</t>
  </si>
  <si>
    <t>ENVASADORA LA SUPREMA SA DE CV FONDO DE AHORRO</t>
  </si>
  <si>
    <t>ENVASADORA LA SUPREMA SA DE CV FONDO DE PENSIONES</t>
  </si>
  <si>
    <t>BONAFONT SA DE CV FONDO DE AHORRO SINDICALIZADO</t>
  </si>
  <si>
    <t>BONAFONT SA DE CV FONDO DE AHORRO NO SINDICALIZADO</t>
  </si>
  <si>
    <t>SIF ICAP SA DE CV FONDO DE AHORRO</t>
  </si>
  <si>
    <t>SIF ICAP SA DE CV PENSIONES Y PRIMA DE ANTIGUEDAD</t>
  </si>
  <si>
    <t>ZURICH ASEGURADORA MEXICANA, S.A. DE C.V</t>
  </si>
  <si>
    <t>AJEMEX SA DE CV</t>
  </si>
  <si>
    <t>COCENTRO SA DE CV</t>
  </si>
  <si>
    <t>SAINT GOBAIN PLAKA SA DE CV</t>
  </si>
  <si>
    <t>AUTOBUSES DE ORIENTE (ADO) S.A. DE C.V.</t>
  </si>
  <si>
    <t>BANCO SANTANDER (MEXICO) FIDEICOMISO F/100246-1</t>
  </si>
  <si>
    <t>BANCO SANTANDER (MEXICO) FIDEICOMISO F/20875-0</t>
  </si>
  <si>
    <t>BANCO SANTANDER (MEXICO) FIDEICOMISO F/11272-0</t>
  </si>
  <si>
    <t>BANCO SANTANDER (MEXICO) FIDEICOMISO F/11280-0</t>
  </si>
  <si>
    <t>BANCO SANTANDER (MEXICO) FIDEICOMISO F/11361-0</t>
  </si>
  <si>
    <t>BANCO SANTANDER (MEXICO) FIDEICOMISO F/20441-0</t>
  </si>
  <si>
    <t>BCO.SANT.MEX.SA CTA.CONCENTRADORA PLANES PERS.DE RET.APOR NO DEDUC.</t>
  </si>
  <si>
    <t>BCO.SANTANDER MEX.SA CTA.CONCENTRADORA PLANES PERS.DE RET.APOR.DEDUC.</t>
  </si>
  <si>
    <t>VALORES EN GARANTIA POR FORWARD</t>
  </si>
  <si>
    <t>BANCO SANTANDER (MEXICO) FIDEICOMISO F/2112221-1</t>
  </si>
  <si>
    <t>BANCO SANTANDER (MEXICO) FIDEICOMISO F/2000363-1</t>
  </si>
  <si>
    <t>BANCO SANTANDER (MEXICO) FIDEICOMISO F/2000363-2</t>
  </si>
  <si>
    <t>BANCO SANTANDER (MEXICO) FIDEICOMISO F/2000363-3</t>
  </si>
  <si>
    <t>BANCO SANTANDER (MEXICO) FIDEICOMISO F/2000363-4</t>
  </si>
  <si>
    <t>BANCO SANTANDER (MEXICO) FIDEICOMISO F/2000362-1</t>
  </si>
  <si>
    <t>BANCO SANTANDER (MEXICO) FIDEICOMISO F/2000362-2</t>
  </si>
  <si>
    <t>BANCO SANTANDER (MEXICO) FIDEICOMISO F/2112323-1</t>
  </si>
  <si>
    <t>INST. DEL FDO.NAC.DE LA VIVIENDA PARA LOS TRABAJADORES,  FDO DE AHORRO</t>
  </si>
  <si>
    <t>BCO.SANTANDER MEX.SA CTA.CONCENTRADORA PLANES PERS.RET.APOR.DEDUC.(RV)</t>
  </si>
  <si>
    <t>AUTOS PULLMAN, S.A. DE C.V.</t>
  </si>
  <si>
    <t>BANCO SANTANDER MEXICO FIDEICOMISO F 211</t>
  </si>
  <si>
    <t>DANONE DE MEXICO SA DE CV</t>
  </si>
  <si>
    <t>BOSE CORPORATION SA DE CV FONDO AHORRO E</t>
  </si>
  <si>
    <t>BANCO SANTANDER MEXICO FIDEICOMISO F/100654 1</t>
  </si>
  <si>
    <t>ENVASADORAS DE AGUAS EN MEXICO S DE R LD</t>
  </si>
  <si>
    <t>BANCO SANTANDER (MEXICO) FIDEICOMISO F/2001277-1</t>
  </si>
  <si>
    <t>BANCO SANTANDER (MEXICO) FIDEICOMISO F/2001422-1</t>
  </si>
  <si>
    <t>BANCO SANTANDER (MEXICO) FIDEICOMISO F/2001447-1</t>
  </si>
  <si>
    <t>BANCO SANTANDER (MEXICO) FIDEICOMISO F/2001512-1</t>
  </si>
  <si>
    <t>BONAFONT SA DE CV</t>
  </si>
  <si>
    <t>UNIVERSIDAD AUTONOMA DEL ESTADO DE MEXIC</t>
  </si>
  <si>
    <t>BBVA BANCOMER SA F/470914 SUBCTA 1 DIRECCION FIDUCIARIA</t>
  </si>
  <si>
    <t>BBVA BANCOMER SA F/470914 SUBCTA 4 DIRECCION FIDUCIARIA</t>
  </si>
  <si>
    <t>CAJA DE AHORRO EJECUTIVOS CM AC</t>
  </si>
  <si>
    <t>BANCO SANTANDER MEXICO SA FIDEICOMISO 20</t>
  </si>
  <si>
    <t>ELECTRO COMPONENTES DE MEXICO SA DE CV F</t>
  </si>
  <si>
    <t>BANCO SANTANDER MEXICO SA FIDEICOMISO 20 02171 1</t>
  </si>
  <si>
    <t>AFORE INVERCAP SA DE CV CV FONDO DE AHOR</t>
  </si>
  <si>
    <t>DEUTSCHE BANK MEXICO SOCIEDAD ANONIMA DI</t>
  </si>
  <si>
    <t>ADMINISTRADORA DE RESERVAS DE LOS TRABAJ</t>
  </si>
  <si>
    <t>NOMISER SA DE CV FONDO DE AHORRO</t>
  </si>
  <si>
    <t>BANCO SANTANDER MEXICO SA FIDEICOMISO F</t>
  </si>
  <si>
    <t>BANCO SANTANDER MEXICO FID F2010190-0</t>
  </si>
  <si>
    <t>BANCO SANTANDER MEXICO SA FIDEICOMISO F2</t>
  </si>
  <si>
    <t>BBVA BANCOMER SA F470914 SUBCTA 2 DIREC</t>
  </si>
  <si>
    <t>ADMINISTRADORA FONDO DE AHORRO PALACE RE</t>
  </si>
  <si>
    <t>BANCO SANTANDER MEXICO FID F2001422-1</t>
  </si>
  <si>
    <t>SINDICATO DE LOS TRAB DEL INST TEC SUP D</t>
  </si>
  <si>
    <t>CASA LEY SAPI DE CV</t>
  </si>
  <si>
    <t>ARCELORMITTAL MEXICO SA DE CV</t>
  </si>
  <si>
    <t>ARCELORMITTAL PORTUARIOS SA DE CV</t>
  </si>
  <si>
    <t>CORPORACION DEL BALSAS SA DE CV</t>
  </si>
  <si>
    <t>ARCELORMITTAL LAS TRUCHAS SA DE CV</t>
  </si>
  <si>
    <t>COMERCIAL CITY FRESKO S DE RL DE CV</t>
  </si>
  <si>
    <t>USD</t>
  </si>
  <si>
    <t>ASEGURADORA ASERTA SA DE CV</t>
  </si>
  <si>
    <t>BANCO SANTANDER MEXICO FIDEICOMISO F/2001815 5</t>
  </si>
  <si>
    <t>BANCO SANTANDER MEXICO FIDEICOMISO F/2001815 6</t>
  </si>
  <si>
    <t>ASEGURADORA INSURGENTES SA DE CV</t>
  </si>
  <si>
    <t>SCOTIABANK INVERLAT, S.A. FID. 11032679  (FDO. DE PENS. PMI)</t>
  </si>
  <si>
    <t>BCO. SANTANDER ( MEXICO ) FIDEICOMISO F/ 2112257-3</t>
  </si>
  <si>
    <t>GESBAN MEXICO SERVICIOS ADMINISTRATIVOS GLOBALES SA CV CAJA DE AHORRO</t>
  </si>
  <si>
    <t>GESBAN MEXICO SERVICIOS ADMINISTRATIVOS GLOBALES SA DE CV FDO PENS CD</t>
  </si>
  <si>
    <t>BANCO SANTANDER MEXICO FIDEICOMISO F/2000712 2</t>
  </si>
  <si>
    <t>BANCO SANTANDER MEXICO FIDEICOMISO F/2000712 3</t>
  </si>
  <si>
    <t>BANCO SANTANDER MEXICO FIDEICOMISO F/2000712 4</t>
  </si>
  <si>
    <t>BANCO SANTANDER MEXICO FIDEICOMISO F/2000713 2</t>
  </si>
  <si>
    <t>BANCO SANTANDER MEXICO FIDEICOMISO F/2000713 3</t>
  </si>
  <si>
    <t>BANCO SANTANDER MEXICO S.A. FIDEICOMISO F/2000713-4</t>
  </si>
  <si>
    <t>BANCO NACIONAL DE MEXICO SA FIDEICOMISO F/140021</t>
  </si>
  <si>
    <t>GESBAN MEXICO SERVICOS ADMINISTRATIVOS GLOBALES, SA DE CV PRIMA DE ANT</t>
  </si>
  <si>
    <t>ORGANIZACION FR MEXICO SA CV FDO. PENS.</t>
  </si>
  <si>
    <t>CASA DE BOLSA, S.A. DE C.V., CAJA DE AHORRO</t>
  </si>
  <si>
    <t>CASA DE BOLSA, S.A. DE C.V., PLAN DE PENSIONES</t>
  </si>
  <si>
    <t>ORGANIZACION FR MEXICO S.A DE C.V. FDO. PENS. CD</t>
  </si>
  <si>
    <t>ORGANIZACION FR MEXICO S.A DE C.V. (N/SIND) FDO. AHORRO</t>
  </si>
  <si>
    <t>BANCO SANTANDER MEXICO S.A. FIDEICOMISO F/2001896-1</t>
  </si>
  <si>
    <t>LAFON LAUNAY COSMETICS SA DE CV</t>
  </si>
  <si>
    <t>BANCO SANTANDER MEXICO FIDEICOMISO F/2002126-1</t>
  </si>
  <si>
    <t>SERVICIO PAN AMERICANO DE PROTECCION, S.A. DE C.V. (FONDO DE AHORRO)</t>
  </si>
  <si>
    <t>SUPERMERCADOS INTERNACIONALES HEB. S.A. DE C.V</t>
  </si>
  <si>
    <t>SERVICIO PAN AMERICANO DE PROTECCION SA DE CV (FDO. DE PENSIONES B.D.)</t>
  </si>
  <si>
    <t>SERVICIO PAN AMERICANO DE PROTECCION SA DE CV (FDO. DE PENSIONES C.D)</t>
  </si>
  <si>
    <t>OASIS SOUTH, S. DE R.L. DE C.V. FONDO DE AHORRO</t>
  </si>
  <si>
    <t>CA EMP EJEC Y ADM SERVICIO PAN AMERICANO DE PROTECCION, A.C.</t>
  </si>
  <si>
    <t>SERVICIO PAN AMERICANO DE PROTECCION SA DE CV (F.A. PER SIND)</t>
  </si>
  <si>
    <t>BM CONTROL Y ADMON DE PERSONAL SA DE CV (FDO DE AHORRO)</t>
  </si>
  <si>
    <t>OASIS LATINOAMERICA S DE RL DE CV (FONDO DE AHORRO)</t>
  </si>
  <si>
    <t>BANCO SANTANDER MEXICO SA FIDEICOMISO F/ 2001213-6</t>
  </si>
  <si>
    <t>SERVICIO PAN AMERICANO DE PROTECCION SA CV FDO AHORRO PERS SIND INT</t>
  </si>
  <si>
    <t>ASOC. DE TRABAJADORES SIND. DE SPAPSA METROPOLITANA AC CAJA DE AHORROS</t>
  </si>
  <si>
    <t>ASOC DE TRABAJADORES SIND DE SPAPSA DEL INT DE LA REP AC CAJA AHORROS</t>
  </si>
  <si>
    <t>SERVICIO PAN AMERICANO DE PROTECCION SA DE CV (FDO DE PENSIONES BD)NVO</t>
  </si>
  <si>
    <t>BANCO SANTANDER MEXICO FIDEICOMISO F/2002961-1</t>
  </si>
  <si>
    <t>FABRICA DE JABON LA CORONA SA DE CV (FONDO DE PENSIONES CD)</t>
  </si>
  <si>
    <t>INSTITUTO DE ESTUDIOS SUPERIORES DE TAMAULIPAS AC (CAJA DE AHORRO)</t>
  </si>
  <si>
    <t>INST. DE ESTUDIOS SUPERIORES DE TAMAULIPAS AC (PENSIONES CONT.)</t>
  </si>
  <si>
    <t>INSTITUTO DE ESTUDIOS SUPERIORES DE TAMAULIPAS AC (FONDO DE PENSIONES)</t>
  </si>
  <si>
    <t>KIMBERLY CLARK DE MEXICO S.A.B. DE C.V. (PP)</t>
  </si>
  <si>
    <t>KIMBERLY CLARK DE MEXICO S.A.B. DE C.V. (PA)</t>
  </si>
  <si>
    <t>OPERADORA WINGS SA DE CV FONDO DE PENSIONES</t>
  </si>
  <si>
    <t>BANCO S3 MEXICO SA INSTITUCION DE BANCA MULTIPLE (COMPA?IA)</t>
  </si>
  <si>
    <t>BANCO S3 CACEIS MEXICO SA INSTITUCION DE BANCA MULTIPLE</t>
  </si>
  <si>
    <t>ELEVADORES OTIS S DE RL DE CV FONDO DE AHORRO SINDICALIZADOS</t>
  </si>
  <si>
    <t>ELEVADORES OTIS S DE RL DE CV FONDO DE AHORRO EMPLEADOS</t>
  </si>
  <si>
    <t>ISSSTE RESERVA FINANCIERA Y ACTUARIAL</t>
  </si>
  <si>
    <t xml:space="preserve">MPGOBFED 290531     </t>
  </si>
  <si>
    <t xml:space="preserve">SHV *               </t>
  </si>
  <si>
    <t>ISSSTE RESERVA DE OPERACION PARA CONTINGENCIAS Y FINANCIAMIENTO</t>
  </si>
  <si>
    <t>ISSSTE RESERVA GENERAL FINANCIERA Y ACTUARIAL</t>
  </si>
  <si>
    <t>BANCO SANTANDER (MEXICO) FIDEICOMISO F/35732-0</t>
  </si>
  <si>
    <t>BANCO SANTANDER (MEXICO) FIDEICOMISO F/35740-0</t>
  </si>
  <si>
    <t>BANCO SANTANDER (MEXICO) FIDEICOMISO F/100078-0</t>
  </si>
  <si>
    <t>BANCO SANTANDER (MEXICO) FIDEICOMISO F/100079-0</t>
  </si>
  <si>
    <t>BANCO SANTANDER (MEXICO) FIDEICOMISO F/2321501-1</t>
  </si>
  <si>
    <t>BANCO SANTANDER (MEXICO) FIDEICOMISO F/3199-0</t>
  </si>
  <si>
    <t>BANCO SANTANDER (MEXICO) FIDEICOMISO F/3210-0</t>
  </si>
  <si>
    <t>BANCO SANTANDER (MEXICO) FIDEICOMISO F/2010190-1</t>
  </si>
  <si>
    <t>BANCO SANTANDER (MEXICO) FIDEICOMISO F/2010331-1.</t>
  </si>
  <si>
    <t>BANCO SANTANDER (MEXICO) FIDEICOMISO F/2112253-1</t>
  </si>
  <si>
    <t>BANCO SANTANDER (MEXICO) FIDEICOMISO F/2112332-1</t>
  </si>
  <si>
    <t>BANCO SANTANDER (MEXICO) FIDEICOMISO F/2112338-1</t>
  </si>
  <si>
    <t>BANCO SANTANDER (MEXICO) FIDEICOMISO F/100574-0</t>
  </si>
  <si>
    <t>BANCO SANTANDER (MEXICO) FIDEICOMISO F/100575-0</t>
  </si>
  <si>
    <t>BANCO SANTANDER (MEXICO) FIDEICOMISO F/100671-0</t>
  </si>
  <si>
    <t>BANCO SANTANDER (MEXICO) FIDEICOMISO F/100672-0</t>
  </si>
  <si>
    <t>BANCO SANTANDER (MEXICO) FIDEICOMISO F/2112355-1</t>
  </si>
  <si>
    <t>BANCO SANTANDER (MEXICO) FIDEICOMISO F/2112357-1</t>
  </si>
  <si>
    <t>BANCO SANTANDER (MEXICO) FIDEICOMISO F/2112369-1</t>
  </si>
  <si>
    <t>BANCO SANTANDER (MEXICO) FIDEICOMISO F/2112387-1</t>
  </si>
  <si>
    <t>BANCO SANTANDER (MEXICO) FIDEICOMISO F/2112388-1</t>
  </si>
  <si>
    <t>BANCO SANTANDER (MEXICO) FIDEICOMISO F/2112385-1</t>
  </si>
  <si>
    <t>BANCO SANTANDER (MEXICO) FIDEICOMISO F/2112343-1</t>
  </si>
  <si>
    <t>BANCO SANTANDER (MEXICO) FIDEICOMISO F/2112389-1</t>
  </si>
  <si>
    <t>BANCO SANTANDER (MEXICO) FIDEICOMISO F/2112386-1</t>
  </si>
  <si>
    <t>BANCO SANTANDER (MEXICO) FIDEICOMISO F/2112384-1</t>
  </si>
  <si>
    <t>BANCO SANTANDER (MEXICO) FIDEICOMISO F/2112356-1</t>
  </si>
  <si>
    <t>SERV.CORP.SAUZA,SA DE CV (F.P.BENEFICIO DEFINIDO )</t>
  </si>
  <si>
    <t>BANCO SANTANDER (MEXICO) FIDEICOMISO F/2000712-1</t>
  </si>
  <si>
    <t>BANCO SANTANDER (MEXICO) FIDEICOMISO F/2000713-1</t>
  </si>
  <si>
    <t>BANCO SANTANDER (MEXICO) FIDEICOMISO F/2000711-1</t>
  </si>
  <si>
    <t xml:space="preserve">CHDRAUI B           </t>
  </si>
  <si>
    <t xml:space="preserve">VOLAR A             </t>
  </si>
  <si>
    <t>BANCO SANTANDER (MEXICO) FIDEICOMISO F/2000797-1</t>
  </si>
  <si>
    <t>BANCO SANTANDER (MEXICO) FIDEICOMISO F/2000798-1</t>
  </si>
  <si>
    <t>BANCO SANTANDER (MEXICO) FIDEICOMISO F/2000799-1</t>
  </si>
  <si>
    <t>BANCO SANTANDER (MEXICO) FIDEICOMISO F/2000800-1</t>
  </si>
  <si>
    <t>BANCO SANTANDER (MEXICO) FIDEICOMISO F/2000801-1</t>
  </si>
  <si>
    <t>BANCO SANTANDER (MEXICO) FIDEICOMISO F/2000803-1</t>
  </si>
  <si>
    <t>BANCO SANTANDER (MEXICO) FIDEICOMISO F/2001213-2</t>
  </si>
  <si>
    <t>Gestion</t>
  </si>
  <si>
    <t xml:space="preserve">El Cliente no ha enviado su información / ya se solicitó vía correo </t>
  </si>
  <si>
    <t>Envasabon Pensiones</t>
  </si>
  <si>
    <t>CONTRATO CON POSICION DE $682.60</t>
  </si>
  <si>
    <t>Cancelacion de contrato</t>
  </si>
  <si>
    <t>SERV. PANAMERICANOS DE PROTECCIÓN</t>
  </si>
  <si>
    <t>SERVICIOS PAN AMERICANO DE PROTECCION CAJA DE AHORRO</t>
  </si>
  <si>
    <t>CONTRATO LIQUIDADO</t>
  </si>
  <si>
    <t>UNIVERSIDAD AUTONOMA DE AGUASCALIENTES</t>
  </si>
  <si>
    <t>T+2</t>
  </si>
  <si>
    <t>INCLUSION FINANCIERA</t>
  </si>
  <si>
    <t>t+2</t>
  </si>
  <si>
    <t>DANONE DE MEXICO QUINCENAL</t>
  </si>
  <si>
    <t>BONAFONT QUINENAL</t>
  </si>
  <si>
    <t>AUDI</t>
  </si>
  <si>
    <t>FUNDACION TELEFONICA MEXICO AC (PLAN DE PENSIONES CONTRIBUCION DEFINIDA</t>
  </si>
  <si>
    <t>PEGASO PCS SA DE CV (PLAN DE PENSIONES CONTRIBUCION DEFINIDA</t>
  </si>
  <si>
    <t>CONSTITUCION</t>
  </si>
  <si>
    <t>Stahl de México</t>
  </si>
  <si>
    <t>1000002677</t>
  </si>
  <si>
    <t>1000001249</t>
  </si>
  <si>
    <t>EMISORA</t>
  </si>
  <si>
    <t>VALUACIÓN</t>
  </si>
  <si>
    <t>1000003633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</si>
</sst>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&quot;$&quot;#,##0.00;\-&quot;$&quot;#,##0.00"/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#,##0.00000000"/>
    <numFmt numFmtId="165" formatCode="#,##0.00_ ;[Red]\-#,##0.00\ "/>
    <numFmt numFmtId="166" formatCode="##,##0.00000000"/>
    <numFmt numFmtId="167" formatCode="\$##,##0.00"/>
    <numFmt numFmtId="168" formatCode="_-* #,##0.000_-;\-* #,##0.000_-;_-* &quot;-&quot;??_-;_-@_-"/>
  </numFmts>
  <fonts count="9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color theme="0"/>
      <name val="Arial"/>
      <family val="2"/>
    </font>
    <font>
      <sz val="10"/>
      <name val="Arial"/>
      <family val="2"/>
    </font>
    <font>
      <sz val="10"/>
      <name val="Calibri"/>
      <family val="2"/>
    </font>
    <font>
      <sz val="10"/>
      <color theme="1"/>
      <name val="Calibri"/>
      <family val="2"/>
      <scheme val="minor"/>
    </font>
    <font>
      <sz val="7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8.25"/>
      <name val="Microsoft Sans Serif"/>
      <family val="2"/>
    </font>
    <font>
      <sz val="7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A7D00"/>
      <name val="Arial"/>
      <family val="2"/>
    </font>
    <font>
      <b/>
      <sz val="11"/>
      <color theme="3"/>
      <name val="Arial"/>
      <family val="2"/>
    </font>
    <font>
      <sz val="10"/>
      <color rgb="FF3F3F76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b/>
      <sz val="10"/>
      <color rgb="FF3F3F3F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8"/>
      <color theme="3"/>
      <name val="Cambria"/>
      <family val="2"/>
      <scheme val="major"/>
    </font>
    <font>
      <b/>
      <sz val="13"/>
      <color theme="3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Tahoma"/>
      <family val="2"/>
    </font>
    <font>
      <sz val="11"/>
      <color rgb="FF000000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8"/>
      <color theme="3"/>
      <name val="Cambria"/>
      <family val="2"/>
      <scheme val="major"/>
    </font>
    <font>
      <sz val="11"/>
      <color rgb="FF9C570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10"/>
      <name val="Arial"/>
      <family val="2"/>
    </font>
    <font>
      <b/>
      <sz val="11"/>
      <name val="Calibri"/>
      <family val="2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</font>
  </fonts>
  <fills count="50">
    <fill>
      <patternFill patternType="none"/>
    </fill>
    <fill>
      <patternFill patternType="gray125"/>
    </fill>
    <fill>
      <patternFill patternType="solid">
        <fgColor rgb="FFFF0000"/>
        <bgColor indexed="22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11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16D5DA"/>
        <bgColor indexed="64"/>
      </patternFill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754">
    <xf numFmtId="0" fontId="0" fillId="0" borderId="0"/>
    <xf numFmtId="43" fontId="1" fillId="0" borderId="0" applyFont="0" applyFill="0" applyBorder="0" applyAlignment="0" applyProtection="0"/>
    <xf numFmtId="0" fontId="3" fillId="0" borderId="0"/>
    <xf numFmtId="0" fontId="8" fillId="0" borderId="0"/>
    <xf numFmtId="44" fontId="1" fillId="0" borderId="0" applyFont="0" applyFill="0" applyBorder="0" applyAlignment="0" applyProtection="0"/>
    <xf numFmtId="0" fontId="28" fillId="0" borderId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3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3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3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3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3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3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13" borderId="0" applyNumberFormat="0" applyBorder="0" applyAlignment="0" applyProtection="0"/>
    <xf numFmtId="0" fontId="1" fillId="17" borderId="0" applyNumberFormat="0" applyBorder="0" applyAlignment="0" applyProtection="0"/>
    <xf numFmtId="0" fontId="1" fillId="21" borderId="0" applyNumberFormat="0" applyBorder="0" applyAlignment="0" applyProtection="0"/>
    <xf numFmtId="0" fontId="1" fillId="25" borderId="0" applyNumberFormat="0" applyBorder="0" applyAlignment="0" applyProtection="0"/>
    <xf numFmtId="0" fontId="1" fillId="29" borderId="0" applyNumberFormat="0" applyBorder="0" applyAlignment="0" applyProtection="0"/>
    <xf numFmtId="0" fontId="1" fillId="33" borderId="0" applyNumberFormat="0" applyBorder="0" applyAlignment="0" applyProtection="0"/>
    <xf numFmtId="0" fontId="3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3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3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3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3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3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27" fillId="14" borderId="0" applyNumberFormat="0" applyBorder="0" applyAlignment="0" applyProtection="0"/>
    <xf numFmtId="0" fontId="27" fillId="18" borderId="0" applyNumberFormat="0" applyBorder="0" applyAlignment="0" applyProtection="0"/>
    <xf numFmtId="0" fontId="27" fillId="22" borderId="0" applyNumberFormat="0" applyBorder="0" applyAlignment="0" applyProtection="0"/>
    <xf numFmtId="0" fontId="27" fillId="26" borderId="0" applyNumberFormat="0" applyBorder="0" applyAlignment="0" applyProtection="0"/>
    <xf numFmtId="0" fontId="27" fillId="30" borderId="0" applyNumberFormat="0" applyBorder="0" applyAlignment="0" applyProtection="0"/>
    <xf numFmtId="0" fontId="27" fillId="34" borderId="0" applyNumberFormat="0" applyBorder="0" applyAlignment="0" applyProtection="0"/>
    <xf numFmtId="0" fontId="32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32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32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32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32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32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11" borderId="0" applyNumberFormat="0" applyBorder="0" applyAlignment="0" applyProtection="0"/>
    <xf numFmtId="0" fontId="27" fillId="15" borderId="0" applyNumberFormat="0" applyBorder="0" applyAlignment="0" applyProtection="0"/>
    <xf numFmtId="0" fontId="27" fillId="19" borderId="0" applyNumberFormat="0" applyBorder="0" applyAlignment="0" applyProtection="0"/>
    <xf numFmtId="0" fontId="27" fillId="23" borderId="0" applyNumberFormat="0" applyBorder="0" applyAlignment="0" applyProtection="0"/>
    <xf numFmtId="0" fontId="27" fillId="27" borderId="0" applyNumberFormat="0" applyBorder="0" applyAlignment="0" applyProtection="0"/>
    <xf numFmtId="0" fontId="27" fillId="31" borderId="0" applyNumberFormat="0" applyBorder="0" applyAlignment="0" applyProtection="0"/>
    <xf numFmtId="0" fontId="18" fillId="5" borderId="0" applyNumberFormat="0" applyBorder="0" applyAlignment="0" applyProtection="0"/>
    <xf numFmtId="0" fontId="33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22" fillId="8" borderId="7" applyNumberFormat="0" applyAlignment="0" applyProtection="0"/>
    <xf numFmtId="0" fontId="34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35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36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4" fillId="9" borderId="10" applyNumberFormat="0" applyAlignment="0" applyProtection="0"/>
    <xf numFmtId="0" fontId="3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32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32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32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32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32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32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38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6" fillId="0" borderId="0" applyNumberFormat="0" applyFill="0" applyBorder="0" applyAlignment="0" applyProtection="0"/>
    <xf numFmtId="0" fontId="17" fillId="4" borderId="0" applyNumberFormat="0" applyBorder="0" applyAlignment="0" applyProtection="0"/>
    <xf numFmtId="0" fontId="14" fillId="0" borderId="4" applyNumberFormat="0" applyFill="0" applyAlignment="0" applyProtection="0"/>
    <xf numFmtId="0" fontId="15" fillId="0" borderId="5" applyNumberFormat="0" applyFill="0" applyAlignment="0" applyProtection="0"/>
    <xf numFmtId="0" fontId="16" fillId="0" borderId="6" applyNumberFormat="0" applyFill="0" applyAlignment="0" applyProtection="0"/>
    <xf numFmtId="0" fontId="16" fillId="0" borderId="0" applyNumberFormat="0" applyFill="0" applyBorder="0" applyAlignment="0" applyProtection="0"/>
    <xf numFmtId="0" fontId="39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20" fillId="7" borderId="7" applyNumberFormat="0" applyAlignment="0" applyProtection="0"/>
    <xf numFmtId="0" fontId="23" fillId="0" borderId="9" applyNumberFormat="0" applyFill="0" applyAlignment="0" applyProtection="0"/>
    <xf numFmtId="43" fontId="2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0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1" fillId="0" borderId="0"/>
    <xf numFmtId="0" fontId="11" fillId="0" borderId="0">
      <protection locked="0"/>
    </xf>
    <xf numFmtId="0" fontId="1" fillId="0" borderId="0"/>
    <xf numFmtId="0" fontId="11" fillId="0" borderId="0">
      <protection locked="0"/>
    </xf>
    <xf numFmtId="0" fontId="11" fillId="0" borderId="0">
      <protection locked="0"/>
    </xf>
    <xf numFmtId="0" fontId="11" fillId="0" borderId="0">
      <protection locked="0"/>
    </xf>
    <xf numFmtId="0" fontId="11" fillId="0" borderId="0">
      <protection locked="0"/>
    </xf>
    <xf numFmtId="0" fontId="11" fillId="0" borderId="0">
      <protection locked="0"/>
    </xf>
    <xf numFmtId="0" fontId="11" fillId="0" borderId="0">
      <protection locked="0"/>
    </xf>
    <xf numFmtId="0" fontId="3" fillId="0" borderId="0"/>
    <xf numFmtId="0" fontId="3" fillId="0" borderId="0"/>
    <xf numFmtId="0" fontId="3" fillId="0" borderId="0"/>
    <xf numFmtId="0" fontId="3" fillId="0" borderId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29" fillId="10" borderId="11" applyNumberFormat="0" applyFont="0" applyAlignment="0" applyProtection="0"/>
    <xf numFmtId="0" fontId="29" fillId="10" borderId="11" applyNumberFormat="0" applyFont="0" applyAlignment="0" applyProtection="0"/>
    <xf numFmtId="0" fontId="29" fillId="10" borderId="11" applyNumberFormat="0" applyFont="0" applyAlignment="0" applyProtection="0"/>
    <xf numFmtId="0" fontId="29" fillId="10" borderId="11" applyNumberFormat="0" applyFont="0" applyAlignment="0" applyProtection="0"/>
    <xf numFmtId="0" fontId="29" fillId="10" borderId="11" applyNumberFormat="0" applyFont="0" applyAlignment="0" applyProtection="0"/>
    <xf numFmtId="0" fontId="29" fillId="10" borderId="11" applyNumberFormat="0" applyFont="0" applyAlignment="0" applyProtection="0"/>
    <xf numFmtId="0" fontId="29" fillId="10" borderId="11" applyNumberFormat="0" applyFont="0" applyAlignment="0" applyProtection="0"/>
    <xf numFmtId="0" fontId="29" fillId="10" borderId="11" applyNumberFormat="0" applyFont="0" applyAlignment="0" applyProtection="0"/>
    <xf numFmtId="0" fontId="29" fillId="10" borderId="11" applyNumberFormat="0" applyFont="0" applyAlignment="0" applyProtection="0"/>
    <xf numFmtId="0" fontId="29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11" fillId="10" borderId="11" applyNumberFormat="0" applyFont="0" applyAlignment="0" applyProtection="0"/>
    <xf numFmtId="0" fontId="21" fillId="8" borderId="8" applyNumberFormat="0" applyAlignment="0" applyProtection="0"/>
    <xf numFmtId="0" fontId="4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42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4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37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46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25" fillId="0" borderId="0" applyNumberFormat="0" applyFill="0" applyBorder="0" applyAlignment="0" applyProtection="0"/>
    <xf numFmtId="43" fontId="2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7" fillId="0" borderId="0"/>
    <xf numFmtId="43" fontId="4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8" fillId="0" borderId="0"/>
    <xf numFmtId="43" fontId="4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9" fillId="0" borderId="0"/>
    <xf numFmtId="43" fontId="4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50" fillId="0" borderId="0"/>
    <xf numFmtId="43" fontId="5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1" fillId="0" borderId="0">
      <protection locked="0"/>
    </xf>
    <xf numFmtId="43" fontId="5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1" fillId="0" borderId="0">
      <protection locked="0"/>
    </xf>
    <xf numFmtId="43" fontId="5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51" fillId="0" borderId="0"/>
    <xf numFmtId="43" fontId="5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1" fillId="0" borderId="0">
      <protection locked="0"/>
    </xf>
    <xf numFmtId="0" fontId="11" fillId="0" borderId="0">
      <protection locked="0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5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52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1" fillId="0" borderId="0">
      <protection locked="0"/>
    </xf>
    <xf numFmtId="0" fontId="5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58" fillId="0" borderId="0"/>
    <xf numFmtId="0" fontId="33" fillId="4" borderId="0" applyNumberFormat="0" applyBorder="0" applyAlignment="0" applyProtection="0"/>
    <xf numFmtId="0" fontId="59" fillId="0" borderId="0" applyNumberFormat="0" applyFill="0" applyBorder="0" applyAlignment="0" applyProtection="0">
      <alignment vertical="top"/>
      <protection locked="0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1" fillId="0" borderId="0">
      <protection locked="0"/>
    </xf>
    <xf numFmtId="0" fontId="60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1" fillId="0" borderId="0">
      <protection locked="0"/>
    </xf>
    <xf numFmtId="0" fontId="61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2" fillId="0" borderId="0"/>
    <xf numFmtId="0" fontId="6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4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5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6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7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8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9" fillId="0" borderId="0"/>
    <xf numFmtId="0" fontId="70" fillId="0" borderId="0"/>
    <xf numFmtId="0" fontId="71" fillId="0" borderId="0"/>
    <xf numFmtId="0" fontId="72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73" fillId="0" borderId="0"/>
    <xf numFmtId="0" fontId="74" fillId="0" borderId="0"/>
    <xf numFmtId="0" fontId="75" fillId="0" borderId="0"/>
    <xf numFmtId="0" fontId="76" fillId="0" borderId="0"/>
    <xf numFmtId="0" fontId="14" fillId="0" borderId="4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44" fontId="3" fillId="0" borderId="0" applyFont="0" applyFill="0" applyBorder="0" applyAlignment="0" applyProtection="0"/>
    <xf numFmtId="0" fontId="1" fillId="0" borderId="0"/>
    <xf numFmtId="0" fontId="77" fillId="0" borderId="0" applyNumberFormat="0" applyFill="0" applyBorder="0" applyAlignment="0" applyProtection="0"/>
    <xf numFmtId="0" fontId="17" fillId="4" borderId="0" applyNumberFormat="0" applyBorder="0" applyAlignment="0" applyProtection="0"/>
    <xf numFmtId="0" fontId="78" fillId="6" borderId="0" applyNumberFormat="0" applyBorder="0" applyAlignment="0" applyProtection="0"/>
    <xf numFmtId="0" fontId="1" fillId="10" borderId="11" applyNumberFormat="0" applyFont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13" borderId="0" applyNumberFormat="0" applyBorder="0" applyAlignment="0" applyProtection="0"/>
    <xf numFmtId="0" fontId="1" fillId="17" borderId="0" applyNumberFormat="0" applyBorder="0" applyAlignment="0" applyProtection="0"/>
    <xf numFmtId="0" fontId="1" fillId="21" borderId="0" applyNumberFormat="0" applyBorder="0" applyAlignment="0" applyProtection="0"/>
    <xf numFmtId="0" fontId="1" fillId="25" borderId="0" applyNumberFormat="0" applyBorder="0" applyAlignment="0" applyProtection="0"/>
    <xf numFmtId="0" fontId="1" fillId="29" borderId="0" applyNumberFormat="0" applyBorder="0" applyAlignment="0" applyProtection="0"/>
    <xf numFmtId="0" fontId="1" fillId="3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11" fillId="0" borderId="0">
      <protection locked="0"/>
    </xf>
    <xf numFmtId="0" fontId="3" fillId="0" borderId="0"/>
    <xf numFmtId="0" fontId="1" fillId="0" borderId="0"/>
    <xf numFmtId="44" fontId="3" fillId="0" borderId="0" applyFont="0" applyFill="0" applyBorder="0" applyAlignment="0" applyProtection="0"/>
    <xf numFmtId="0" fontId="1" fillId="0" borderId="0"/>
    <xf numFmtId="0" fontId="1" fillId="10" borderId="11" applyNumberFormat="0" applyFont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79" fillId="0" borderId="0"/>
    <xf numFmtId="0" fontId="80" fillId="0" borderId="0"/>
    <xf numFmtId="0" fontId="81" fillId="0" borderId="0"/>
    <xf numFmtId="0" fontId="84" fillId="0" borderId="0"/>
    <xf numFmtId="0" fontId="85" fillId="0" borderId="0"/>
    <xf numFmtId="0" fontId="87" fillId="0" borderId="0"/>
    <xf numFmtId="0" fontId="88" fillId="0" borderId="0"/>
    <xf numFmtId="0" fontId="90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1" fillId="0" borderId="0"/>
    <xf numFmtId="0" fontId="1" fillId="0" borderId="0"/>
    <xf numFmtId="0" fontId="90" fillId="0" borderId="0"/>
    <xf numFmtId="0" fontId="90" fillId="0" borderId="0"/>
    <xf numFmtId="0" fontId="11" fillId="0" borderId="0">
      <protection locked="0"/>
    </xf>
  </cellStyleXfs>
  <cellXfs count="111">
    <xf numFmtId="0" fontId="0" fillId="0" borderId="0" xfId="0"/>
    <xf numFmtId="0" fontId="2" fillId="2" borderId="1" xfId="0" applyFont="1" applyFill="1" applyBorder="1" applyAlignment="1">
      <alignment horizontal="center" wrapText="1"/>
    </xf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/>
    <xf numFmtId="0" fontId="5" fillId="0" borderId="0" xfId="0" applyFont="1"/>
    <xf numFmtId="49" fontId="0" fillId="0" borderId="0" xfId="0" applyNumberFormat="1"/>
    <xf numFmtId="43" fontId="2" fillId="2" borderId="1" xfId="1" applyFont="1" applyFill="1" applyBorder="1" applyAlignment="1">
      <alignment horizontal="center" wrapText="1"/>
    </xf>
    <xf numFmtId="0" fontId="2" fillId="2" borderId="0" xfId="0" applyFont="1" applyFill="1" applyAlignment="1">
      <alignment horizontal="center" wrapText="1"/>
    </xf>
    <xf numFmtId="165" fontId="4" fillId="0" borderId="3" xfId="0" applyNumberFormat="1" applyFont="1" applyBorder="1"/>
    <xf numFmtId="4" fontId="0" fillId="0" borderId="0" xfId="0" applyNumberFormat="1"/>
    <xf numFmtId="4" fontId="7" fillId="0" borderId="0" xfId="0" applyNumberFormat="1" applyFont="1"/>
    <xf numFmtId="0" fontId="0" fillId="3" borderId="0" xfId="0" applyFill="1"/>
    <xf numFmtId="4" fontId="9" fillId="0" borderId="0" xfId="0" applyNumberFormat="1" applyFont="1"/>
    <xf numFmtId="4" fontId="10" fillId="0" borderId="0" xfId="0" applyNumberFormat="1" applyFont="1"/>
    <xf numFmtId="8" fontId="9" fillId="0" borderId="0" xfId="0" applyNumberFormat="1" applyFont="1"/>
    <xf numFmtId="43" fontId="0" fillId="0" borderId="0" xfId="1" applyFont="1" applyFill="1"/>
    <xf numFmtId="0" fontId="12" fillId="2" borderId="1" xfId="0" applyFont="1" applyFill="1" applyBorder="1" applyAlignment="1">
      <alignment horizontal="center" wrapText="1"/>
    </xf>
    <xf numFmtId="43" fontId="1" fillId="0" borderId="0" xfId="1" applyFont="1"/>
    <xf numFmtId="7" fontId="0" fillId="0" borderId="0" xfId="0" applyNumberFormat="1"/>
    <xf numFmtId="43" fontId="1" fillId="0" borderId="0" xfId="1" applyFont="1" applyFill="1"/>
    <xf numFmtId="0" fontId="13" fillId="0" borderId="0" xfId="0" applyFont="1"/>
    <xf numFmtId="43" fontId="13" fillId="0" borderId="0" xfId="1" applyFont="1"/>
    <xf numFmtId="7" fontId="13" fillId="0" borderId="0" xfId="0" applyNumberFormat="1" applyFont="1"/>
    <xf numFmtId="44" fontId="0" fillId="0" borderId="0" xfId="4" applyFont="1" applyFill="1"/>
    <xf numFmtId="44" fontId="0" fillId="0" borderId="0" xfId="4" applyFont="1"/>
    <xf numFmtId="0" fontId="3" fillId="0" borderId="0" xfId="0" applyFont="1"/>
    <xf numFmtId="0" fontId="54" fillId="0" borderId="0" xfId="1739"/>
    <xf numFmtId="0" fontId="0" fillId="43" borderId="2" xfId="0" applyFill="1" applyBorder="1" applyAlignment="1">
      <alignment wrapText="1"/>
    </xf>
    <xf numFmtId="0" fontId="0" fillId="43" borderId="2" xfId="0" applyFill="1" applyBorder="1" applyAlignment="1">
      <alignment horizontal="center" wrapText="1"/>
    </xf>
    <xf numFmtId="0" fontId="0" fillId="4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56" fillId="0" borderId="2" xfId="0" applyFont="1" applyBorder="1" applyAlignment="1">
      <alignment wrapText="1"/>
    </xf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44" borderId="2" xfId="0" applyFill="1" applyBorder="1" applyAlignment="1">
      <alignment wrapText="1"/>
    </xf>
    <xf numFmtId="0" fontId="0" fillId="44" borderId="2" xfId="0" applyFill="1" applyBorder="1" applyAlignment="1">
      <alignment horizontal="center" wrapText="1"/>
    </xf>
    <xf numFmtId="0" fontId="57" fillId="0" borderId="0" xfId="0" applyFont="1"/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wrapText="1"/>
    </xf>
    <xf numFmtId="0" fontId="0" fillId="45" borderId="2" xfId="0" applyFill="1" applyBorder="1" applyAlignment="1">
      <alignment wrapText="1"/>
    </xf>
    <xf numFmtId="0" fontId="0" fillId="45" borderId="2" xfId="0" applyFill="1" applyBorder="1" applyAlignment="1">
      <alignment horizontal="center" wrapText="1"/>
    </xf>
    <xf numFmtId="0" fontId="0" fillId="0" borderId="0" xfId="0" applyAlignment="1">
      <alignment wrapText="1"/>
    </xf>
    <xf numFmtId="0" fontId="13" fillId="0" borderId="2" xfId="0" applyFont="1" applyBorder="1" applyAlignment="1">
      <alignment wrapText="1"/>
    </xf>
    <xf numFmtId="0" fontId="0" fillId="0" borderId="14" xfId="0" applyBorder="1" applyAlignment="1">
      <alignment wrapText="1"/>
    </xf>
    <xf numFmtId="0" fontId="0" fillId="0" borderId="14" xfId="0" applyBorder="1" applyAlignment="1">
      <alignment horizontal="center" wrapText="1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horizontal="center" vertical="center" wrapText="1"/>
    </xf>
    <xf numFmtId="0" fontId="0" fillId="45" borderId="2" xfId="0" applyFill="1" applyBorder="1" applyAlignment="1">
      <alignment horizontal="left" wrapText="1"/>
    </xf>
    <xf numFmtId="0" fontId="55" fillId="42" borderId="0" xfId="0" applyFont="1" applyFill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2" xfId="0" applyBorder="1"/>
    <xf numFmtId="0" fontId="82" fillId="0" borderId="2" xfId="0" applyFont="1" applyBorder="1" applyAlignment="1">
      <alignment horizontal="center"/>
    </xf>
    <xf numFmtId="0" fontId="82" fillId="0" borderId="2" xfId="0" applyFont="1" applyBorder="1" applyAlignment="1">
      <alignment horizontal="center" wrapText="1"/>
    </xf>
    <xf numFmtId="0" fontId="82" fillId="0" borderId="2" xfId="0" applyFont="1" applyBorder="1" applyAlignment="1">
      <alignment wrapText="1"/>
    </xf>
    <xf numFmtId="165" fontId="82" fillId="0" borderId="2" xfId="0" applyNumberFormat="1" applyFont="1" applyBorder="1"/>
    <xf numFmtId="0" fontId="83" fillId="0" borderId="2" xfId="0" applyFont="1" applyBorder="1" applyAlignment="1">
      <alignment vertical="center" wrapText="1"/>
    </xf>
    <xf numFmtId="14" fontId="82" fillId="0" borderId="2" xfId="0" applyNumberFormat="1" applyFont="1" applyBorder="1" applyAlignment="1">
      <alignment horizontal="center" wrapText="1"/>
    </xf>
    <xf numFmtId="43" fontId="2" fillId="2" borderId="1" xfId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43" fontId="0" fillId="0" borderId="0" xfId="1" applyFont="1" applyAlignment="1">
      <alignment vertical="center"/>
    </xf>
    <xf numFmtId="0" fontId="2" fillId="2" borderId="1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86" fillId="0" borderId="2" xfId="0" applyFont="1" applyBorder="1" applyAlignment="1">
      <alignment horizontal="center"/>
    </xf>
    <xf numFmtId="0" fontId="86" fillId="0" borderId="2" xfId="0" applyFont="1" applyBorder="1" applyAlignment="1">
      <alignment horizontal="center" wrapText="1"/>
    </xf>
    <xf numFmtId="165" fontId="86" fillId="0" borderId="2" xfId="0" applyNumberFormat="1" applyFont="1" applyBorder="1"/>
    <xf numFmtId="165" fontId="86" fillId="0" borderId="3" xfId="0" applyNumberFormat="1" applyFont="1" applyBorder="1"/>
    <xf numFmtId="0" fontId="0" fillId="0" borderId="0" xfId="0" quotePrefix="1" applyAlignment="1">
      <alignment horizontal="left" vertical="center"/>
    </xf>
    <xf numFmtId="0" fontId="86" fillId="0" borderId="2" xfId="0" applyFont="1" applyBorder="1" applyAlignment="1">
      <alignment wrapText="1"/>
    </xf>
    <xf numFmtId="0" fontId="89" fillId="0" borderId="2" xfId="0" applyFont="1" applyBorder="1" applyAlignment="1">
      <alignment vertical="center" wrapText="1"/>
    </xf>
    <xf numFmtId="0" fontId="6" fillId="0" borderId="0" xfId="3568" applyFont="1" applyAlignment="1">
      <alignment horizontal="left" vertical="center"/>
    </xf>
    <xf numFmtId="166" fontId="6" fillId="0" borderId="0" xfId="3568" applyNumberFormat="1" applyFont="1" applyAlignment="1">
      <alignment horizontal="right" vertical="center"/>
    </xf>
    <xf numFmtId="167" fontId="6" fillId="0" borderId="0" xfId="3568" applyNumberFormat="1" applyFont="1" applyAlignment="1">
      <alignment horizontal="right" vertical="center"/>
    </xf>
    <xf numFmtId="3" fontId="6" fillId="0" borderId="0" xfId="3568" applyNumberFormat="1" applyFont="1" applyAlignment="1">
      <alignment horizontal="right" vertical="center"/>
    </xf>
    <xf numFmtId="165" fontId="86" fillId="0" borderId="2" xfId="2" applyNumberFormat="1" applyFont="1" applyBorder="1"/>
    <xf numFmtId="0" fontId="86" fillId="0" borderId="2" xfId="2" applyFont="1" applyBorder="1" applyAlignment="1">
      <alignment wrapText="1"/>
    </xf>
    <xf numFmtId="0" fontId="3" fillId="0" borderId="2" xfId="2" applyBorder="1"/>
    <xf numFmtId="0" fontId="89" fillId="0" borderId="2" xfId="2" applyFont="1" applyBorder="1" applyAlignment="1">
      <alignment vertical="center" wrapText="1"/>
    </xf>
    <xf numFmtId="14" fontId="82" fillId="0" borderId="2" xfId="2" applyNumberFormat="1" applyFont="1" applyBorder="1" applyAlignment="1">
      <alignment horizontal="center" wrapText="1"/>
    </xf>
    <xf numFmtId="0" fontId="82" fillId="0" borderId="2" xfId="2" applyFont="1" applyBorder="1" applyAlignment="1">
      <alignment horizontal="center" wrapText="1"/>
    </xf>
    <xf numFmtId="0" fontId="82" fillId="0" borderId="2" xfId="2" applyFont="1" applyBorder="1" applyAlignment="1">
      <alignment horizontal="center"/>
    </xf>
    <xf numFmtId="0" fontId="82" fillId="0" borderId="2" xfId="2" applyFont="1" applyBorder="1" applyAlignment="1">
      <alignment wrapText="1"/>
    </xf>
    <xf numFmtId="44" fontId="82" fillId="0" borderId="2" xfId="2" applyNumberFormat="1" applyFont="1" applyBorder="1" applyAlignment="1">
      <alignment wrapText="1"/>
    </xf>
    <xf numFmtId="165" fontId="82" fillId="0" borderId="2" xfId="2" applyNumberFormat="1" applyFont="1" applyBorder="1"/>
    <xf numFmtId="14" fontId="83" fillId="46" borderId="2" xfId="2" applyNumberFormat="1" applyFont="1" applyFill="1" applyBorder="1" applyAlignment="1">
      <alignment horizontal="center" wrapText="1"/>
    </xf>
    <xf numFmtId="0" fontId="82" fillId="0" borderId="3" xfId="2" applyFont="1" applyBorder="1" applyAlignment="1">
      <alignment horizontal="center"/>
    </xf>
    <xf numFmtId="0" fontId="82" fillId="0" borderId="3" xfId="2" applyFont="1" applyBorder="1" applyAlignment="1">
      <alignment horizontal="center" wrapText="1"/>
    </xf>
    <xf numFmtId="14" fontId="82" fillId="0" borderId="3" xfId="2" applyNumberFormat="1" applyFont="1" applyBorder="1" applyAlignment="1">
      <alignment horizontal="center" wrapText="1"/>
    </xf>
    <xf numFmtId="0" fontId="82" fillId="0" borderId="3" xfId="2" applyFont="1" applyBorder="1" applyAlignment="1">
      <alignment wrapText="1"/>
    </xf>
    <xf numFmtId="44" fontId="82" fillId="0" borderId="0" xfId="2" applyNumberFormat="1" applyFont="1" applyAlignment="1">
      <alignment wrapText="1"/>
    </xf>
    <xf numFmtId="165" fontId="82" fillId="0" borderId="3" xfId="2" applyNumberFormat="1" applyFont="1" applyBorder="1"/>
    <xf numFmtId="14" fontId="83" fillId="46" borderId="3" xfId="2" applyNumberFormat="1" applyFont="1" applyFill="1" applyBorder="1" applyAlignment="1">
      <alignment horizontal="center" wrapText="1"/>
    </xf>
    <xf numFmtId="43" fontId="0" fillId="0" borderId="0" xfId="0" applyNumberFormat="1"/>
    <xf numFmtId="1" fontId="1" fillId="0" borderId="0" xfId="1" applyNumberFormat="1" applyFont="1"/>
    <xf numFmtId="0" fontId="0" fillId="48" borderId="0" xfId="0" applyFill="1"/>
    <xf numFmtId="49" fontId="2" fillId="2" borderId="0" xfId="0" applyNumberFormat="1" applyFont="1" applyFill="1" applyAlignment="1">
      <alignment horizontal="center" wrapText="1"/>
    </xf>
    <xf numFmtId="49" fontId="0" fillId="0" borderId="0" xfId="0" applyNumberFormat="1" applyAlignment="1">
      <alignment horizontal="center" wrapText="1"/>
    </xf>
    <xf numFmtId="0" fontId="91" fillId="49" borderId="0" xfId="0" applyFont="1" applyFill="1" applyAlignment="1">
      <alignment horizontal="right" vertical="center" wrapText="1"/>
    </xf>
    <xf numFmtId="44" fontId="2" fillId="2" borderId="0" xfId="0" applyNumberFormat="1" applyFont="1" applyFill="1" applyAlignment="1">
      <alignment horizontal="center" wrapText="1"/>
    </xf>
    <xf numFmtId="1" fontId="2" fillId="2" borderId="1" xfId="0" applyNumberFormat="1" applyFont="1" applyFill="1" applyBorder="1" applyAlignment="1">
      <alignment horizontal="center" wrapText="1"/>
    </xf>
    <xf numFmtId="1" fontId="0" fillId="0" borderId="0" xfId="0" applyNumberFormat="1"/>
    <xf numFmtId="1" fontId="0" fillId="0" borderId="0" xfId="0" applyNumberFormat="1" applyAlignment="1">
      <alignment horizontal="center"/>
    </xf>
    <xf numFmtId="0" fontId="0" fillId="47" borderId="0" xfId="0" applyFill="1"/>
    <xf numFmtId="168" fontId="0" fillId="0" borderId="0" xfId="0" pivotButton="1" applyNumberFormat="1"/>
    <xf numFmtId="43" fontId="0" fillId="0" borderId="0" xfId="0" applyNumberFormat="1" applyAlignment="1">
      <alignment horizontal="left"/>
    </xf>
    <xf numFmtId="0" fontId="27" fillId="47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55" fillId="42" borderId="0" xfId="0" applyFont="1" applyFill="1" applyAlignment="1">
      <alignment horizontal="center" vertical="center" wrapText="1"/>
    </xf>
    <xf numFmtId="0" fontId="55" fillId="42" borderId="13" xfId="0" applyFont="1" applyFill="1" applyBorder="1" applyAlignment="1">
      <alignment horizontal="center" vertical="center" wrapText="1"/>
    </xf>
  </cellXfs>
  <cellStyles count="3754">
    <cellStyle name="20% - Accent1" xfId="6" xr:uid="{00000000-0005-0000-0000-000000000000}"/>
    <cellStyle name="20% - Accent1 2" xfId="3123" xr:uid="{F6C73542-4290-4DCC-9442-4F95CDDDAFD4}"/>
    <cellStyle name="20% - Accent2" xfId="7" xr:uid="{00000000-0005-0000-0000-000001000000}"/>
    <cellStyle name="20% - Accent2 2" xfId="3124" xr:uid="{7CCD0DE4-2E7D-485E-AE4D-81849AEB9F52}"/>
    <cellStyle name="20% - Accent3" xfId="8" xr:uid="{00000000-0005-0000-0000-000002000000}"/>
    <cellStyle name="20% - Accent3 2" xfId="3125" xr:uid="{B5596A3A-7643-4650-BC73-782F26E9E32A}"/>
    <cellStyle name="20% - Accent4" xfId="9" xr:uid="{00000000-0005-0000-0000-000003000000}"/>
    <cellStyle name="20% - Accent4 2" xfId="3126" xr:uid="{F4F81C8F-E9E8-4D2F-B56B-124CD8A022C8}"/>
    <cellStyle name="20% - Accent5" xfId="10" xr:uid="{00000000-0005-0000-0000-000004000000}"/>
    <cellStyle name="20% - Accent5 2" xfId="3127" xr:uid="{4B482C50-D9CD-4144-A012-1B2E442F53CC}"/>
    <cellStyle name="20% - Accent6" xfId="11" xr:uid="{00000000-0005-0000-0000-000005000000}"/>
    <cellStyle name="20% - Accent6 2" xfId="3128" xr:uid="{5360FC54-9120-41BB-BA24-2C93DFAC055D}"/>
    <cellStyle name="20% - Énfasis1 10" xfId="13" xr:uid="{00000000-0005-0000-0000-000006000000}"/>
    <cellStyle name="20% - Énfasis1 10 2" xfId="14" xr:uid="{00000000-0005-0000-0000-000007000000}"/>
    <cellStyle name="20% - Énfasis1 10 2 2" xfId="3130" xr:uid="{8F6645A6-A153-4DC7-B046-D07BCC481798}"/>
    <cellStyle name="20% - Énfasis1 10 3" xfId="3129" xr:uid="{B2F92312-CF3F-4AAD-B63E-48F62D05D347}"/>
    <cellStyle name="20% - Énfasis1 11" xfId="15" xr:uid="{00000000-0005-0000-0000-000008000000}"/>
    <cellStyle name="20% - Énfasis1 11 2" xfId="16" xr:uid="{00000000-0005-0000-0000-000009000000}"/>
    <cellStyle name="20% - Énfasis1 11 2 2" xfId="3132" xr:uid="{47ADE2C9-41CB-4849-B6A4-939318D9E373}"/>
    <cellStyle name="20% - Énfasis1 11 3" xfId="3131" xr:uid="{7DA96D5C-40C4-436E-8C60-6A8851B0F526}"/>
    <cellStyle name="20% - Énfasis1 12" xfId="17" xr:uid="{00000000-0005-0000-0000-00000A000000}"/>
    <cellStyle name="20% - Énfasis1 12 2" xfId="18" xr:uid="{00000000-0005-0000-0000-00000B000000}"/>
    <cellStyle name="20% - Énfasis1 12 2 2" xfId="3134" xr:uid="{DC80FD96-7381-4380-971A-49B8E7250676}"/>
    <cellStyle name="20% - Énfasis1 12 3" xfId="3133" xr:uid="{917BC63B-FF42-478B-8B6F-CB15893AF1A5}"/>
    <cellStyle name="20% - Énfasis1 13" xfId="19" xr:uid="{00000000-0005-0000-0000-00000C000000}"/>
    <cellStyle name="20% - Énfasis1 13 2" xfId="20" xr:uid="{00000000-0005-0000-0000-00000D000000}"/>
    <cellStyle name="20% - Énfasis1 13 2 2" xfId="3136" xr:uid="{A9571757-1D8E-49EE-88F6-0511B018678E}"/>
    <cellStyle name="20% - Énfasis1 13 3" xfId="3135" xr:uid="{C4A51286-8D92-4114-BA6A-26923DB38EF9}"/>
    <cellStyle name="20% - Énfasis1 14" xfId="21" xr:uid="{00000000-0005-0000-0000-00000E000000}"/>
    <cellStyle name="20% - Énfasis1 14 2" xfId="22" xr:uid="{00000000-0005-0000-0000-00000F000000}"/>
    <cellStyle name="20% - Énfasis1 14 2 2" xfId="3138" xr:uid="{AC02592B-4CB0-4AC9-B4A3-39F106BD46B5}"/>
    <cellStyle name="20% - Énfasis1 14 3" xfId="3137" xr:uid="{19A7FE8F-49E9-428D-A299-1AE018F4DAB9}"/>
    <cellStyle name="20% - Énfasis1 15" xfId="12" xr:uid="{00000000-0005-0000-0000-000010000000}"/>
    <cellStyle name="20% - Énfasis1 16" xfId="3105" xr:uid="{61DFDF29-C08D-4692-AF22-D90B1F2FF36E}"/>
    <cellStyle name="20% - Énfasis1 16 2" xfId="3543" xr:uid="{F404E2EE-F1D8-4497-86BA-B849E63A18E9}"/>
    <cellStyle name="20% - Énfasis1 2" xfId="23" xr:uid="{00000000-0005-0000-0000-000011000000}"/>
    <cellStyle name="20% - Énfasis1 2 2" xfId="24" xr:uid="{00000000-0005-0000-0000-000012000000}"/>
    <cellStyle name="20% - Énfasis1 2 2 2" xfId="3140" xr:uid="{F1646A9A-24DF-43A6-87F5-17A31EEC8CF5}"/>
    <cellStyle name="20% - Énfasis1 2 3" xfId="3139" xr:uid="{A18FCA8D-C507-4435-BE42-9856DE81DC9C}"/>
    <cellStyle name="20% - Énfasis1 3" xfId="25" xr:uid="{00000000-0005-0000-0000-000013000000}"/>
    <cellStyle name="20% - Énfasis1 3 2" xfId="26" xr:uid="{00000000-0005-0000-0000-000014000000}"/>
    <cellStyle name="20% - Énfasis1 3 2 2" xfId="3142" xr:uid="{D9B62E6B-7A2D-4C13-9C28-9D71424B8648}"/>
    <cellStyle name="20% - Énfasis1 3 3" xfId="3141" xr:uid="{003253AD-8FE5-43DC-88C9-279AEDC57213}"/>
    <cellStyle name="20% - Énfasis1 4" xfId="27" xr:uid="{00000000-0005-0000-0000-000015000000}"/>
    <cellStyle name="20% - Énfasis1 4 2" xfId="28" xr:uid="{00000000-0005-0000-0000-000016000000}"/>
    <cellStyle name="20% - Énfasis1 4 2 2" xfId="3144" xr:uid="{844955CE-F894-471B-A59D-53B8B8A9A898}"/>
    <cellStyle name="20% - Énfasis1 4 3" xfId="3143" xr:uid="{A301E22B-9DCD-4D9E-9295-6EE6292632A8}"/>
    <cellStyle name="20% - Énfasis1 5" xfId="29" xr:uid="{00000000-0005-0000-0000-000017000000}"/>
    <cellStyle name="20% - Énfasis1 5 2" xfId="30" xr:uid="{00000000-0005-0000-0000-000018000000}"/>
    <cellStyle name="20% - Énfasis1 5 2 2" xfId="3146" xr:uid="{87ED9246-60F5-49D0-AEAB-1CDF2422082C}"/>
    <cellStyle name="20% - Énfasis1 5 3" xfId="3145" xr:uid="{F64887CE-0B80-4BE5-87B9-17F8EABE109A}"/>
    <cellStyle name="20% - Énfasis1 6" xfId="31" xr:uid="{00000000-0005-0000-0000-000019000000}"/>
    <cellStyle name="20% - Énfasis1 6 2" xfId="32" xr:uid="{00000000-0005-0000-0000-00001A000000}"/>
    <cellStyle name="20% - Énfasis1 6 2 2" xfId="3148" xr:uid="{87AF9251-0B46-49F2-B635-067DF410F6D8}"/>
    <cellStyle name="20% - Énfasis1 6 3" xfId="3147" xr:uid="{0D3DB278-694C-44D9-94F2-3B802607BCF4}"/>
    <cellStyle name="20% - Énfasis1 7" xfId="33" xr:uid="{00000000-0005-0000-0000-00001B000000}"/>
    <cellStyle name="20% - Énfasis1 7 2" xfId="34" xr:uid="{00000000-0005-0000-0000-00001C000000}"/>
    <cellStyle name="20% - Énfasis1 7 2 2" xfId="3150" xr:uid="{90B8C504-5458-411D-BD03-7D98F207B73F}"/>
    <cellStyle name="20% - Énfasis1 7 3" xfId="3149" xr:uid="{1AD5ACAB-54CB-4FEB-8B2F-7D0B955A9895}"/>
    <cellStyle name="20% - Énfasis1 8" xfId="35" xr:uid="{00000000-0005-0000-0000-00001D000000}"/>
    <cellStyle name="20% - Énfasis1 8 2" xfId="36" xr:uid="{00000000-0005-0000-0000-00001E000000}"/>
    <cellStyle name="20% - Énfasis1 8 2 2" xfId="3152" xr:uid="{60397889-DCFA-4C0D-8335-7C0788F2EBD8}"/>
    <cellStyle name="20% - Énfasis1 8 3" xfId="3151" xr:uid="{37007E58-B0C9-43FD-9E43-8CF97F9DF6BA}"/>
    <cellStyle name="20% - Énfasis1 9" xfId="37" xr:uid="{00000000-0005-0000-0000-00001F000000}"/>
    <cellStyle name="20% - Énfasis1 9 2" xfId="38" xr:uid="{00000000-0005-0000-0000-000020000000}"/>
    <cellStyle name="20% - Énfasis1 9 2 2" xfId="3154" xr:uid="{68629474-9A73-44FC-82AC-C82242876108}"/>
    <cellStyle name="20% - Énfasis1 9 3" xfId="3153" xr:uid="{89443071-6F04-411B-901F-4C0930F4B836}"/>
    <cellStyle name="20% - Énfasis2 10" xfId="40" xr:uid="{00000000-0005-0000-0000-000021000000}"/>
    <cellStyle name="20% - Énfasis2 10 2" xfId="41" xr:uid="{00000000-0005-0000-0000-000022000000}"/>
    <cellStyle name="20% - Énfasis2 10 2 2" xfId="3156" xr:uid="{10CFA615-3A12-4C20-9445-F1D8EF0F8C1A}"/>
    <cellStyle name="20% - Énfasis2 10 3" xfId="3155" xr:uid="{47904C94-2453-4FB5-8798-E81AE77A4F91}"/>
    <cellStyle name="20% - Énfasis2 11" xfId="42" xr:uid="{00000000-0005-0000-0000-000023000000}"/>
    <cellStyle name="20% - Énfasis2 11 2" xfId="43" xr:uid="{00000000-0005-0000-0000-000024000000}"/>
    <cellStyle name="20% - Énfasis2 11 2 2" xfId="3158" xr:uid="{00852D0B-02A0-40B9-A2DD-40DFE3E4D085}"/>
    <cellStyle name="20% - Énfasis2 11 3" xfId="3157" xr:uid="{FA53CCAA-6A04-4028-A444-3AB7D1C250A0}"/>
    <cellStyle name="20% - Énfasis2 12" xfId="44" xr:uid="{00000000-0005-0000-0000-000025000000}"/>
    <cellStyle name="20% - Énfasis2 12 2" xfId="45" xr:uid="{00000000-0005-0000-0000-000026000000}"/>
    <cellStyle name="20% - Énfasis2 12 2 2" xfId="3160" xr:uid="{58443043-A5F2-4960-AA75-080964CCC438}"/>
    <cellStyle name="20% - Énfasis2 12 3" xfId="3159" xr:uid="{5158EF33-5C86-43E6-95FD-B7534A651744}"/>
    <cellStyle name="20% - Énfasis2 13" xfId="46" xr:uid="{00000000-0005-0000-0000-000027000000}"/>
    <cellStyle name="20% - Énfasis2 13 2" xfId="47" xr:uid="{00000000-0005-0000-0000-000028000000}"/>
    <cellStyle name="20% - Énfasis2 13 2 2" xfId="3162" xr:uid="{75B1076D-29DB-4AA7-A19E-C5E3425DDFF0}"/>
    <cellStyle name="20% - Énfasis2 13 3" xfId="3161" xr:uid="{45BF099B-459C-4F75-A6C0-9EDB904B1B27}"/>
    <cellStyle name="20% - Énfasis2 14" xfId="48" xr:uid="{00000000-0005-0000-0000-000029000000}"/>
    <cellStyle name="20% - Énfasis2 14 2" xfId="49" xr:uid="{00000000-0005-0000-0000-00002A000000}"/>
    <cellStyle name="20% - Énfasis2 14 2 2" xfId="3164" xr:uid="{A2BC5C2E-711B-4323-A1DA-1B6EE7B4B03B}"/>
    <cellStyle name="20% - Énfasis2 14 3" xfId="3163" xr:uid="{35EA446A-21BA-42A7-A1A0-DBDCD526A3E8}"/>
    <cellStyle name="20% - Énfasis2 15" xfId="39" xr:uid="{00000000-0005-0000-0000-00002B000000}"/>
    <cellStyle name="20% - Énfasis2 16" xfId="3108" xr:uid="{A6B5DE61-05CB-45D0-85F7-5E5887849703}"/>
    <cellStyle name="20% - Énfasis2 16 2" xfId="3546" xr:uid="{CAF3C47C-233F-4AF0-8A97-58937136CC31}"/>
    <cellStyle name="20% - Énfasis2 2" xfId="50" xr:uid="{00000000-0005-0000-0000-00002C000000}"/>
    <cellStyle name="20% - Énfasis2 2 2" xfId="51" xr:uid="{00000000-0005-0000-0000-00002D000000}"/>
    <cellStyle name="20% - Énfasis2 2 2 2" xfId="3166" xr:uid="{31921430-19A1-448D-B6CF-8D10D807CE6E}"/>
    <cellStyle name="20% - Énfasis2 2 3" xfId="3165" xr:uid="{307A0FF2-BEE4-4686-ABB6-65A7F6715817}"/>
    <cellStyle name="20% - Énfasis2 3" xfId="52" xr:uid="{00000000-0005-0000-0000-00002E000000}"/>
    <cellStyle name="20% - Énfasis2 3 2" xfId="53" xr:uid="{00000000-0005-0000-0000-00002F000000}"/>
    <cellStyle name="20% - Énfasis2 3 2 2" xfId="3168" xr:uid="{A1C89517-39B2-4FEE-9B75-F2C983EFC113}"/>
    <cellStyle name="20% - Énfasis2 3 3" xfId="3167" xr:uid="{864326B4-076F-41D7-ADAC-E24D832A3BBA}"/>
    <cellStyle name="20% - Énfasis2 4" xfId="54" xr:uid="{00000000-0005-0000-0000-000030000000}"/>
    <cellStyle name="20% - Énfasis2 4 2" xfId="55" xr:uid="{00000000-0005-0000-0000-000031000000}"/>
    <cellStyle name="20% - Énfasis2 4 2 2" xfId="3170" xr:uid="{B75E6459-2D1E-4629-A524-DB1416FE7E8F}"/>
    <cellStyle name="20% - Énfasis2 4 3" xfId="3169" xr:uid="{4D6A7685-F274-4360-BD7F-0F3FBB6F739D}"/>
    <cellStyle name="20% - Énfasis2 5" xfId="56" xr:uid="{00000000-0005-0000-0000-000032000000}"/>
    <cellStyle name="20% - Énfasis2 5 2" xfId="57" xr:uid="{00000000-0005-0000-0000-000033000000}"/>
    <cellStyle name="20% - Énfasis2 5 2 2" xfId="3172" xr:uid="{314B326C-0CBC-4993-8D32-043E5B1A9C82}"/>
    <cellStyle name="20% - Énfasis2 5 3" xfId="3171" xr:uid="{33A9DFDB-EB21-4B90-902B-EA3EE4B464BA}"/>
    <cellStyle name="20% - Énfasis2 6" xfId="58" xr:uid="{00000000-0005-0000-0000-000034000000}"/>
    <cellStyle name="20% - Énfasis2 6 2" xfId="59" xr:uid="{00000000-0005-0000-0000-000035000000}"/>
    <cellStyle name="20% - Énfasis2 6 2 2" xfId="3174" xr:uid="{7A2B47E3-F73E-4427-9928-56E5099A0260}"/>
    <cellStyle name="20% - Énfasis2 6 3" xfId="3173" xr:uid="{E040953E-12A6-4156-9C75-39EF4349B4AC}"/>
    <cellStyle name="20% - Énfasis2 7" xfId="60" xr:uid="{00000000-0005-0000-0000-000036000000}"/>
    <cellStyle name="20% - Énfasis2 7 2" xfId="61" xr:uid="{00000000-0005-0000-0000-000037000000}"/>
    <cellStyle name="20% - Énfasis2 7 2 2" xfId="3176" xr:uid="{3554716B-6D61-4950-8D8D-72A9917107DA}"/>
    <cellStyle name="20% - Énfasis2 7 3" xfId="3175" xr:uid="{F3EB8074-82F9-4C08-B8CF-01FDEAB32030}"/>
    <cellStyle name="20% - Énfasis2 8" xfId="62" xr:uid="{00000000-0005-0000-0000-000038000000}"/>
    <cellStyle name="20% - Énfasis2 8 2" xfId="63" xr:uid="{00000000-0005-0000-0000-000039000000}"/>
    <cellStyle name="20% - Énfasis2 8 2 2" xfId="3178" xr:uid="{1F550CE6-E71C-4BFA-A9BA-DA005B1ECAB7}"/>
    <cellStyle name="20% - Énfasis2 8 3" xfId="3177" xr:uid="{58BA7F02-79A9-4420-974C-E8D34020A19E}"/>
    <cellStyle name="20% - Énfasis2 9" xfId="64" xr:uid="{00000000-0005-0000-0000-00003A000000}"/>
    <cellStyle name="20% - Énfasis2 9 2" xfId="65" xr:uid="{00000000-0005-0000-0000-00003B000000}"/>
    <cellStyle name="20% - Énfasis2 9 2 2" xfId="3180" xr:uid="{9CECD722-B001-45FF-8E99-8A761FF1DE0F}"/>
    <cellStyle name="20% - Énfasis2 9 3" xfId="3179" xr:uid="{F4700724-B16C-40A0-9832-BEB3A0938E44}"/>
    <cellStyle name="20% - Énfasis3 10" xfId="67" xr:uid="{00000000-0005-0000-0000-00003C000000}"/>
    <cellStyle name="20% - Énfasis3 10 2" xfId="68" xr:uid="{00000000-0005-0000-0000-00003D000000}"/>
    <cellStyle name="20% - Énfasis3 10 2 2" xfId="3182" xr:uid="{59C1710D-8307-49AF-8F70-E8DEDD4EFD10}"/>
    <cellStyle name="20% - Énfasis3 10 3" xfId="3181" xr:uid="{27075650-2F81-48E3-B094-250CA89DC1B2}"/>
    <cellStyle name="20% - Énfasis3 11" xfId="69" xr:uid="{00000000-0005-0000-0000-00003E000000}"/>
    <cellStyle name="20% - Énfasis3 11 2" xfId="70" xr:uid="{00000000-0005-0000-0000-00003F000000}"/>
    <cellStyle name="20% - Énfasis3 11 2 2" xfId="3184" xr:uid="{E4F05264-7F0E-4647-976F-5A8E46EB1225}"/>
    <cellStyle name="20% - Énfasis3 11 3" xfId="3183" xr:uid="{A9EFB014-9E52-4317-8DCE-4D5179536806}"/>
    <cellStyle name="20% - Énfasis3 12" xfId="71" xr:uid="{00000000-0005-0000-0000-000040000000}"/>
    <cellStyle name="20% - Énfasis3 12 2" xfId="72" xr:uid="{00000000-0005-0000-0000-000041000000}"/>
    <cellStyle name="20% - Énfasis3 12 2 2" xfId="3186" xr:uid="{E95EB21C-3626-4986-9CAE-079699688416}"/>
    <cellStyle name="20% - Énfasis3 12 3" xfId="3185" xr:uid="{89B093BF-F091-4BEF-85D5-869A125DF05D}"/>
    <cellStyle name="20% - Énfasis3 13" xfId="73" xr:uid="{00000000-0005-0000-0000-000042000000}"/>
    <cellStyle name="20% - Énfasis3 13 2" xfId="74" xr:uid="{00000000-0005-0000-0000-000043000000}"/>
    <cellStyle name="20% - Énfasis3 13 2 2" xfId="3188" xr:uid="{00AD48C4-7840-42B9-A181-264848F39C21}"/>
    <cellStyle name="20% - Énfasis3 13 3" xfId="3187" xr:uid="{80E6AC1D-94BE-4E21-81CE-294E91C42368}"/>
    <cellStyle name="20% - Énfasis3 14" xfId="75" xr:uid="{00000000-0005-0000-0000-000044000000}"/>
    <cellStyle name="20% - Énfasis3 14 2" xfId="76" xr:uid="{00000000-0005-0000-0000-000045000000}"/>
    <cellStyle name="20% - Énfasis3 14 2 2" xfId="3190" xr:uid="{2F4D81F6-E1C7-4293-8695-E4F942E37619}"/>
    <cellStyle name="20% - Énfasis3 14 3" xfId="3189" xr:uid="{307A9969-A634-441A-8BF4-67A37492CBBE}"/>
    <cellStyle name="20% - Énfasis3 15" xfId="66" xr:uid="{00000000-0005-0000-0000-000046000000}"/>
    <cellStyle name="20% - Énfasis3 16" xfId="3111" xr:uid="{3C6259C0-A7DD-4AB7-AB41-528CE4B2BDC3}"/>
    <cellStyle name="20% - Énfasis3 16 2" xfId="3549" xr:uid="{721136AA-A26C-4085-9868-1971EAB53509}"/>
    <cellStyle name="20% - Énfasis3 2" xfId="77" xr:uid="{00000000-0005-0000-0000-000047000000}"/>
    <cellStyle name="20% - Énfasis3 2 2" xfId="78" xr:uid="{00000000-0005-0000-0000-000048000000}"/>
    <cellStyle name="20% - Énfasis3 2 2 2" xfId="3192" xr:uid="{23FB28F4-8670-41A4-AF06-21512F19E151}"/>
    <cellStyle name="20% - Énfasis3 2 3" xfId="3191" xr:uid="{03CC3702-EBBD-4234-BCB7-E4A43B40422A}"/>
    <cellStyle name="20% - Énfasis3 3" xfId="79" xr:uid="{00000000-0005-0000-0000-000049000000}"/>
    <cellStyle name="20% - Énfasis3 3 2" xfId="80" xr:uid="{00000000-0005-0000-0000-00004A000000}"/>
    <cellStyle name="20% - Énfasis3 3 2 2" xfId="3194" xr:uid="{9FF107CA-B821-45D9-B1D3-E92637F17F3B}"/>
    <cellStyle name="20% - Énfasis3 3 3" xfId="3193" xr:uid="{89ACAA25-C0E4-4935-BC26-A0D54F70CEF3}"/>
    <cellStyle name="20% - Énfasis3 4" xfId="81" xr:uid="{00000000-0005-0000-0000-00004B000000}"/>
    <cellStyle name="20% - Énfasis3 4 2" xfId="82" xr:uid="{00000000-0005-0000-0000-00004C000000}"/>
    <cellStyle name="20% - Énfasis3 4 2 2" xfId="3196" xr:uid="{E7AB2B64-EE3D-458A-9A87-08E240A71DEA}"/>
    <cellStyle name="20% - Énfasis3 4 3" xfId="3195" xr:uid="{68C45C6C-A47B-4901-9FA6-23057BE493C1}"/>
    <cellStyle name="20% - Énfasis3 5" xfId="83" xr:uid="{00000000-0005-0000-0000-00004D000000}"/>
    <cellStyle name="20% - Énfasis3 5 2" xfId="84" xr:uid="{00000000-0005-0000-0000-00004E000000}"/>
    <cellStyle name="20% - Énfasis3 5 2 2" xfId="3198" xr:uid="{00D80F47-60D3-43EC-B864-D384D3C9B045}"/>
    <cellStyle name="20% - Énfasis3 5 3" xfId="3197" xr:uid="{ECC9B3E0-3E11-4179-8FA5-1CD6EEC1E675}"/>
    <cellStyle name="20% - Énfasis3 6" xfId="85" xr:uid="{00000000-0005-0000-0000-00004F000000}"/>
    <cellStyle name="20% - Énfasis3 6 2" xfId="86" xr:uid="{00000000-0005-0000-0000-000050000000}"/>
    <cellStyle name="20% - Énfasis3 6 2 2" xfId="3200" xr:uid="{C173DBE9-6F1E-42AF-AB19-490EC1EAEAA8}"/>
    <cellStyle name="20% - Énfasis3 6 3" xfId="3199" xr:uid="{6C7D4B2D-4A1D-4E92-AA61-F6B24172A4BB}"/>
    <cellStyle name="20% - Énfasis3 7" xfId="87" xr:uid="{00000000-0005-0000-0000-000051000000}"/>
    <cellStyle name="20% - Énfasis3 7 2" xfId="88" xr:uid="{00000000-0005-0000-0000-000052000000}"/>
    <cellStyle name="20% - Énfasis3 7 2 2" xfId="3202" xr:uid="{8E40986D-78D6-44C5-9B1E-71A137C6C855}"/>
    <cellStyle name="20% - Énfasis3 7 3" xfId="3201" xr:uid="{024EAC48-E340-4F03-982C-D6F3CCD5DD09}"/>
    <cellStyle name="20% - Énfasis3 8" xfId="89" xr:uid="{00000000-0005-0000-0000-000053000000}"/>
    <cellStyle name="20% - Énfasis3 8 2" xfId="90" xr:uid="{00000000-0005-0000-0000-000054000000}"/>
    <cellStyle name="20% - Énfasis3 8 2 2" xfId="3204" xr:uid="{78D6B982-ED60-4434-B479-FD1FB519CD54}"/>
    <cellStyle name="20% - Énfasis3 8 3" xfId="3203" xr:uid="{AB68385E-9B6F-4DBA-8F8B-FAE750683C7A}"/>
    <cellStyle name="20% - Énfasis3 9" xfId="91" xr:uid="{00000000-0005-0000-0000-000055000000}"/>
    <cellStyle name="20% - Énfasis3 9 2" xfId="92" xr:uid="{00000000-0005-0000-0000-000056000000}"/>
    <cellStyle name="20% - Énfasis3 9 2 2" xfId="3206" xr:uid="{F26D5FE1-738A-4AAE-B676-ADE5A793BF2D}"/>
    <cellStyle name="20% - Énfasis3 9 3" xfId="3205" xr:uid="{41FA2AA6-3432-4AB0-9409-85DEA3493330}"/>
    <cellStyle name="20% - Énfasis4 10" xfId="94" xr:uid="{00000000-0005-0000-0000-000057000000}"/>
    <cellStyle name="20% - Énfasis4 10 2" xfId="95" xr:uid="{00000000-0005-0000-0000-000058000000}"/>
    <cellStyle name="20% - Énfasis4 10 2 2" xfId="3208" xr:uid="{84CA1BD1-CEFC-40B9-853A-73663D4A9418}"/>
    <cellStyle name="20% - Énfasis4 10 3" xfId="3207" xr:uid="{C6A49DCF-D370-4658-9D43-E325BDE58BE0}"/>
    <cellStyle name="20% - Énfasis4 11" xfId="96" xr:uid="{00000000-0005-0000-0000-000059000000}"/>
    <cellStyle name="20% - Énfasis4 11 2" xfId="97" xr:uid="{00000000-0005-0000-0000-00005A000000}"/>
    <cellStyle name="20% - Énfasis4 11 2 2" xfId="3210" xr:uid="{C851FA4E-8523-4621-9BE7-76928BC280E4}"/>
    <cellStyle name="20% - Énfasis4 11 3" xfId="3209" xr:uid="{6DA98D0B-51DF-42D3-84DD-0585381D5C7C}"/>
    <cellStyle name="20% - Énfasis4 12" xfId="98" xr:uid="{00000000-0005-0000-0000-00005B000000}"/>
    <cellStyle name="20% - Énfasis4 12 2" xfId="99" xr:uid="{00000000-0005-0000-0000-00005C000000}"/>
    <cellStyle name="20% - Énfasis4 12 2 2" xfId="3212" xr:uid="{392A2B42-498B-439E-B307-4E4AF7DEA39C}"/>
    <cellStyle name="20% - Énfasis4 12 3" xfId="3211" xr:uid="{FD09EB39-6EF6-4354-A940-2E1ACBD0796A}"/>
    <cellStyle name="20% - Énfasis4 13" xfId="100" xr:uid="{00000000-0005-0000-0000-00005D000000}"/>
    <cellStyle name="20% - Énfasis4 13 2" xfId="101" xr:uid="{00000000-0005-0000-0000-00005E000000}"/>
    <cellStyle name="20% - Énfasis4 13 2 2" xfId="3214" xr:uid="{66B6FEFC-9188-4891-8C35-44F0E3303B9D}"/>
    <cellStyle name="20% - Énfasis4 13 3" xfId="3213" xr:uid="{D0A7FFDE-957D-45F9-9C36-A5C59E958E52}"/>
    <cellStyle name="20% - Énfasis4 14" xfId="102" xr:uid="{00000000-0005-0000-0000-00005F000000}"/>
    <cellStyle name="20% - Énfasis4 14 2" xfId="103" xr:uid="{00000000-0005-0000-0000-000060000000}"/>
    <cellStyle name="20% - Énfasis4 14 2 2" xfId="3216" xr:uid="{46BE0C04-D116-4A4C-B86B-1E7C8AAD4B31}"/>
    <cellStyle name="20% - Énfasis4 14 3" xfId="3215" xr:uid="{00764606-ADFC-4C9E-B777-D4B0109FE406}"/>
    <cellStyle name="20% - Énfasis4 15" xfId="93" xr:uid="{00000000-0005-0000-0000-000061000000}"/>
    <cellStyle name="20% - Énfasis4 16" xfId="3114" xr:uid="{A41B8C20-9491-43FA-881E-7A31B0701B5B}"/>
    <cellStyle name="20% - Énfasis4 16 2" xfId="3552" xr:uid="{5A88AB31-BC33-4AEC-A654-3B462DD52E34}"/>
    <cellStyle name="20% - Énfasis4 2" xfId="104" xr:uid="{00000000-0005-0000-0000-000062000000}"/>
    <cellStyle name="20% - Énfasis4 2 2" xfId="105" xr:uid="{00000000-0005-0000-0000-000063000000}"/>
    <cellStyle name="20% - Énfasis4 2 2 2" xfId="3218" xr:uid="{C332F909-AF9D-46EF-AE9F-6F59357E3719}"/>
    <cellStyle name="20% - Énfasis4 2 3" xfId="3217" xr:uid="{1B79C1D6-5E6B-444E-BBD2-7AF4FBED48BF}"/>
    <cellStyle name="20% - Énfasis4 3" xfId="106" xr:uid="{00000000-0005-0000-0000-000064000000}"/>
    <cellStyle name="20% - Énfasis4 3 2" xfId="107" xr:uid="{00000000-0005-0000-0000-000065000000}"/>
    <cellStyle name="20% - Énfasis4 3 2 2" xfId="3220" xr:uid="{0E6B7867-4F9C-4E5C-9C1B-67EA519CBE45}"/>
    <cellStyle name="20% - Énfasis4 3 3" xfId="3219" xr:uid="{4FCD4224-E6FB-42CD-8B85-9251EBCEDFFD}"/>
    <cellStyle name="20% - Énfasis4 4" xfId="108" xr:uid="{00000000-0005-0000-0000-000066000000}"/>
    <cellStyle name="20% - Énfasis4 4 2" xfId="109" xr:uid="{00000000-0005-0000-0000-000067000000}"/>
    <cellStyle name="20% - Énfasis4 4 2 2" xfId="3222" xr:uid="{C764511C-32E8-4294-9E58-BE552AF82681}"/>
    <cellStyle name="20% - Énfasis4 4 3" xfId="3221" xr:uid="{B4B43EAB-4FDA-4D5A-938A-44E3C57B4C9B}"/>
    <cellStyle name="20% - Énfasis4 5" xfId="110" xr:uid="{00000000-0005-0000-0000-000068000000}"/>
    <cellStyle name="20% - Énfasis4 5 2" xfId="111" xr:uid="{00000000-0005-0000-0000-000069000000}"/>
    <cellStyle name="20% - Énfasis4 5 2 2" xfId="3224" xr:uid="{8A130845-DAB1-4054-84E6-15CF71F901B6}"/>
    <cellStyle name="20% - Énfasis4 5 3" xfId="3223" xr:uid="{EB988788-FCEF-4505-82C6-CCB19241B0DB}"/>
    <cellStyle name="20% - Énfasis4 6" xfId="112" xr:uid="{00000000-0005-0000-0000-00006A000000}"/>
    <cellStyle name="20% - Énfasis4 6 2" xfId="113" xr:uid="{00000000-0005-0000-0000-00006B000000}"/>
    <cellStyle name="20% - Énfasis4 6 2 2" xfId="3226" xr:uid="{A58C29B4-6531-4E96-BAA1-D134007233B9}"/>
    <cellStyle name="20% - Énfasis4 6 3" xfId="3225" xr:uid="{62BA0DB7-EBA0-48F8-89E4-C3049EF4C727}"/>
    <cellStyle name="20% - Énfasis4 7" xfId="114" xr:uid="{00000000-0005-0000-0000-00006C000000}"/>
    <cellStyle name="20% - Énfasis4 7 2" xfId="115" xr:uid="{00000000-0005-0000-0000-00006D000000}"/>
    <cellStyle name="20% - Énfasis4 7 2 2" xfId="3228" xr:uid="{355C3AFA-C33D-49AF-ABB0-81D0FDA5387D}"/>
    <cellStyle name="20% - Énfasis4 7 3" xfId="3227" xr:uid="{71834889-A0C1-462D-91D1-7A9AC145104A}"/>
    <cellStyle name="20% - Énfasis4 8" xfId="116" xr:uid="{00000000-0005-0000-0000-00006E000000}"/>
    <cellStyle name="20% - Énfasis4 8 2" xfId="117" xr:uid="{00000000-0005-0000-0000-00006F000000}"/>
    <cellStyle name="20% - Énfasis4 8 2 2" xfId="3230" xr:uid="{170F2EAB-B265-48E5-AD52-6E5766F2231D}"/>
    <cellStyle name="20% - Énfasis4 8 3" xfId="3229" xr:uid="{7DFFB8AC-4144-4928-BA9A-0BAA768A3C67}"/>
    <cellStyle name="20% - Énfasis4 9" xfId="118" xr:uid="{00000000-0005-0000-0000-000070000000}"/>
    <cellStyle name="20% - Énfasis4 9 2" xfId="119" xr:uid="{00000000-0005-0000-0000-000071000000}"/>
    <cellStyle name="20% - Énfasis4 9 2 2" xfId="3232" xr:uid="{52B3DCF4-7420-40CE-BFC0-AAEA4FAA5F7F}"/>
    <cellStyle name="20% - Énfasis4 9 3" xfId="3231" xr:uid="{F5918B1E-2F7A-4D42-9D26-117EC16A1B5A}"/>
    <cellStyle name="20% - Énfasis5 10" xfId="121" xr:uid="{00000000-0005-0000-0000-000072000000}"/>
    <cellStyle name="20% - Énfasis5 10 2" xfId="122" xr:uid="{00000000-0005-0000-0000-000073000000}"/>
    <cellStyle name="20% - Énfasis5 10 2 2" xfId="3234" xr:uid="{CC8351F3-8DF3-4F90-BEA4-251EE66DE60E}"/>
    <cellStyle name="20% - Énfasis5 10 3" xfId="3233" xr:uid="{45C3CF08-27E8-4D74-836E-EA9A290B3CBA}"/>
    <cellStyle name="20% - Énfasis5 11" xfId="123" xr:uid="{00000000-0005-0000-0000-000074000000}"/>
    <cellStyle name="20% - Énfasis5 11 2" xfId="124" xr:uid="{00000000-0005-0000-0000-000075000000}"/>
    <cellStyle name="20% - Énfasis5 11 2 2" xfId="3236" xr:uid="{9F53E611-40A3-4E37-8976-7C989B313363}"/>
    <cellStyle name="20% - Énfasis5 11 3" xfId="3235" xr:uid="{27EC76DA-4C7C-476C-809E-541053316560}"/>
    <cellStyle name="20% - Énfasis5 12" xfId="125" xr:uid="{00000000-0005-0000-0000-000076000000}"/>
    <cellStyle name="20% - Énfasis5 12 2" xfId="126" xr:uid="{00000000-0005-0000-0000-000077000000}"/>
    <cellStyle name="20% - Énfasis5 12 2 2" xfId="3238" xr:uid="{1D61A059-2141-4280-9930-9074166BCE93}"/>
    <cellStyle name="20% - Énfasis5 12 3" xfId="3237" xr:uid="{3F37DF19-AF4C-46FF-9BBC-09C4ECC3A86F}"/>
    <cellStyle name="20% - Énfasis5 13" xfId="127" xr:uid="{00000000-0005-0000-0000-000078000000}"/>
    <cellStyle name="20% - Énfasis5 13 2" xfId="128" xr:uid="{00000000-0005-0000-0000-000079000000}"/>
    <cellStyle name="20% - Énfasis5 13 2 2" xfId="3240" xr:uid="{38188F39-9398-4C97-9330-CA56587A5C60}"/>
    <cellStyle name="20% - Énfasis5 13 3" xfId="3239" xr:uid="{879CBCAC-5BD9-4585-AEAA-E38EBA53E927}"/>
    <cellStyle name="20% - Énfasis5 14" xfId="129" xr:uid="{00000000-0005-0000-0000-00007A000000}"/>
    <cellStyle name="20% - Énfasis5 14 2" xfId="130" xr:uid="{00000000-0005-0000-0000-00007B000000}"/>
    <cellStyle name="20% - Énfasis5 14 2 2" xfId="3242" xr:uid="{F8F12D77-7994-4F31-BBB3-B56F72E05C3D}"/>
    <cellStyle name="20% - Énfasis5 14 3" xfId="3241" xr:uid="{B512876B-4920-4CB5-ACE3-3ECAFA35C902}"/>
    <cellStyle name="20% - Énfasis5 15" xfId="120" xr:uid="{00000000-0005-0000-0000-00007C000000}"/>
    <cellStyle name="20% - Énfasis5 16" xfId="3117" xr:uid="{32D38F27-6CF8-4A3E-9586-B0857A91C863}"/>
    <cellStyle name="20% - Énfasis5 16 2" xfId="3555" xr:uid="{786D868D-4800-4DDF-A06B-E7BE579B64DA}"/>
    <cellStyle name="20% - Énfasis5 2" xfId="131" xr:uid="{00000000-0005-0000-0000-00007D000000}"/>
    <cellStyle name="20% - Énfasis5 2 2" xfId="132" xr:uid="{00000000-0005-0000-0000-00007E000000}"/>
    <cellStyle name="20% - Énfasis5 2 2 2" xfId="3244" xr:uid="{5837E9BC-1FE3-43C9-961A-1A1FC93EBA1D}"/>
    <cellStyle name="20% - Énfasis5 2 3" xfId="3243" xr:uid="{A5F9BA1D-994A-4AEC-9D42-50B551C02238}"/>
    <cellStyle name="20% - Énfasis5 3" xfId="133" xr:uid="{00000000-0005-0000-0000-00007F000000}"/>
    <cellStyle name="20% - Énfasis5 3 2" xfId="134" xr:uid="{00000000-0005-0000-0000-000080000000}"/>
    <cellStyle name="20% - Énfasis5 3 2 2" xfId="3246" xr:uid="{F30C640F-5E48-4842-A250-B9331DC2C108}"/>
    <cellStyle name="20% - Énfasis5 3 3" xfId="3245" xr:uid="{98F13638-E695-490C-AC0D-B2BD236894C3}"/>
    <cellStyle name="20% - Énfasis5 4" xfId="135" xr:uid="{00000000-0005-0000-0000-000081000000}"/>
    <cellStyle name="20% - Énfasis5 4 2" xfId="136" xr:uid="{00000000-0005-0000-0000-000082000000}"/>
    <cellStyle name="20% - Énfasis5 4 2 2" xfId="3248" xr:uid="{E6786148-DE35-4E7C-B246-4738DC378917}"/>
    <cellStyle name="20% - Énfasis5 4 3" xfId="3247" xr:uid="{4CCE36F3-2511-4745-AB1A-CF62983151E2}"/>
    <cellStyle name="20% - Énfasis5 5" xfId="137" xr:uid="{00000000-0005-0000-0000-000083000000}"/>
    <cellStyle name="20% - Énfasis5 5 2" xfId="138" xr:uid="{00000000-0005-0000-0000-000084000000}"/>
    <cellStyle name="20% - Énfasis5 5 2 2" xfId="3250" xr:uid="{6560AF82-121D-47F9-AB85-5FF141B7CFC6}"/>
    <cellStyle name="20% - Énfasis5 5 3" xfId="3249" xr:uid="{1AEAB87D-F5B6-4645-8523-48C8A47C3CDE}"/>
    <cellStyle name="20% - Énfasis5 6" xfId="139" xr:uid="{00000000-0005-0000-0000-000085000000}"/>
    <cellStyle name="20% - Énfasis5 6 2" xfId="140" xr:uid="{00000000-0005-0000-0000-000086000000}"/>
    <cellStyle name="20% - Énfasis5 6 2 2" xfId="3252" xr:uid="{7810301F-0CE3-437F-8FA7-BDEADFB4735A}"/>
    <cellStyle name="20% - Énfasis5 6 3" xfId="3251" xr:uid="{30CA46B1-4BAC-4A3D-A6E5-F1F34B93FE41}"/>
    <cellStyle name="20% - Énfasis5 7" xfId="141" xr:uid="{00000000-0005-0000-0000-000087000000}"/>
    <cellStyle name="20% - Énfasis5 7 2" xfId="142" xr:uid="{00000000-0005-0000-0000-000088000000}"/>
    <cellStyle name="20% - Énfasis5 7 2 2" xfId="3254" xr:uid="{A3846588-77E3-4981-A0B2-2D9F51F915D3}"/>
    <cellStyle name="20% - Énfasis5 7 3" xfId="3253" xr:uid="{D6C62BD2-EA0B-4EA0-A0B1-EB5487F69AFC}"/>
    <cellStyle name="20% - Énfasis5 8" xfId="143" xr:uid="{00000000-0005-0000-0000-000089000000}"/>
    <cellStyle name="20% - Énfasis5 8 2" xfId="144" xr:uid="{00000000-0005-0000-0000-00008A000000}"/>
    <cellStyle name="20% - Énfasis5 8 2 2" xfId="3256" xr:uid="{213C0C90-BDFF-4AD1-94CD-E6FE5506DB2B}"/>
    <cellStyle name="20% - Énfasis5 8 3" xfId="3255" xr:uid="{D38BA4E9-83A6-422D-90C3-7B29BAAAEF55}"/>
    <cellStyle name="20% - Énfasis5 9" xfId="145" xr:uid="{00000000-0005-0000-0000-00008B000000}"/>
    <cellStyle name="20% - Énfasis5 9 2" xfId="146" xr:uid="{00000000-0005-0000-0000-00008C000000}"/>
    <cellStyle name="20% - Énfasis5 9 2 2" xfId="3258" xr:uid="{D7E85116-35D2-4CFA-9A7B-7CBECA03F79A}"/>
    <cellStyle name="20% - Énfasis5 9 3" xfId="3257" xr:uid="{028AC600-137B-4BA1-B56E-FDB7FBC36098}"/>
    <cellStyle name="20% - Énfasis6 10" xfId="148" xr:uid="{00000000-0005-0000-0000-00008D000000}"/>
    <cellStyle name="20% - Énfasis6 10 2" xfId="149" xr:uid="{00000000-0005-0000-0000-00008E000000}"/>
    <cellStyle name="20% - Énfasis6 10 2 2" xfId="3260" xr:uid="{93D32B26-8795-4ACF-9321-6E24D56E4A41}"/>
    <cellStyle name="20% - Énfasis6 10 3" xfId="3259" xr:uid="{D5B23F34-F695-4033-92D3-EAFD6020D22F}"/>
    <cellStyle name="20% - Énfasis6 11" xfId="150" xr:uid="{00000000-0005-0000-0000-00008F000000}"/>
    <cellStyle name="20% - Énfasis6 11 2" xfId="151" xr:uid="{00000000-0005-0000-0000-000090000000}"/>
    <cellStyle name="20% - Énfasis6 11 2 2" xfId="3262" xr:uid="{255862AC-4E23-4DBD-AAAC-79AE69F54E15}"/>
    <cellStyle name="20% - Énfasis6 11 3" xfId="3261" xr:uid="{7124C01E-C45E-40B3-B1ED-798EE281D3A1}"/>
    <cellStyle name="20% - Énfasis6 12" xfId="152" xr:uid="{00000000-0005-0000-0000-000091000000}"/>
    <cellStyle name="20% - Énfasis6 12 2" xfId="153" xr:uid="{00000000-0005-0000-0000-000092000000}"/>
    <cellStyle name="20% - Énfasis6 12 2 2" xfId="3264" xr:uid="{8A73DFD9-F33F-4E25-9CC9-27E34F907D55}"/>
    <cellStyle name="20% - Énfasis6 12 3" xfId="3263" xr:uid="{5142D36C-0057-4920-A612-5D260AD0C594}"/>
    <cellStyle name="20% - Énfasis6 13" xfId="154" xr:uid="{00000000-0005-0000-0000-000093000000}"/>
    <cellStyle name="20% - Énfasis6 13 2" xfId="155" xr:uid="{00000000-0005-0000-0000-000094000000}"/>
    <cellStyle name="20% - Énfasis6 13 2 2" xfId="3266" xr:uid="{A2857D1C-6D2A-42CD-B264-83294F96C4F6}"/>
    <cellStyle name="20% - Énfasis6 13 3" xfId="3265" xr:uid="{246904D4-056C-4D01-B959-022C9D539A1B}"/>
    <cellStyle name="20% - Énfasis6 14" xfId="156" xr:uid="{00000000-0005-0000-0000-000095000000}"/>
    <cellStyle name="20% - Énfasis6 14 2" xfId="157" xr:uid="{00000000-0005-0000-0000-000096000000}"/>
    <cellStyle name="20% - Énfasis6 14 2 2" xfId="3268" xr:uid="{ED4DFC84-7FD2-439D-B16E-1DBDAA10CB10}"/>
    <cellStyle name="20% - Énfasis6 14 3" xfId="3267" xr:uid="{F534753C-BAC7-47D9-9A1A-9712A3D0E23E}"/>
    <cellStyle name="20% - Énfasis6 15" xfId="147" xr:uid="{00000000-0005-0000-0000-000097000000}"/>
    <cellStyle name="20% - Énfasis6 16" xfId="3120" xr:uid="{3D4EF18F-2619-4C41-9BB0-A77DCE8AD0FA}"/>
    <cellStyle name="20% - Énfasis6 16 2" xfId="3558" xr:uid="{1F29136A-5084-46A3-9E45-D6EDBCC8C69A}"/>
    <cellStyle name="20% - Énfasis6 2" xfId="158" xr:uid="{00000000-0005-0000-0000-000098000000}"/>
    <cellStyle name="20% - Énfasis6 2 2" xfId="159" xr:uid="{00000000-0005-0000-0000-000099000000}"/>
    <cellStyle name="20% - Énfasis6 2 2 2" xfId="3270" xr:uid="{B7B0E932-E09E-4DE0-9E93-9171AEAE5DE3}"/>
    <cellStyle name="20% - Énfasis6 2 3" xfId="3269" xr:uid="{A6D68CB5-3C8B-43BE-B016-0CFB07F1B225}"/>
    <cellStyle name="20% - Énfasis6 3" xfId="160" xr:uid="{00000000-0005-0000-0000-00009A000000}"/>
    <cellStyle name="20% - Énfasis6 3 2" xfId="161" xr:uid="{00000000-0005-0000-0000-00009B000000}"/>
    <cellStyle name="20% - Énfasis6 3 2 2" xfId="3272" xr:uid="{5D2495B9-7575-41E2-8481-6702563CA56C}"/>
    <cellStyle name="20% - Énfasis6 3 3" xfId="3271" xr:uid="{82464383-866F-4C41-A569-B95F5988E291}"/>
    <cellStyle name="20% - Énfasis6 4" xfId="162" xr:uid="{00000000-0005-0000-0000-00009C000000}"/>
    <cellStyle name="20% - Énfasis6 4 2" xfId="163" xr:uid="{00000000-0005-0000-0000-00009D000000}"/>
    <cellStyle name="20% - Énfasis6 4 2 2" xfId="3274" xr:uid="{D2860CFA-8046-4E2A-A796-8D44E2432374}"/>
    <cellStyle name="20% - Énfasis6 4 3" xfId="3273" xr:uid="{635FF142-B26B-4484-B545-AD983B796FE3}"/>
    <cellStyle name="20% - Énfasis6 5" xfId="164" xr:uid="{00000000-0005-0000-0000-00009E000000}"/>
    <cellStyle name="20% - Énfasis6 5 2" xfId="165" xr:uid="{00000000-0005-0000-0000-00009F000000}"/>
    <cellStyle name="20% - Énfasis6 5 2 2" xfId="3276" xr:uid="{886ADD3E-4B1C-4A4D-8D28-C3EC35BB1A7F}"/>
    <cellStyle name="20% - Énfasis6 5 3" xfId="3275" xr:uid="{2A0667E2-DFE3-4BA7-8117-1C99D1A9961F}"/>
    <cellStyle name="20% - Énfasis6 6" xfId="166" xr:uid="{00000000-0005-0000-0000-0000A0000000}"/>
    <cellStyle name="20% - Énfasis6 6 2" xfId="167" xr:uid="{00000000-0005-0000-0000-0000A1000000}"/>
    <cellStyle name="20% - Énfasis6 6 2 2" xfId="3278" xr:uid="{1F177771-749A-420C-BE06-241DE6E4BBCD}"/>
    <cellStyle name="20% - Énfasis6 6 3" xfId="3277" xr:uid="{9A5C2659-364C-40A9-B9E9-B70EEA2FC2E1}"/>
    <cellStyle name="20% - Énfasis6 7" xfId="168" xr:uid="{00000000-0005-0000-0000-0000A2000000}"/>
    <cellStyle name="20% - Énfasis6 7 2" xfId="169" xr:uid="{00000000-0005-0000-0000-0000A3000000}"/>
    <cellStyle name="20% - Énfasis6 7 2 2" xfId="3280" xr:uid="{CFFB7BCD-027C-4D7D-87B0-3E2796A8095D}"/>
    <cellStyle name="20% - Énfasis6 7 3" xfId="3279" xr:uid="{5BE5AA97-C436-45DE-8ABC-316CFE2E6170}"/>
    <cellStyle name="20% - Énfasis6 8" xfId="170" xr:uid="{00000000-0005-0000-0000-0000A4000000}"/>
    <cellStyle name="20% - Énfasis6 8 2" xfId="171" xr:uid="{00000000-0005-0000-0000-0000A5000000}"/>
    <cellStyle name="20% - Énfasis6 8 2 2" xfId="3282" xr:uid="{F358EB5B-4B87-4FB1-9ED2-A4A4C640DD02}"/>
    <cellStyle name="20% - Énfasis6 8 3" xfId="3281" xr:uid="{D19CEDCB-863D-4946-9D41-DD152C885D8D}"/>
    <cellStyle name="20% - Énfasis6 9" xfId="172" xr:uid="{00000000-0005-0000-0000-0000A6000000}"/>
    <cellStyle name="20% - Énfasis6 9 2" xfId="173" xr:uid="{00000000-0005-0000-0000-0000A7000000}"/>
    <cellStyle name="20% - Énfasis6 9 2 2" xfId="3284" xr:uid="{1FFCB381-CD60-4EF6-824A-ADEBBE13EF69}"/>
    <cellStyle name="20% - Énfasis6 9 3" xfId="3283" xr:uid="{893F2AC8-3A55-4372-990A-2B81CB47CCDB}"/>
    <cellStyle name="40% - Accent1" xfId="174" xr:uid="{00000000-0005-0000-0000-0000A8000000}"/>
    <cellStyle name="40% - Accent1 2" xfId="3285" xr:uid="{FFA6BCD3-94BE-4D01-B4E9-3AB2B193E384}"/>
    <cellStyle name="40% - Accent2" xfId="175" xr:uid="{00000000-0005-0000-0000-0000A9000000}"/>
    <cellStyle name="40% - Accent2 2" xfId="3286" xr:uid="{E14EC03E-7357-4BB0-BA22-2DA6380EB00C}"/>
    <cellStyle name="40% - Accent3" xfId="176" xr:uid="{00000000-0005-0000-0000-0000AA000000}"/>
    <cellStyle name="40% - Accent3 2" xfId="3287" xr:uid="{78023988-18CB-4CB9-AE99-4EF731CCE3E8}"/>
    <cellStyle name="40% - Accent4" xfId="177" xr:uid="{00000000-0005-0000-0000-0000AB000000}"/>
    <cellStyle name="40% - Accent4 2" xfId="3288" xr:uid="{48C30B4E-F8A3-4D46-AC38-C0F94A1F1EA9}"/>
    <cellStyle name="40% - Accent5" xfId="178" xr:uid="{00000000-0005-0000-0000-0000AC000000}"/>
    <cellStyle name="40% - Accent5 2" xfId="3289" xr:uid="{1D636E48-A1D5-4C9F-A509-90A9B3E48486}"/>
    <cellStyle name="40% - Accent6" xfId="179" xr:uid="{00000000-0005-0000-0000-0000AD000000}"/>
    <cellStyle name="40% - Accent6 2" xfId="3290" xr:uid="{4D85F4C8-69B5-4AC8-AC39-9AE47AA51197}"/>
    <cellStyle name="40% - Énfasis1 10" xfId="181" xr:uid="{00000000-0005-0000-0000-0000AE000000}"/>
    <cellStyle name="40% - Énfasis1 10 2" xfId="182" xr:uid="{00000000-0005-0000-0000-0000AF000000}"/>
    <cellStyle name="40% - Énfasis1 10 2 2" xfId="3292" xr:uid="{70623AD7-ACF3-4E65-92AB-8BF4F058D49F}"/>
    <cellStyle name="40% - Énfasis1 10 3" xfId="3291" xr:uid="{9E84AC2D-2F05-4652-97D3-0368AAC521FF}"/>
    <cellStyle name="40% - Énfasis1 11" xfId="183" xr:uid="{00000000-0005-0000-0000-0000B0000000}"/>
    <cellStyle name="40% - Énfasis1 11 2" xfId="184" xr:uid="{00000000-0005-0000-0000-0000B1000000}"/>
    <cellStyle name="40% - Énfasis1 11 2 2" xfId="3294" xr:uid="{29B87BA0-9878-408B-A4D6-29E8DEC74AB4}"/>
    <cellStyle name="40% - Énfasis1 11 3" xfId="3293" xr:uid="{FF9D8C3B-4A2D-4425-9691-100811908C42}"/>
    <cellStyle name="40% - Énfasis1 12" xfId="185" xr:uid="{00000000-0005-0000-0000-0000B2000000}"/>
    <cellStyle name="40% - Énfasis1 12 2" xfId="186" xr:uid="{00000000-0005-0000-0000-0000B3000000}"/>
    <cellStyle name="40% - Énfasis1 12 2 2" xfId="3296" xr:uid="{14F0272B-40A3-40CD-BC3A-BFB992C3F0DE}"/>
    <cellStyle name="40% - Énfasis1 12 3" xfId="3295" xr:uid="{D917E063-4077-45A5-A9F1-3629AF706184}"/>
    <cellStyle name="40% - Énfasis1 13" xfId="187" xr:uid="{00000000-0005-0000-0000-0000B4000000}"/>
    <cellStyle name="40% - Énfasis1 13 2" xfId="188" xr:uid="{00000000-0005-0000-0000-0000B5000000}"/>
    <cellStyle name="40% - Énfasis1 13 2 2" xfId="3298" xr:uid="{3A4A086A-CE3E-442A-9A72-EB41A28D1453}"/>
    <cellStyle name="40% - Énfasis1 13 3" xfId="3297" xr:uid="{296C39E6-14C9-4BE6-8AC4-8D010769DDD7}"/>
    <cellStyle name="40% - Énfasis1 14" xfId="189" xr:uid="{00000000-0005-0000-0000-0000B6000000}"/>
    <cellStyle name="40% - Énfasis1 14 2" xfId="190" xr:uid="{00000000-0005-0000-0000-0000B7000000}"/>
    <cellStyle name="40% - Énfasis1 14 2 2" xfId="3300" xr:uid="{6EDB8791-5BE8-48B4-ADDE-E679F1319A37}"/>
    <cellStyle name="40% - Énfasis1 14 3" xfId="3299" xr:uid="{2D20A8C8-428D-42C6-9FB0-0160768BA970}"/>
    <cellStyle name="40% - Énfasis1 15" xfId="180" xr:uid="{00000000-0005-0000-0000-0000B8000000}"/>
    <cellStyle name="40% - Énfasis1 16" xfId="3106" xr:uid="{5702DC89-9EC1-4CE3-87D5-E4F30DBED61B}"/>
    <cellStyle name="40% - Énfasis1 16 2" xfId="3544" xr:uid="{2A3A8D81-EEDC-4530-BEA2-22694FFF6709}"/>
    <cellStyle name="40% - Énfasis1 2" xfId="191" xr:uid="{00000000-0005-0000-0000-0000B9000000}"/>
    <cellStyle name="40% - Énfasis1 2 2" xfId="192" xr:uid="{00000000-0005-0000-0000-0000BA000000}"/>
    <cellStyle name="40% - Énfasis1 2 2 2" xfId="3302" xr:uid="{FE752741-F733-4C93-81B7-EB053094656B}"/>
    <cellStyle name="40% - Énfasis1 2 3" xfId="3301" xr:uid="{1C66EDED-17AE-4C3E-A94D-DEA7A77C48BE}"/>
    <cellStyle name="40% - Énfasis1 3" xfId="193" xr:uid="{00000000-0005-0000-0000-0000BB000000}"/>
    <cellStyle name="40% - Énfasis1 3 2" xfId="194" xr:uid="{00000000-0005-0000-0000-0000BC000000}"/>
    <cellStyle name="40% - Énfasis1 3 2 2" xfId="3304" xr:uid="{45EB768B-5691-4827-8E1D-3C42FB131D99}"/>
    <cellStyle name="40% - Énfasis1 3 3" xfId="3303" xr:uid="{3A1559F7-24CF-48BB-B870-94EB1B47602C}"/>
    <cellStyle name="40% - Énfasis1 4" xfId="195" xr:uid="{00000000-0005-0000-0000-0000BD000000}"/>
    <cellStyle name="40% - Énfasis1 4 2" xfId="196" xr:uid="{00000000-0005-0000-0000-0000BE000000}"/>
    <cellStyle name="40% - Énfasis1 4 2 2" xfId="3306" xr:uid="{E01F8368-8B0A-4692-89BD-9D3A06050FED}"/>
    <cellStyle name="40% - Énfasis1 4 3" xfId="3305" xr:uid="{C66B94CC-4E21-4D5C-BF1C-344F34AA19B9}"/>
    <cellStyle name="40% - Énfasis1 5" xfId="197" xr:uid="{00000000-0005-0000-0000-0000BF000000}"/>
    <cellStyle name="40% - Énfasis1 5 2" xfId="198" xr:uid="{00000000-0005-0000-0000-0000C0000000}"/>
    <cellStyle name="40% - Énfasis1 5 2 2" xfId="3308" xr:uid="{0070B2CC-3CBB-40FB-ACBE-0888427D8E02}"/>
    <cellStyle name="40% - Énfasis1 5 3" xfId="3307" xr:uid="{A6C8B88C-B4D9-4DA0-871E-DD211D19FAAA}"/>
    <cellStyle name="40% - Énfasis1 6" xfId="199" xr:uid="{00000000-0005-0000-0000-0000C1000000}"/>
    <cellStyle name="40% - Énfasis1 6 2" xfId="200" xr:uid="{00000000-0005-0000-0000-0000C2000000}"/>
    <cellStyle name="40% - Énfasis1 6 2 2" xfId="3310" xr:uid="{A52A23BF-689A-4222-B55E-B294DADBD703}"/>
    <cellStyle name="40% - Énfasis1 6 3" xfId="3309" xr:uid="{138CB20C-EC3F-4EDB-9F0E-37C2632B5E9A}"/>
    <cellStyle name="40% - Énfasis1 7" xfId="201" xr:uid="{00000000-0005-0000-0000-0000C3000000}"/>
    <cellStyle name="40% - Énfasis1 7 2" xfId="202" xr:uid="{00000000-0005-0000-0000-0000C4000000}"/>
    <cellStyle name="40% - Énfasis1 7 2 2" xfId="3312" xr:uid="{7CAD5873-9773-4D29-89D4-418CA8D79CA9}"/>
    <cellStyle name="40% - Énfasis1 7 3" xfId="3311" xr:uid="{44155404-11AE-4EE6-A717-7D9269721CCD}"/>
    <cellStyle name="40% - Énfasis1 8" xfId="203" xr:uid="{00000000-0005-0000-0000-0000C5000000}"/>
    <cellStyle name="40% - Énfasis1 8 2" xfId="204" xr:uid="{00000000-0005-0000-0000-0000C6000000}"/>
    <cellStyle name="40% - Énfasis1 8 2 2" xfId="3314" xr:uid="{859B73E0-27FA-40FE-B213-99B12EDD947E}"/>
    <cellStyle name="40% - Énfasis1 8 3" xfId="3313" xr:uid="{DCB84E3F-A88D-4748-9ADB-241068F70C1E}"/>
    <cellStyle name="40% - Énfasis1 9" xfId="205" xr:uid="{00000000-0005-0000-0000-0000C7000000}"/>
    <cellStyle name="40% - Énfasis1 9 2" xfId="206" xr:uid="{00000000-0005-0000-0000-0000C8000000}"/>
    <cellStyle name="40% - Énfasis1 9 2 2" xfId="3316" xr:uid="{234F6ED9-9FA3-4E37-9573-85D3171F1FA1}"/>
    <cellStyle name="40% - Énfasis1 9 3" xfId="3315" xr:uid="{629C897D-F77A-47FE-9AA3-85C895EEE15B}"/>
    <cellStyle name="40% - Énfasis2 10" xfId="208" xr:uid="{00000000-0005-0000-0000-0000C9000000}"/>
    <cellStyle name="40% - Énfasis2 10 2" xfId="209" xr:uid="{00000000-0005-0000-0000-0000CA000000}"/>
    <cellStyle name="40% - Énfasis2 10 2 2" xfId="3318" xr:uid="{EF55F232-1F14-40DC-93C2-FA268C66E7EA}"/>
    <cellStyle name="40% - Énfasis2 10 3" xfId="3317" xr:uid="{5A61D17D-381B-405C-B9AB-A486344ED9BA}"/>
    <cellStyle name="40% - Énfasis2 11" xfId="210" xr:uid="{00000000-0005-0000-0000-0000CB000000}"/>
    <cellStyle name="40% - Énfasis2 11 2" xfId="211" xr:uid="{00000000-0005-0000-0000-0000CC000000}"/>
    <cellStyle name="40% - Énfasis2 11 2 2" xfId="3320" xr:uid="{48C0F42A-0AD6-4E3E-8504-036E59C57D0C}"/>
    <cellStyle name="40% - Énfasis2 11 3" xfId="3319" xr:uid="{B0167C04-AC46-4D51-9AA0-2C810B42374D}"/>
    <cellStyle name="40% - Énfasis2 12" xfId="212" xr:uid="{00000000-0005-0000-0000-0000CD000000}"/>
    <cellStyle name="40% - Énfasis2 12 2" xfId="213" xr:uid="{00000000-0005-0000-0000-0000CE000000}"/>
    <cellStyle name="40% - Énfasis2 12 2 2" xfId="3322" xr:uid="{C858E43E-154E-45D7-91AE-29F04D838626}"/>
    <cellStyle name="40% - Énfasis2 12 3" xfId="3321" xr:uid="{B0A8196B-2A05-48CB-9B13-22BA4C49C472}"/>
    <cellStyle name="40% - Énfasis2 13" xfId="214" xr:uid="{00000000-0005-0000-0000-0000CF000000}"/>
    <cellStyle name="40% - Énfasis2 13 2" xfId="215" xr:uid="{00000000-0005-0000-0000-0000D0000000}"/>
    <cellStyle name="40% - Énfasis2 13 2 2" xfId="3324" xr:uid="{8ED1789A-5A08-49A5-B434-72519E561D1D}"/>
    <cellStyle name="40% - Énfasis2 13 3" xfId="3323" xr:uid="{91EEE414-B036-4562-8EF5-723537D88ACE}"/>
    <cellStyle name="40% - Énfasis2 14" xfId="216" xr:uid="{00000000-0005-0000-0000-0000D1000000}"/>
    <cellStyle name="40% - Énfasis2 14 2" xfId="217" xr:uid="{00000000-0005-0000-0000-0000D2000000}"/>
    <cellStyle name="40% - Énfasis2 14 2 2" xfId="3326" xr:uid="{4BA0EF60-F29D-4C9F-A1F7-07A6D54ED2B9}"/>
    <cellStyle name="40% - Énfasis2 14 3" xfId="3325" xr:uid="{D5B4974C-2B11-43B5-A6BC-9045FD095B3A}"/>
    <cellStyle name="40% - Énfasis2 15" xfId="207" xr:uid="{00000000-0005-0000-0000-0000D3000000}"/>
    <cellStyle name="40% - Énfasis2 16" xfId="3109" xr:uid="{44E085A6-5F28-4B44-9F1E-059ECB7ACB8A}"/>
    <cellStyle name="40% - Énfasis2 16 2" xfId="3547" xr:uid="{2923477E-0148-47AC-986B-4EBAB4708865}"/>
    <cellStyle name="40% - Énfasis2 2" xfId="218" xr:uid="{00000000-0005-0000-0000-0000D4000000}"/>
    <cellStyle name="40% - Énfasis2 2 2" xfId="219" xr:uid="{00000000-0005-0000-0000-0000D5000000}"/>
    <cellStyle name="40% - Énfasis2 2 2 2" xfId="3328" xr:uid="{07607E85-742E-4AFD-A072-FCE35861C0D6}"/>
    <cellStyle name="40% - Énfasis2 2 3" xfId="3327" xr:uid="{1F046F9C-DFA0-4F8E-8E72-D319A8658CC7}"/>
    <cellStyle name="40% - Énfasis2 3" xfId="220" xr:uid="{00000000-0005-0000-0000-0000D6000000}"/>
    <cellStyle name="40% - Énfasis2 3 2" xfId="221" xr:uid="{00000000-0005-0000-0000-0000D7000000}"/>
    <cellStyle name="40% - Énfasis2 3 2 2" xfId="3330" xr:uid="{2EC09327-757B-4605-B2DB-BB92B3984E17}"/>
    <cellStyle name="40% - Énfasis2 3 3" xfId="3329" xr:uid="{8C2F0281-8CD7-45F1-88C5-5BB6F17E0B03}"/>
    <cellStyle name="40% - Énfasis2 4" xfId="222" xr:uid="{00000000-0005-0000-0000-0000D8000000}"/>
    <cellStyle name="40% - Énfasis2 4 2" xfId="223" xr:uid="{00000000-0005-0000-0000-0000D9000000}"/>
    <cellStyle name="40% - Énfasis2 4 2 2" xfId="3332" xr:uid="{965577EB-79CF-44B8-B022-F559B36078A7}"/>
    <cellStyle name="40% - Énfasis2 4 3" xfId="3331" xr:uid="{14B78668-834C-4C8A-9454-598687051937}"/>
    <cellStyle name="40% - Énfasis2 5" xfId="224" xr:uid="{00000000-0005-0000-0000-0000DA000000}"/>
    <cellStyle name="40% - Énfasis2 5 2" xfId="225" xr:uid="{00000000-0005-0000-0000-0000DB000000}"/>
    <cellStyle name="40% - Énfasis2 5 2 2" xfId="3334" xr:uid="{A8BA64D4-A2A3-47DA-B2E6-FE26EDC070D4}"/>
    <cellStyle name="40% - Énfasis2 5 3" xfId="3333" xr:uid="{7DEBAD23-FD06-4E95-B190-C514DA40E3B9}"/>
    <cellStyle name="40% - Énfasis2 6" xfId="226" xr:uid="{00000000-0005-0000-0000-0000DC000000}"/>
    <cellStyle name="40% - Énfasis2 6 2" xfId="227" xr:uid="{00000000-0005-0000-0000-0000DD000000}"/>
    <cellStyle name="40% - Énfasis2 6 2 2" xfId="3336" xr:uid="{6EF86BC4-5AF9-4A46-974C-D7460F31C958}"/>
    <cellStyle name="40% - Énfasis2 6 3" xfId="3335" xr:uid="{D30A06FD-542A-4DDD-9B78-59E0E5B526D7}"/>
    <cellStyle name="40% - Énfasis2 7" xfId="228" xr:uid="{00000000-0005-0000-0000-0000DE000000}"/>
    <cellStyle name="40% - Énfasis2 7 2" xfId="229" xr:uid="{00000000-0005-0000-0000-0000DF000000}"/>
    <cellStyle name="40% - Énfasis2 7 2 2" xfId="3338" xr:uid="{4A765A0A-A40E-4AE3-A390-B9DD1FC18EA2}"/>
    <cellStyle name="40% - Énfasis2 7 3" xfId="3337" xr:uid="{F8418BCA-8039-4665-B07C-DF8EBDBE10A4}"/>
    <cellStyle name="40% - Énfasis2 8" xfId="230" xr:uid="{00000000-0005-0000-0000-0000E0000000}"/>
    <cellStyle name="40% - Énfasis2 8 2" xfId="231" xr:uid="{00000000-0005-0000-0000-0000E1000000}"/>
    <cellStyle name="40% - Énfasis2 8 2 2" xfId="3340" xr:uid="{FE63B63A-2825-4D79-9E29-5C292D4EA0B6}"/>
    <cellStyle name="40% - Énfasis2 8 3" xfId="3339" xr:uid="{22124285-6235-4517-8F8C-497665C8E740}"/>
    <cellStyle name="40% - Énfasis2 9" xfId="232" xr:uid="{00000000-0005-0000-0000-0000E2000000}"/>
    <cellStyle name="40% - Énfasis2 9 2" xfId="233" xr:uid="{00000000-0005-0000-0000-0000E3000000}"/>
    <cellStyle name="40% - Énfasis2 9 2 2" xfId="3342" xr:uid="{A4D65980-F2DF-456C-A656-B158AD4DEC09}"/>
    <cellStyle name="40% - Énfasis2 9 3" xfId="3341" xr:uid="{DA07271B-4224-41BF-88AD-1B556EAC010F}"/>
    <cellStyle name="40% - Énfasis3 10" xfId="235" xr:uid="{00000000-0005-0000-0000-0000E4000000}"/>
    <cellStyle name="40% - Énfasis3 10 2" xfId="236" xr:uid="{00000000-0005-0000-0000-0000E5000000}"/>
    <cellStyle name="40% - Énfasis3 10 2 2" xfId="3344" xr:uid="{A971F87C-7D8A-4B73-91E8-7C230BA4FC8A}"/>
    <cellStyle name="40% - Énfasis3 10 3" xfId="3343" xr:uid="{817659E0-D4D8-41B4-940B-0C5E50577AC6}"/>
    <cellStyle name="40% - Énfasis3 11" xfId="237" xr:uid="{00000000-0005-0000-0000-0000E6000000}"/>
    <cellStyle name="40% - Énfasis3 11 2" xfId="238" xr:uid="{00000000-0005-0000-0000-0000E7000000}"/>
    <cellStyle name="40% - Énfasis3 11 2 2" xfId="3346" xr:uid="{47D7FF20-0862-4E75-9132-B8931979649C}"/>
    <cellStyle name="40% - Énfasis3 11 3" xfId="3345" xr:uid="{7DD8313C-C361-48A2-B44C-1B5449ABCC98}"/>
    <cellStyle name="40% - Énfasis3 12" xfId="239" xr:uid="{00000000-0005-0000-0000-0000E8000000}"/>
    <cellStyle name="40% - Énfasis3 12 2" xfId="240" xr:uid="{00000000-0005-0000-0000-0000E9000000}"/>
    <cellStyle name="40% - Énfasis3 12 2 2" xfId="3348" xr:uid="{DBD283C6-737E-4156-B9E8-2EAE9C37619B}"/>
    <cellStyle name="40% - Énfasis3 12 3" xfId="3347" xr:uid="{11B34238-DF75-42FA-9495-D7AA1E8AE60B}"/>
    <cellStyle name="40% - Énfasis3 13" xfId="241" xr:uid="{00000000-0005-0000-0000-0000EA000000}"/>
    <cellStyle name="40% - Énfasis3 13 2" xfId="242" xr:uid="{00000000-0005-0000-0000-0000EB000000}"/>
    <cellStyle name="40% - Énfasis3 13 2 2" xfId="3350" xr:uid="{6022507F-AE77-49A9-86D6-EC3FD99BD9F8}"/>
    <cellStyle name="40% - Énfasis3 13 3" xfId="3349" xr:uid="{F3B7BD9C-8C2B-4836-A56D-48DB13F9E72A}"/>
    <cellStyle name="40% - Énfasis3 14" xfId="243" xr:uid="{00000000-0005-0000-0000-0000EC000000}"/>
    <cellStyle name="40% - Énfasis3 14 2" xfId="244" xr:uid="{00000000-0005-0000-0000-0000ED000000}"/>
    <cellStyle name="40% - Énfasis3 14 2 2" xfId="3352" xr:uid="{73473E3D-182D-4FA8-B588-5DFE25A6FFB6}"/>
    <cellStyle name="40% - Énfasis3 14 3" xfId="3351" xr:uid="{870DE158-E6E9-428C-A8EE-152FC90CA242}"/>
    <cellStyle name="40% - Énfasis3 15" xfId="234" xr:uid="{00000000-0005-0000-0000-0000EE000000}"/>
    <cellStyle name="40% - Énfasis3 16" xfId="3112" xr:uid="{1A4F227D-D129-412A-91A5-ED27B68D2967}"/>
    <cellStyle name="40% - Énfasis3 16 2" xfId="3550" xr:uid="{8D7A2C12-1238-4DE2-B445-ECA0316E1C4E}"/>
    <cellStyle name="40% - Énfasis3 2" xfId="245" xr:uid="{00000000-0005-0000-0000-0000EF000000}"/>
    <cellStyle name="40% - Énfasis3 2 2" xfId="246" xr:uid="{00000000-0005-0000-0000-0000F0000000}"/>
    <cellStyle name="40% - Énfasis3 2 2 2" xfId="3354" xr:uid="{4F747AC0-8A5C-4DF3-BC3C-7C8722C2E85B}"/>
    <cellStyle name="40% - Énfasis3 2 3" xfId="3353" xr:uid="{18C77BB2-85AF-4C1C-81B9-B6EFB16D2478}"/>
    <cellStyle name="40% - Énfasis3 3" xfId="247" xr:uid="{00000000-0005-0000-0000-0000F1000000}"/>
    <cellStyle name="40% - Énfasis3 3 2" xfId="248" xr:uid="{00000000-0005-0000-0000-0000F2000000}"/>
    <cellStyle name="40% - Énfasis3 3 2 2" xfId="3356" xr:uid="{53422FD9-8BFD-4CB3-BDF1-BBAB80690B42}"/>
    <cellStyle name="40% - Énfasis3 3 3" xfId="3355" xr:uid="{920F94E1-8F14-4A9B-A5F4-1F8282694A12}"/>
    <cellStyle name="40% - Énfasis3 4" xfId="249" xr:uid="{00000000-0005-0000-0000-0000F3000000}"/>
    <cellStyle name="40% - Énfasis3 4 2" xfId="250" xr:uid="{00000000-0005-0000-0000-0000F4000000}"/>
    <cellStyle name="40% - Énfasis3 4 2 2" xfId="3358" xr:uid="{17927DD2-4B77-49C7-AF8F-2CE629148AD0}"/>
    <cellStyle name="40% - Énfasis3 4 3" xfId="3357" xr:uid="{6A948C6E-EA82-4AB8-B232-1FF732EA761C}"/>
    <cellStyle name="40% - Énfasis3 5" xfId="251" xr:uid="{00000000-0005-0000-0000-0000F5000000}"/>
    <cellStyle name="40% - Énfasis3 5 2" xfId="252" xr:uid="{00000000-0005-0000-0000-0000F6000000}"/>
    <cellStyle name="40% - Énfasis3 5 2 2" xfId="3360" xr:uid="{1575DC80-C69D-47A4-B4BC-CD2FC9117079}"/>
    <cellStyle name="40% - Énfasis3 5 3" xfId="3359" xr:uid="{A2DCAD5C-351D-4EF9-A9BD-9C02FE154362}"/>
    <cellStyle name="40% - Énfasis3 6" xfId="253" xr:uid="{00000000-0005-0000-0000-0000F7000000}"/>
    <cellStyle name="40% - Énfasis3 6 2" xfId="254" xr:uid="{00000000-0005-0000-0000-0000F8000000}"/>
    <cellStyle name="40% - Énfasis3 6 2 2" xfId="3362" xr:uid="{D23D737D-8D04-48C3-934A-E1A59F0185C4}"/>
    <cellStyle name="40% - Énfasis3 6 3" xfId="3361" xr:uid="{783F088F-D2C5-420B-AEC2-59E320B5A8B1}"/>
    <cellStyle name="40% - Énfasis3 7" xfId="255" xr:uid="{00000000-0005-0000-0000-0000F9000000}"/>
    <cellStyle name="40% - Énfasis3 7 2" xfId="256" xr:uid="{00000000-0005-0000-0000-0000FA000000}"/>
    <cellStyle name="40% - Énfasis3 7 2 2" xfId="3364" xr:uid="{A4B08464-0034-4D2D-824C-2C8782020E8F}"/>
    <cellStyle name="40% - Énfasis3 7 3" xfId="3363" xr:uid="{EDAFB5F7-5FC8-4AB3-B5A6-F515F4CC94C7}"/>
    <cellStyle name="40% - Énfasis3 8" xfId="257" xr:uid="{00000000-0005-0000-0000-0000FB000000}"/>
    <cellStyle name="40% - Énfasis3 8 2" xfId="258" xr:uid="{00000000-0005-0000-0000-0000FC000000}"/>
    <cellStyle name="40% - Énfasis3 8 2 2" xfId="3366" xr:uid="{4E822A61-5379-43A6-9B75-F4B76B275EBB}"/>
    <cellStyle name="40% - Énfasis3 8 3" xfId="3365" xr:uid="{064195BC-EFA1-4850-9730-33EC71548769}"/>
    <cellStyle name="40% - Énfasis3 9" xfId="259" xr:uid="{00000000-0005-0000-0000-0000FD000000}"/>
    <cellStyle name="40% - Énfasis3 9 2" xfId="260" xr:uid="{00000000-0005-0000-0000-0000FE000000}"/>
    <cellStyle name="40% - Énfasis3 9 2 2" xfId="3368" xr:uid="{66A68DA6-F69B-481E-9331-B6DD6F87FC4E}"/>
    <cellStyle name="40% - Énfasis3 9 3" xfId="3367" xr:uid="{7E4248D0-91B9-47C7-82CE-E76094CD70CE}"/>
    <cellStyle name="40% - Énfasis4 10" xfId="262" xr:uid="{00000000-0005-0000-0000-0000FF000000}"/>
    <cellStyle name="40% - Énfasis4 10 2" xfId="263" xr:uid="{00000000-0005-0000-0000-000000010000}"/>
    <cellStyle name="40% - Énfasis4 10 2 2" xfId="3370" xr:uid="{00686315-4AAB-4C21-A288-4DAD142DFCDA}"/>
    <cellStyle name="40% - Énfasis4 10 3" xfId="3369" xr:uid="{330E677E-BCDE-4BA8-AC7E-8301DAE8B49E}"/>
    <cellStyle name="40% - Énfasis4 11" xfId="264" xr:uid="{00000000-0005-0000-0000-000001010000}"/>
    <cellStyle name="40% - Énfasis4 11 2" xfId="265" xr:uid="{00000000-0005-0000-0000-000002010000}"/>
    <cellStyle name="40% - Énfasis4 11 2 2" xfId="3372" xr:uid="{DD57B817-0B19-4A1A-8B56-D80263483CD5}"/>
    <cellStyle name="40% - Énfasis4 11 3" xfId="3371" xr:uid="{0FB24753-0522-4901-B0F8-13D47C0FCE52}"/>
    <cellStyle name="40% - Énfasis4 12" xfId="266" xr:uid="{00000000-0005-0000-0000-000003010000}"/>
    <cellStyle name="40% - Énfasis4 12 2" xfId="267" xr:uid="{00000000-0005-0000-0000-000004010000}"/>
    <cellStyle name="40% - Énfasis4 12 2 2" xfId="3374" xr:uid="{0DB1779B-CE22-4EEF-AEEA-EB3935E747A0}"/>
    <cellStyle name="40% - Énfasis4 12 3" xfId="3373" xr:uid="{E9DF9D72-C7E6-4BDE-832F-AC6EFBE6856F}"/>
    <cellStyle name="40% - Énfasis4 13" xfId="268" xr:uid="{00000000-0005-0000-0000-000005010000}"/>
    <cellStyle name="40% - Énfasis4 13 2" xfId="269" xr:uid="{00000000-0005-0000-0000-000006010000}"/>
    <cellStyle name="40% - Énfasis4 13 2 2" xfId="3376" xr:uid="{F87662DA-C95A-43FC-85F9-AECBA728E935}"/>
    <cellStyle name="40% - Énfasis4 13 3" xfId="3375" xr:uid="{437A6092-435A-4915-B6C7-FC7EB73A63FD}"/>
    <cellStyle name="40% - Énfasis4 14" xfId="270" xr:uid="{00000000-0005-0000-0000-000007010000}"/>
    <cellStyle name="40% - Énfasis4 14 2" xfId="271" xr:uid="{00000000-0005-0000-0000-000008010000}"/>
    <cellStyle name="40% - Énfasis4 14 2 2" xfId="3378" xr:uid="{72B870AD-E382-42FF-8699-2B1C9D058BF1}"/>
    <cellStyle name="40% - Énfasis4 14 3" xfId="3377" xr:uid="{125C197C-F794-4A3E-B090-9905E9DFC726}"/>
    <cellStyle name="40% - Énfasis4 15" xfId="261" xr:uid="{00000000-0005-0000-0000-000009010000}"/>
    <cellStyle name="40% - Énfasis4 16" xfId="3115" xr:uid="{0E6B8B70-E94F-433F-A27B-9D5C46E9788F}"/>
    <cellStyle name="40% - Énfasis4 16 2" xfId="3553" xr:uid="{C84AB1EC-AA8D-40DF-AE54-BC6865DA349B}"/>
    <cellStyle name="40% - Énfasis4 2" xfId="272" xr:uid="{00000000-0005-0000-0000-00000A010000}"/>
    <cellStyle name="40% - Énfasis4 2 2" xfId="273" xr:uid="{00000000-0005-0000-0000-00000B010000}"/>
    <cellStyle name="40% - Énfasis4 2 2 2" xfId="3380" xr:uid="{0957C791-0092-4FA5-A005-03CC6E0FA64A}"/>
    <cellStyle name="40% - Énfasis4 2 3" xfId="3379" xr:uid="{24035773-7370-42DA-A796-3ACD58848988}"/>
    <cellStyle name="40% - Énfasis4 3" xfId="274" xr:uid="{00000000-0005-0000-0000-00000C010000}"/>
    <cellStyle name="40% - Énfasis4 3 2" xfId="275" xr:uid="{00000000-0005-0000-0000-00000D010000}"/>
    <cellStyle name="40% - Énfasis4 3 2 2" xfId="3382" xr:uid="{C6E1570D-0075-44A9-BBC9-32A7871C4445}"/>
    <cellStyle name="40% - Énfasis4 3 3" xfId="3381" xr:uid="{7D715F67-9623-4A21-ADA3-9214FBA9A590}"/>
    <cellStyle name="40% - Énfasis4 4" xfId="276" xr:uid="{00000000-0005-0000-0000-00000E010000}"/>
    <cellStyle name="40% - Énfasis4 4 2" xfId="277" xr:uid="{00000000-0005-0000-0000-00000F010000}"/>
    <cellStyle name="40% - Énfasis4 4 2 2" xfId="3384" xr:uid="{8EE41416-8B20-4B40-A2B3-FEA4236FF8A3}"/>
    <cellStyle name="40% - Énfasis4 4 3" xfId="3383" xr:uid="{67CFADC0-3B37-445E-BA3E-4855F570FCC9}"/>
    <cellStyle name="40% - Énfasis4 5" xfId="278" xr:uid="{00000000-0005-0000-0000-000010010000}"/>
    <cellStyle name="40% - Énfasis4 5 2" xfId="279" xr:uid="{00000000-0005-0000-0000-000011010000}"/>
    <cellStyle name="40% - Énfasis4 5 2 2" xfId="3386" xr:uid="{C7487D67-F80E-4DA2-BE2F-2B7C80E81375}"/>
    <cellStyle name="40% - Énfasis4 5 3" xfId="3385" xr:uid="{1194515B-76A5-4600-A0B8-EDBD84CDDD22}"/>
    <cellStyle name="40% - Énfasis4 6" xfId="280" xr:uid="{00000000-0005-0000-0000-000012010000}"/>
    <cellStyle name="40% - Énfasis4 6 2" xfId="281" xr:uid="{00000000-0005-0000-0000-000013010000}"/>
    <cellStyle name="40% - Énfasis4 6 2 2" xfId="3388" xr:uid="{7ED4A83C-4E85-49EE-8C5B-22B3B8BE771F}"/>
    <cellStyle name="40% - Énfasis4 6 3" xfId="3387" xr:uid="{59365741-75CB-450A-87C5-AD79B7E38171}"/>
    <cellStyle name="40% - Énfasis4 7" xfId="282" xr:uid="{00000000-0005-0000-0000-000014010000}"/>
    <cellStyle name="40% - Énfasis4 7 2" xfId="283" xr:uid="{00000000-0005-0000-0000-000015010000}"/>
    <cellStyle name="40% - Énfasis4 7 2 2" xfId="3390" xr:uid="{26E8EDEF-9136-4464-AB11-9696A11E7F21}"/>
    <cellStyle name="40% - Énfasis4 7 3" xfId="3389" xr:uid="{3AEF91BB-E234-4244-B739-7341110348C4}"/>
    <cellStyle name="40% - Énfasis4 8" xfId="284" xr:uid="{00000000-0005-0000-0000-000016010000}"/>
    <cellStyle name="40% - Énfasis4 8 2" xfId="285" xr:uid="{00000000-0005-0000-0000-000017010000}"/>
    <cellStyle name="40% - Énfasis4 8 2 2" xfId="3392" xr:uid="{AC511DD4-346C-40DA-B2B0-AAA3EB227562}"/>
    <cellStyle name="40% - Énfasis4 8 3" xfId="3391" xr:uid="{783773C1-E723-44CB-B98B-388D76139C12}"/>
    <cellStyle name="40% - Énfasis4 9" xfId="286" xr:uid="{00000000-0005-0000-0000-000018010000}"/>
    <cellStyle name="40% - Énfasis4 9 2" xfId="287" xr:uid="{00000000-0005-0000-0000-000019010000}"/>
    <cellStyle name="40% - Énfasis4 9 2 2" xfId="3394" xr:uid="{A293E72A-BF80-40F5-AB7B-B89D56628286}"/>
    <cellStyle name="40% - Énfasis4 9 3" xfId="3393" xr:uid="{E41D1D2C-BB45-423A-AC92-903E147B30B8}"/>
    <cellStyle name="40% - Énfasis5 10" xfId="289" xr:uid="{00000000-0005-0000-0000-00001A010000}"/>
    <cellStyle name="40% - Énfasis5 10 2" xfId="290" xr:uid="{00000000-0005-0000-0000-00001B010000}"/>
    <cellStyle name="40% - Énfasis5 10 2 2" xfId="3396" xr:uid="{3B103D62-9441-40D0-86F3-13462FEF3D70}"/>
    <cellStyle name="40% - Énfasis5 10 3" xfId="3395" xr:uid="{2D40820D-EEB6-4AD5-AE4E-BB0B30C02E96}"/>
    <cellStyle name="40% - Énfasis5 11" xfId="291" xr:uid="{00000000-0005-0000-0000-00001C010000}"/>
    <cellStyle name="40% - Énfasis5 11 2" xfId="292" xr:uid="{00000000-0005-0000-0000-00001D010000}"/>
    <cellStyle name="40% - Énfasis5 11 2 2" xfId="3398" xr:uid="{D5814416-52B2-490E-B9B1-7CED1F097B01}"/>
    <cellStyle name="40% - Énfasis5 11 3" xfId="3397" xr:uid="{938789F0-2195-4EB3-AE7C-C25AC9786ABB}"/>
    <cellStyle name="40% - Énfasis5 12" xfId="293" xr:uid="{00000000-0005-0000-0000-00001E010000}"/>
    <cellStyle name="40% - Énfasis5 12 2" xfId="294" xr:uid="{00000000-0005-0000-0000-00001F010000}"/>
    <cellStyle name="40% - Énfasis5 12 2 2" xfId="3400" xr:uid="{E6A1B9CE-67C6-4118-8984-8197E273A99C}"/>
    <cellStyle name="40% - Énfasis5 12 3" xfId="3399" xr:uid="{50E0B21B-2CAC-470F-A1B9-B9FCD207C97A}"/>
    <cellStyle name="40% - Énfasis5 13" xfId="295" xr:uid="{00000000-0005-0000-0000-000020010000}"/>
    <cellStyle name="40% - Énfasis5 13 2" xfId="296" xr:uid="{00000000-0005-0000-0000-000021010000}"/>
    <cellStyle name="40% - Énfasis5 13 2 2" xfId="3402" xr:uid="{2803BA91-EC66-493D-8E62-A8F82774577C}"/>
    <cellStyle name="40% - Énfasis5 13 3" xfId="3401" xr:uid="{76992686-F0C7-40E5-9935-2EECA41353DE}"/>
    <cellStyle name="40% - Énfasis5 14" xfId="297" xr:uid="{00000000-0005-0000-0000-000022010000}"/>
    <cellStyle name="40% - Énfasis5 14 2" xfId="298" xr:uid="{00000000-0005-0000-0000-000023010000}"/>
    <cellStyle name="40% - Énfasis5 14 2 2" xfId="3404" xr:uid="{A47D605F-6684-48F5-B641-E4714D3D7A4C}"/>
    <cellStyle name="40% - Énfasis5 14 3" xfId="3403" xr:uid="{F17A8793-B894-426A-967E-BB4ED0DF203F}"/>
    <cellStyle name="40% - Énfasis5 15" xfId="288" xr:uid="{00000000-0005-0000-0000-000024010000}"/>
    <cellStyle name="40% - Énfasis5 16" xfId="3118" xr:uid="{BEC6D50B-8DC9-4792-9CD1-FA99359848B1}"/>
    <cellStyle name="40% - Énfasis5 16 2" xfId="3556" xr:uid="{B1427979-5146-4C0E-A8F8-7E1308A98D30}"/>
    <cellStyle name="40% - Énfasis5 2" xfId="299" xr:uid="{00000000-0005-0000-0000-000025010000}"/>
    <cellStyle name="40% - Énfasis5 2 2" xfId="300" xr:uid="{00000000-0005-0000-0000-000026010000}"/>
    <cellStyle name="40% - Énfasis5 2 2 2" xfId="3406" xr:uid="{518AE02E-388E-48F2-BA97-3980782B2F09}"/>
    <cellStyle name="40% - Énfasis5 2 3" xfId="3405" xr:uid="{455BB764-EA7D-40C6-A7D3-5F45EDC304D0}"/>
    <cellStyle name="40% - Énfasis5 3" xfId="301" xr:uid="{00000000-0005-0000-0000-000027010000}"/>
    <cellStyle name="40% - Énfasis5 3 2" xfId="302" xr:uid="{00000000-0005-0000-0000-000028010000}"/>
    <cellStyle name="40% - Énfasis5 3 2 2" xfId="3408" xr:uid="{8296B26A-908C-406A-8B31-79D5676407CB}"/>
    <cellStyle name="40% - Énfasis5 3 3" xfId="3407" xr:uid="{EDDA3B9E-1BEF-453D-8587-52D179A90504}"/>
    <cellStyle name="40% - Énfasis5 4" xfId="303" xr:uid="{00000000-0005-0000-0000-000029010000}"/>
    <cellStyle name="40% - Énfasis5 4 2" xfId="304" xr:uid="{00000000-0005-0000-0000-00002A010000}"/>
    <cellStyle name="40% - Énfasis5 4 2 2" xfId="3410" xr:uid="{AB8FF8EE-BF52-4BE9-81F4-31BD63AC411D}"/>
    <cellStyle name="40% - Énfasis5 4 3" xfId="3409" xr:uid="{6EA5FD45-1149-472C-978C-9F728902590A}"/>
    <cellStyle name="40% - Énfasis5 5" xfId="305" xr:uid="{00000000-0005-0000-0000-00002B010000}"/>
    <cellStyle name="40% - Énfasis5 5 2" xfId="306" xr:uid="{00000000-0005-0000-0000-00002C010000}"/>
    <cellStyle name="40% - Énfasis5 5 2 2" xfId="3412" xr:uid="{25366D67-5848-43C6-A34B-B52BB2B94A46}"/>
    <cellStyle name="40% - Énfasis5 5 3" xfId="3411" xr:uid="{E20D7847-359A-45A1-B34E-05E9FC02A5F3}"/>
    <cellStyle name="40% - Énfasis5 6" xfId="307" xr:uid="{00000000-0005-0000-0000-00002D010000}"/>
    <cellStyle name="40% - Énfasis5 6 2" xfId="308" xr:uid="{00000000-0005-0000-0000-00002E010000}"/>
    <cellStyle name="40% - Énfasis5 6 2 2" xfId="3414" xr:uid="{2A991D9F-A578-428C-BF08-CD82710E60B5}"/>
    <cellStyle name="40% - Énfasis5 6 3" xfId="3413" xr:uid="{3F72BD85-F8D4-4A0F-B05F-373ED183FFDB}"/>
    <cellStyle name="40% - Énfasis5 7" xfId="309" xr:uid="{00000000-0005-0000-0000-00002F010000}"/>
    <cellStyle name="40% - Énfasis5 7 2" xfId="310" xr:uid="{00000000-0005-0000-0000-000030010000}"/>
    <cellStyle name="40% - Énfasis5 7 2 2" xfId="3416" xr:uid="{B28A37B7-5BCC-4F54-B491-63B5BD4DD64A}"/>
    <cellStyle name="40% - Énfasis5 7 3" xfId="3415" xr:uid="{4F3A93A9-6D42-4D3C-BDCA-0D0D65878DC2}"/>
    <cellStyle name="40% - Énfasis5 8" xfId="311" xr:uid="{00000000-0005-0000-0000-000031010000}"/>
    <cellStyle name="40% - Énfasis5 8 2" xfId="312" xr:uid="{00000000-0005-0000-0000-000032010000}"/>
    <cellStyle name="40% - Énfasis5 8 2 2" xfId="3418" xr:uid="{C1E114B5-69E3-480B-85CC-D0B8CBCD1149}"/>
    <cellStyle name="40% - Énfasis5 8 3" xfId="3417" xr:uid="{7DAE838C-28BD-442E-B348-0C09CC1B9016}"/>
    <cellStyle name="40% - Énfasis5 9" xfId="313" xr:uid="{00000000-0005-0000-0000-000033010000}"/>
    <cellStyle name="40% - Énfasis5 9 2" xfId="314" xr:uid="{00000000-0005-0000-0000-000034010000}"/>
    <cellStyle name="40% - Énfasis5 9 2 2" xfId="3420" xr:uid="{070E24EA-C2DD-48FF-992F-FEC8A72E4F66}"/>
    <cellStyle name="40% - Énfasis5 9 3" xfId="3419" xr:uid="{AC165636-E1BC-4137-A038-F574D243D1AD}"/>
    <cellStyle name="40% - Énfasis6 10" xfId="316" xr:uid="{00000000-0005-0000-0000-000035010000}"/>
    <cellStyle name="40% - Énfasis6 10 2" xfId="317" xr:uid="{00000000-0005-0000-0000-000036010000}"/>
    <cellStyle name="40% - Énfasis6 10 2 2" xfId="3422" xr:uid="{2C570473-FE2D-4BD3-8357-9E5E69EAE424}"/>
    <cellStyle name="40% - Énfasis6 10 3" xfId="3421" xr:uid="{4F777046-834A-4860-97B4-E8D6C9ECBC84}"/>
    <cellStyle name="40% - Énfasis6 11" xfId="318" xr:uid="{00000000-0005-0000-0000-000037010000}"/>
    <cellStyle name="40% - Énfasis6 11 2" xfId="319" xr:uid="{00000000-0005-0000-0000-000038010000}"/>
    <cellStyle name="40% - Énfasis6 11 2 2" xfId="3424" xr:uid="{6A2469B8-CBF8-4FFA-86C6-863A0B62915B}"/>
    <cellStyle name="40% - Énfasis6 11 3" xfId="3423" xr:uid="{21D89044-1A18-49C4-900F-A21B814D423D}"/>
    <cellStyle name="40% - Énfasis6 12" xfId="320" xr:uid="{00000000-0005-0000-0000-000039010000}"/>
    <cellStyle name="40% - Énfasis6 12 2" xfId="321" xr:uid="{00000000-0005-0000-0000-00003A010000}"/>
    <cellStyle name="40% - Énfasis6 12 2 2" xfId="3426" xr:uid="{81C1C89F-B09F-4C6C-BE8A-1FFE9FBFEEC2}"/>
    <cellStyle name="40% - Énfasis6 12 3" xfId="3425" xr:uid="{73BB1B04-72AB-4B25-AB8C-C200F31D1891}"/>
    <cellStyle name="40% - Énfasis6 13" xfId="322" xr:uid="{00000000-0005-0000-0000-00003B010000}"/>
    <cellStyle name="40% - Énfasis6 13 2" xfId="323" xr:uid="{00000000-0005-0000-0000-00003C010000}"/>
    <cellStyle name="40% - Énfasis6 13 2 2" xfId="3428" xr:uid="{ACF3BD54-4F5D-452F-909D-49924C269D43}"/>
    <cellStyle name="40% - Énfasis6 13 3" xfId="3427" xr:uid="{1EE915AF-C6E2-4EE0-A561-B084A515F3AF}"/>
    <cellStyle name="40% - Énfasis6 14" xfId="324" xr:uid="{00000000-0005-0000-0000-00003D010000}"/>
    <cellStyle name="40% - Énfasis6 14 2" xfId="325" xr:uid="{00000000-0005-0000-0000-00003E010000}"/>
    <cellStyle name="40% - Énfasis6 14 2 2" xfId="3430" xr:uid="{5337E1FE-2603-4325-AE31-8A0352903E19}"/>
    <cellStyle name="40% - Énfasis6 14 3" xfId="3429" xr:uid="{42EE657B-A98F-4156-8FD8-97ED94981CBA}"/>
    <cellStyle name="40% - Énfasis6 15" xfId="315" xr:uid="{00000000-0005-0000-0000-00003F010000}"/>
    <cellStyle name="40% - Énfasis6 16" xfId="3121" xr:uid="{DAB3A215-CDD9-4336-A33B-BC82F515F680}"/>
    <cellStyle name="40% - Énfasis6 16 2" xfId="3559" xr:uid="{15AC2AC0-49F3-4FB1-8786-3C359CB79237}"/>
    <cellStyle name="40% - Énfasis6 2" xfId="326" xr:uid="{00000000-0005-0000-0000-000040010000}"/>
    <cellStyle name="40% - Énfasis6 2 2" xfId="327" xr:uid="{00000000-0005-0000-0000-000041010000}"/>
    <cellStyle name="40% - Énfasis6 2 2 2" xfId="3432" xr:uid="{26613564-E734-44E0-80E3-1D873DFAF34F}"/>
    <cellStyle name="40% - Énfasis6 2 3" xfId="3431" xr:uid="{58493865-AD44-49F9-B87D-4DBD4C66132B}"/>
    <cellStyle name="40% - Énfasis6 3" xfId="328" xr:uid="{00000000-0005-0000-0000-000042010000}"/>
    <cellStyle name="40% - Énfasis6 3 2" xfId="329" xr:uid="{00000000-0005-0000-0000-000043010000}"/>
    <cellStyle name="40% - Énfasis6 3 2 2" xfId="3434" xr:uid="{06A4E60C-EC8A-41F0-8BE5-EA544ABD00DE}"/>
    <cellStyle name="40% - Énfasis6 3 3" xfId="3433" xr:uid="{08D00802-656A-47DC-86FC-A4282BB11C86}"/>
    <cellStyle name="40% - Énfasis6 4" xfId="330" xr:uid="{00000000-0005-0000-0000-000044010000}"/>
    <cellStyle name="40% - Énfasis6 4 2" xfId="331" xr:uid="{00000000-0005-0000-0000-000045010000}"/>
    <cellStyle name="40% - Énfasis6 4 2 2" xfId="3436" xr:uid="{5C737403-3206-4CC6-B48C-729C9562FA99}"/>
    <cellStyle name="40% - Énfasis6 4 3" xfId="3435" xr:uid="{A8F8556F-43C2-4828-B747-7F68AE580201}"/>
    <cellStyle name="40% - Énfasis6 5" xfId="332" xr:uid="{00000000-0005-0000-0000-000046010000}"/>
    <cellStyle name="40% - Énfasis6 5 2" xfId="333" xr:uid="{00000000-0005-0000-0000-000047010000}"/>
    <cellStyle name="40% - Énfasis6 5 2 2" xfId="3438" xr:uid="{574FF6C7-8BCB-4141-B1CF-7CBA40A4DF10}"/>
    <cellStyle name="40% - Énfasis6 5 3" xfId="3437" xr:uid="{E92D56E4-1E20-4CE1-9AFB-739136C60AB8}"/>
    <cellStyle name="40% - Énfasis6 6" xfId="334" xr:uid="{00000000-0005-0000-0000-000048010000}"/>
    <cellStyle name="40% - Énfasis6 6 2" xfId="335" xr:uid="{00000000-0005-0000-0000-000049010000}"/>
    <cellStyle name="40% - Énfasis6 6 2 2" xfId="3440" xr:uid="{CE7B98C6-085F-46C7-9D74-700CBF3CC81C}"/>
    <cellStyle name="40% - Énfasis6 6 3" xfId="3439" xr:uid="{8EF90350-FE1B-4C88-92DA-C6729B0A1B34}"/>
    <cellStyle name="40% - Énfasis6 7" xfId="336" xr:uid="{00000000-0005-0000-0000-00004A010000}"/>
    <cellStyle name="40% - Énfasis6 7 2" xfId="337" xr:uid="{00000000-0005-0000-0000-00004B010000}"/>
    <cellStyle name="40% - Énfasis6 7 2 2" xfId="3442" xr:uid="{FE41BED4-B6B8-4DD8-BC68-622B761A863E}"/>
    <cellStyle name="40% - Énfasis6 7 3" xfId="3441" xr:uid="{4CBBE9DD-F634-4DDC-8B85-B7F6E9C002D6}"/>
    <cellStyle name="40% - Énfasis6 8" xfId="338" xr:uid="{00000000-0005-0000-0000-00004C010000}"/>
    <cellStyle name="40% - Énfasis6 8 2" xfId="339" xr:uid="{00000000-0005-0000-0000-00004D010000}"/>
    <cellStyle name="40% - Énfasis6 8 2 2" xfId="3444" xr:uid="{9D0B8586-7D6E-4F6F-B547-A1AF5660AA71}"/>
    <cellStyle name="40% - Énfasis6 8 3" xfId="3443" xr:uid="{8A9E8C55-81E9-4905-8C12-48DBA7B6A5D4}"/>
    <cellStyle name="40% - Énfasis6 9" xfId="340" xr:uid="{00000000-0005-0000-0000-00004E010000}"/>
    <cellStyle name="40% - Énfasis6 9 2" xfId="341" xr:uid="{00000000-0005-0000-0000-00004F010000}"/>
    <cellStyle name="40% - Énfasis6 9 2 2" xfId="3446" xr:uid="{2684E456-9EC5-4067-8D27-B6C30F67962A}"/>
    <cellStyle name="40% - Énfasis6 9 3" xfId="3445" xr:uid="{74D37A3F-3FCF-45D7-91BF-CA5D460AF683}"/>
    <cellStyle name="60% - Accent1" xfId="342" xr:uid="{00000000-0005-0000-0000-000050010000}"/>
    <cellStyle name="60% - Accent2" xfId="343" xr:uid="{00000000-0005-0000-0000-000051010000}"/>
    <cellStyle name="60% - Accent3" xfId="344" xr:uid="{00000000-0005-0000-0000-000052010000}"/>
    <cellStyle name="60% - Accent4" xfId="345" xr:uid="{00000000-0005-0000-0000-000053010000}"/>
    <cellStyle name="60% - Accent5" xfId="346" xr:uid="{00000000-0005-0000-0000-000054010000}"/>
    <cellStyle name="60% - Accent6" xfId="347" xr:uid="{00000000-0005-0000-0000-000055010000}"/>
    <cellStyle name="60% - Énfasis1 10" xfId="349" xr:uid="{00000000-0005-0000-0000-000056010000}"/>
    <cellStyle name="60% - Énfasis1 10 2" xfId="350" xr:uid="{00000000-0005-0000-0000-000057010000}"/>
    <cellStyle name="60% - Énfasis1 11" xfId="351" xr:uid="{00000000-0005-0000-0000-000058010000}"/>
    <cellStyle name="60% - Énfasis1 11 2" xfId="352" xr:uid="{00000000-0005-0000-0000-000059010000}"/>
    <cellStyle name="60% - Énfasis1 12" xfId="353" xr:uid="{00000000-0005-0000-0000-00005A010000}"/>
    <cellStyle name="60% - Énfasis1 12 2" xfId="354" xr:uid="{00000000-0005-0000-0000-00005B010000}"/>
    <cellStyle name="60% - Énfasis1 13" xfId="355" xr:uid="{00000000-0005-0000-0000-00005C010000}"/>
    <cellStyle name="60% - Énfasis1 13 2" xfId="356" xr:uid="{00000000-0005-0000-0000-00005D010000}"/>
    <cellStyle name="60% - Énfasis1 14" xfId="357" xr:uid="{00000000-0005-0000-0000-00005E010000}"/>
    <cellStyle name="60% - Énfasis1 14 2" xfId="358" xr:uid="{00000000-0005-0000-0000-00005F010000}"/>
    <cellStyle name="60% - Énfasis1 15" xfId="348" xr:uid="{00000000-0005-0000-0000-000060010000}"/>
    <cellStyle name="60% - Énfasis1 16" xfId="3107" xr:uid="{A918A12C-FFA9-413D-A005-288B19D2E381}"/>
    <cellStyle name="60% - Énfasis1 16 2" xfId="3545" xr:uid="{85B5E56D-C51B-4777-A13E-9FC1B2A9E8A2}"/>
    <cellStyle name="60% - Énfasis1 2" xfId="359" xr:uid="{00000000-0005-0000-0000-000061010000}"/>
    <cellStyle name="60% - Énfasis1 2 2" xfId="360" xr:uid="{00000000-0005-0000-0000-000062010000}"/>
    <cellStyle name="60% - Énfasis1 3" xfId="361" xr:uid="{00000000-0005-0000-0000-000063010000}"/>
    <cellStyle name="60% - Énfasis1 3 2" xfId="362" xr:uid="{00000000-0005-0000-0000-000064010000}"/>
    <cellStyle name="60% - Énfasis1 4" xfId="363" xr:uid="{00000000-0005-0000-0000-000065010000}"/>
    <cellStyle name="60% - Énfasis1 4 2" xfId="364" xr:uid="{00000000-0005-0000-0000-000066010000}"/>
    <cellStyle name="60% - Énfasis1 5" xfId="365" xr:uid="{00000000-0005-0000-0000-000067010000}"/>
    <cellStyle name="60% - Énfasis1 5 2" xfId="366" xr:uid="{00000000-0005-0000-0000-000068010000}"/>
    <cellStyle name="60% - Énfasis1 6" xfId="367" xr:uid="{00000000-0005-0000-0000-000069010000}"/>
    <cellStyle name="60% - Énfasis1 6 2" xfId="368" xr:uid="{00000000-0005-0000-0000-00006A010000}"/>
    <cellStyle name="60% - Énfasis1 7" xfId="369" xr:uid="{00000000-0005-0000-0000-00006B010000}"/>
    <cellStyle name="60% - Énfasis1 7 2" xfId="370" xr:uid="{00000000-0005-0000-0000-00006C010000}"/>
    <cellStyle name="60% - Énfasis1 8" xfId="371" xr:uid="{00000000-0005-0000-0000-00006D010000}"/>
    <cellStyle name="60% - Énfasis1 8 2" xfId="372" xr:uid="{00000000-0005-0000-0000-00006E010000}"/>
    <cellStyle name="60% - Énfasis1 9" xfId="373" xr:uid="{00000000-0005-0000-0000-00006F010000}"/>
    <cellStyle name="60% - Énfasis1 9 2" xfId="374" xr:uid="{00000000-0005-0000-0000-000070010000}"/>
    <cellStyle name="60% - Énfasis2 10" xfId="376" xr:uid="{00000000-0005-0000-0000-000071010000}"/>
    <cellStyle name="60% - Énfasis2 10 2" xfId="377" xr:uid="{00000000-0005-0000-0000-000072010000}"/>
    <cellStyle name="60% - Énfasis2 11" xfId="378" xr:uid="{00000000-0005-0000-0000-000073010000}"/>
    <cellStyle name="60% - Énfasis2 11 2" xfId="379" xr:uid="{00000000-0005-0000-0000-000074010000}"/>
    <cellStyle name="60% - Énfasis2 12" xfId="380" xr:uid="{00000000-0005-0000-0000-000075010000}"/>
    <cellStyle name="60% - Énfasis2 12 2" xfId="381" xr:uid="{00000000-0005-0000-0000-000076010000}"/>
    <cellStyle name="60% - Énfasis2 13" xfId="382" xr:uid="{00000000-0005-0000-0000-000077010000}"/>
    <cellStyle name="60% - Énfasis2 13 2" xfId="383" xr:uid="{00000000-0005-0000-0000-000078010000}"/>
    <cellStyle name="60% - Énfasis2 14" xfId="384" xr:uid="{00000000-0005-0000-0000-000079010000}"/>
    <cellStyle name="60% - Énfasis2 14 2" xfId="385" xr:uid="{00000000-0005-0000-0000-00007A010000}"/>
    <cellStyle name="60% - Énfasis2 15" xfId="375" xr:uid="{00000000-0005-0000-0000-00007B010000}"/>
    <cellStyle name="60% - Énfasis2 16" xfId="3110" xr:uid="{D96468D2-4C33-4FEA-AEA4-5E7FE308A1CD}"/>
    <cellStyle name="60% - Énfasis2 16 2" xfId="3548" xr:uid="{4A6B6D8C-2D06-4D3D-8000-F432D0F8B17E}"/>
    <cellStyle name="60% - Énfasis2 2" xfId="386" xr:uid="{00000000-0005-0000-0000-00007C010000}"/>
    <cellStyle name="60% - Énfasis2 2 2" xfId="387" xr:uid="{00000000-0005-0000-0000-00007D010000}"/>
    <cellStyle name="60% - Énfasis2 3" xfId="388" xr:uid="{00000000-0005-0000-0000-00007E010000}"/>
    <cellStyle name="60% - Énfasis2 3 2" xfId="389" xr:uid="{00000000-0005-0000-0000-00007F010000}"/>
    <cellStyle name="60% - Énfasis2 4" xfId="390" xr:uid="{00000000-0005-0000-0000-000080010000}"/>
    <cellStyle name="60% - Énfasis2 4 2" xfId="391" xr:uid="{00000000-0005-0000-0000-000081010000}"/>
    <cellStyle name="60% - Énfasis2 5" xfId="392" xr:uid="{00000000-0005-0000-0000-000082010000}"/>
    <cellStyle name="60% - Énfasis2 5 2" xfId="393" xr:uid="{00000000-0005-0000-0000-000083010000}"/>
    <cellStyle name="60% - Énfasis2 6" xfId="394" xr:uid="{00000000-0005-0000-0000-000084010000}"/>
    <cellStyle name="60% - Énfasis2 6 2" xfId="395" xr:uid="{00000000-0005-0000-0000-000085010000}"/>
    <cellStyle name="60% - Énfasis2 7" xfId="396" xr:uid="{00000000-0005-0000-0000-000086010000}"/>
    <cellStyle name="60% - Énfasis2 7 2" xfId="397" xr:uid="{00000000-0005-0000-0000-000087010000}"/>
    <cellStyle name="60% - Énfasis2 8" xfId="398" xr:uid="{00000000-0005-0000-0000-000088010000}"/>
    <cellStyle name="60% - Énfasis2 8 2" xfId="399" xr:uid="{00000000-0005-0000-0000-000089010000}"/>
    <cellStyle name="60% - Énfasis2 9" xfId="400" xr:uid="{00000000-0005-0000-0000-00008A010000}"/>
    <cellStyle name="60% - Énfasis2 9 2" xfId="401" xr:uid="{00000000-0005-0000-0000-00008B010000}"/>
    <cellStyle name="60% - Énfasis3 10" xfId="403" xr:uid="{00000000-0005-0000-0000-00008C010000}"/>
    <cellStyle name="60% - Énfasis3 10 2" xfId="404" xr:uid="{00000000-0005-0000-0000-00008D010000}"/>
    <cellStyle name="60% - Énfasis3 11" xfId="405" xr:uid="{00000000-0005-0000-0000-00008E010000}"/>
    <cellStyle name="60% - Énfasis3 11 2" xfId="406" xr:uid="{00000000-0005-0000-0000-00008F010000}"/>
    <cellStyle name="60% - Énfasis3 12" xfId="407" xr:uid="{00000000-0005-0000-0000-000090010000}"/>
    <cellStyle name="60% - Énfasis3 12 2" xfId="408" xr:uid="{00000000-0005-0000-0000-000091010000}"/>
    <cellStyle name="60% - Énfasis3 13" xfId="409" xr:uid="{00000000-0005-0000-0000-000092010000}"/>
    <cellStyle name="60% - Énfasis3 13 2" xfId="410" xr:uid="{00000000-0005-0000-0000-000093010000}"/>
    <cellStyle name="60% - Énfasis3 14" xfId="411" xr:uid="{00000000-0005-0000-0000-000094010000}"/>
    <cellStyle name="60% - Énfasis3 14 2" xfId="412" xr:uid="{00000000-0005-0000-0000-000095010000}"/>
    <cellStyle name="60% - Énfasis3 15" xfId="402" xr:uid="{00000000-0005-0000-0000-000096010000}"/>
    <cellStyle name="60% - Énfasis3 16" xfId="3113" xr:uid="{2887A0CF-3B19-45DA-9E7C-CC3442ABE0D8}"/>
    <cellStyle name="60% - Énfasis3 16 2" xfId="3551" xr:uid="{5B0C15A3-5AC5-4C01-9EA9-0FA3E3100029}"/>
    <cellStyle name="60% - Énfasis3 2" xfId="413" xr:uid="{00000000-0005-0000-0000-000097010000}"/>
    <cellStyle name="60% - Énfasis3 2 2" xfId="414" xr:uid="{00000000-0005-0000-0000-000098010000}"/>
    <cellStyle name="60% - Énfasis3 3" xfId="415" xr:uid="{00000000-0005-0000-0000-000099010000}"/>
    <cellStyle name="60% - Énfasis3 3 2" xfId="416" xr:uid="{00000000-0005-0000-0000-00009A010000}"/>
    <cellStyle name="60% - Énfasis3 4" xfId="417" xr:uid="{00000000-0005-0000-0000-00009B010000}"/>
    <cellStyle name="60% - Énfasis3 4 2" xfId="418" xr:uid="{00000000-0005-0000-0000-00009C010000}"/>
    <cellStyle name="60% - Énfasis3 5" xfId="419" xr:uid="{00000000-0005-0000-0000-00009D010000}"/>
    <cellStyle name="60% - Énfasis3 5 2" xfId="420" xr:uid="{00000000-0005-0000-0000-00009E010000}"/>
    <cellStyle name="60% - Énfasis3 6" xfId="421" xr:uid="{00000000-0005-0000-0000-00009F010000}"/>
    <cellStyle name="60% - Énfasis3 6 2" xfId="422" xr:uid="{00000000-0005-0000-0000-0000A0010000}"/>
    <cellStyle name="60% - Énfasis3 7" xfId="423" xr:uid="{00000000-0005-0000-0000-0000A1010000}"/>
    <cellStyle name="60% - Énfasis3 7 2" xfId="424" xr:uid="{00000000-0005-0000-0000-0000A2010000}"/>
    <cellStyle name="60% - Énfasis3 8" xfId="425" xr:uid="{00000000-0005-0000-0000-0000A3010000}"/>
    <cellStyle name="60% - Énfasis3 8 2" xfId="426" xr:uid="{00000000-0005-0000-0000-0000A4010000}"/>
    <cellStyle name="60% - Énfasis3 9" xfId="427" xr:uid="{00000000-0005-0000-0000-0000A5010000}"/>
    <cellStyle name="60% - Énfasis3 9 2" xfId="428" xr:uid="{00000000-0005-0000-0000-0000A6010000}"/>
    <cellStyle name="60% - Énfasis4 10" xfId="430" xr:uid="{00000000-0005-0000-0000-0000A7010000}"/>
    <cellStyle name="60% - Énfasis4 10 2" xfId="431" xr:uid="{00000000-0005-0000-0000-0000A8010000}"/>
    <cellStyle name="60% - Énfasis4 11" xfId="432" xr:uid="{00000000-0005-0000-0000-0000A9010000}"/>
    <cellStyle name="60% - Énfasis4 11 2" xfId="433" xr:uid="{00000000-0005-0000-0000-0000AA010000}"/>
    <cellStyle name="60% - Énfasis4 12" xfId="434" xr:uid="{00000000-0005-0000-0000-0000AB010000}"/>
    <cellStyle name="60% - Énfasis4 12 2" xfId="435" xr:uid="{00000000-0005-0000-0000-0000AC010000}"/>
    <cellStyle name="60% - Énfasis4 13" xfId="436" xr:uid="{00000000-0005-0000-0000-0000AD010000}"/>
    <cellStyle name="60% - Énfasis4 13 2" xfId="437" xr:uid="{00000000-0005-0000-0000-0000AE010000}"/>
    <cellStyle name="60% - Énfasis4 14" xfId="438" xr:uid="{00000000-0005-0000-0000-0000AF010000}"/>
    <cellStyle name="60% - Énfasis4 14 2" xfId="439" xr:uid="{00000000-0005-0000-0000-0000B0010000}"/>
    <cellStyle name="60% - Énfasis4 15" xfId="429" xr:uid="{00000000-0005-0000-0000-0000B1010000}"/>
    <cellStyle name="60% - Énfasis4 16" xfId="3116" xr:uid="{8C692496-793A-4B0A-873C-5BF37A2924D8}"/>
    <cellStyle name="60% - Énfasis4 16 2" xfId="3554" xr:uid="{C02BD03A-2774-49FD-ADCC-F13D911D74BE}"/>
    <cellStyle name="60% - Énfasis4 2" xfId="440" xr:uid="{00000000-0005-0000-0000-0000B2010000}"/>
    <cellStyle name="60% - Énfasis4 2 2" xfId="441" xr:uid="{00000000-0005-0000-0000-0000B3010000}"/>
    <cellStyle name="60% - Énfasis4 3" xfId="442" xr:uid="{00000000-0005-0000-0000-0000B4010000}"/>
    <cellStyle name="60% - Énfasis4 3 2" xfId="443" xr:uid="{00000000-0005-0000-0000-0000B5010000}"/>
    <cellStyle name="60% - Énfasis4 4" xfId="444" xr:uid="{00000000-0005-0000-0000-0000B6010000}"/>
    <cellStyle name="60% - Énfasis4 4 2" xfId="445" xr:uid="{00000000-0005-0000-0000-0000B7010000}"/>
    <cellStyle name="60% - Énfasis4 5" xfId="446" xr:uid="{00000000-0005-0000-0000-0000B8010000}"/>
    <cellStyle name="60% - Énfasis4 5 2" xfId="447" xr:uid="{00000000-0005-0000-0000-0000B9010000}"/>
    <cellStyle name="60% - Énfasis4 6" xfId="448" xr:uid="{00000000-0005-0000-0000-0000BA010000}"/>
    <cellStyle name="60% - Énfasis4 6 2" xfId="449" xr:uid="{00000000-0005-0000-0000-0000BB010000}"/>
    <cellStyle name="60% - Énfasis4 7" xfId="450" xr:uid="{00000000-0005-0000-0000-0000BC010000}"/>
    <cellStyle name="60% - Énfasis4 7 2" xfId="451" xr:uid="{00000000-0005-0000-0000-0000BD010000}"/>
    <cellStyle name="60% - Énfasis4 8" xfId="452" xr:uid="{00000000-0005-0000-0000-0000BE010000}"/>
    <cellStyle name="60% - Énfasis4 8 2" xfId="453" xr:uid="{00000000-0005-0000-0000-0000BF010000}"/>
    <cellStyle name="60% - Énfasis4 9" xfId="454" xr:uid="{00000000-0005-0000-0000-0000C0010000}"/>
    <cellStyle name="60% - Énfasis4 9 2" xfId="455" xr:uid="{00000000-0005-0000-0000-0000C1010000}"/>
    <cellStyle name="60% - Énfasis5 10" xfId="457" xr:uid="{00000000-0005-0000-0000-0000C2010000}"/>
    <cellStyle name="60% - Énfasis5 10 2" xfId="458" xr:uid="{00000000-0005-0000-0000-0000C3010000}"/>
    <cellStyle name="60% - Énfasis5 11" xfId="459" xr:uid="{00000000-0005-0000-0000-0000C4010000}"/>
    <cellStyle name="60% - Énfasis5 11 2" xfId="460" xr:uid="{00000000-0005-0000-0000-0000C5010000}"/>
    <cellStyle name="60% - Énfasis5 12" xfId="461" xr:uid="{00000000-0005-0000-0000-0000C6010000}"/>
    <cellStyle name="60% - Énfasis5 12 2" xfId="462" xr:uid="{00000000-0005-0000-0000-0000C7010000}"/>
    <cellStyle name="60% - Énfasis5 13" xfId="463" xr:uid="{00000000-0005-0000-0000-0000C8010000}"/>
    <cellStyle name="60% - Énfasis5 13 2" xfId="464" xr:uid="{00000000-0005-0000-0000-0000C9010000}"/>
    <cellStyle name="60% - Énfasis5 14" xfId="465" xr:uid="{00000000-0005-0000-0000-0000CA010000}"/>
    <cellStyle name="60% - Énfasis5 14 2" xfId="466" xr:uid="{00000000-0005-0000-0000-0000CB010000}"/>
    <cellStyle name="60% - Énfasis5 15" xfId="456" xr:uid="{00000000-0005-0000-0000-0000CC010000}"/>
    <cellStyle name="60% - Énfasis5 16" xfId="3119" xr:uid="{B68DBFB2-EC57-47FA-82B3-6C93B7C7D553}"/>
    <cellStyle name="60% - Énfasis5 16 2" xfId="3557" xr:uid="{197561EC-C222-42B9-838C-8A079FA89364}"/>
    <cellStyle name="60% - Énfasis5 2" xfId="467" xr:uid="{00000000-0005-0000-0000-0000CD010000}"/>
    <cellStyle name="60% - Énfasis5 2 2" xfId="468" xr:uid="{00000000-0005-0000-0000-0000CE010000}"/>
    <cellStyle name="60% - Énfasis5 3" xfId="469" xr:uid="{00000000-0005-0000-0000-0000CF010000}"/>
    <cellStyle name="60% - Énfasis5 3 2" xfId="470" xr:uid="{00000000-0005-0000-0000-0000D0010000}"/>
    <cellStyle name="60% - Énfasis5 4" xfId="471" xr:uid="{00000000-0005-0000-0000-0000D1010000}"/>
    <cellStyle name="60% - Énfasis5 4 2" xfId="472" xr:uid="{00000000-0005-0000-0000-0000D2010000}"/>
    <cellStyle name="60% - Énfasis5 5" xfId="473" xr:uid="{00000000-0005-0000-0000-0000D3010000}"/>
    <cellStyle name="60% - Énfasis5 5 2" xfId="474" xr:uid="{00000000-0005-0000-0000-0000D4010000}"/>
    <cellStyle name="60% - Énfasis5 6" xfId="475" xr:uid="{00000000-0005-0000-0000-0000D5010000}"/>
    <cellStyle name="60% - Énfasis5 6 2" xfId="476" xr:uid="{00000000-0005-0000-0000-0000D6010000}"/>
    <cellStyle name="60% - Énfasis5 7" xfId="477" xr:uid="{00000000-0005-0000-0000-0000D7010000}"/>
    <cellStyle name="60% - Énfasis5 7 2" xfId="478" xr:uid="{00000000-0005-0000-0000-0000D8010000}"/>
    <cellStyle name="60% - Énfasis5 8" xfId="479" xr:uid="{00000000-0005-0000-0000-0000D9010000}"/>
    <cellStyle name="60% - Énfasis5 8 2" xfId="480" xr:uid="{00000000-0005-0000-0000-0000DA010000}"/>
    <cellStyle name="60% - Énfasis5 9" xfId="481" xr:uid="{00000000-0005-0000-0000-0000DB010000}"/>
    <cellStyle name="60% - Énfasis5 9 2" xfId="482" xr:uid="{00000000-0005-0000-0000-0000DC010000}"/>
    <cellStyle name="60% - Énfasis6 10" xfId="484" xr:uid="{00000000-0005-0000-0000-0000DD010000}"/>
    <cellStyle name="60% - Énfasis6 10 2" xfId="485" xr:uid="{00000000-0005-0000-0000-0000DE010000}"/>
    <cellStyle name="60% - Énfasis6 11" xfId="486" xr:uid="{00000000-0005-0000-0000-0000DF010000}"/>
    <cellStyle name="60% - Énfasis6 11 2" xfId="487" xr:uid="{00000000-0005-0000-0000-0000E0010000}"/>
    <cellStyle name="60% - Énfasis6 12" xfId="488" xr:uid="{00000000-0005-0000-0000-0000E1010000}"/>
    <cellStyle name="60% - Énfasis6 12 2" xfId="489" xr:uid="{00000000-0005-0000-0000-0000E2010000}"/>
    <cellStyle name="60% - Énfasis6 13" xfId="490" xr:uid="{00000000-0005-0000-0000-0000E3010000}"/>
    <cellStyle name="60% - Énfasis6 13 2" xfId="491" xr:uid="{00000000-0005-0000-0000-0000E4010000}"/>
    <cellStyle name="60% - Énfasis6 14" xfId="492" xr:uid="{00000000-0005-0000-0000-0000E5010000}"/>
    <cellStyle name="60% - Énfasis6 14 2" xfId="493" xr:uid="{00000000-0005-0000-0000-0000E6010000}"/>
    <cellStyle name="60% - Énfasis6 15" xfId="483" xr:uid="{00000000-0005-0000-0000-0000E7010000}"/>
    <cellStyle name="60% - Énfasis6 16" xfId="3122" xr:uid="{693FDBA6-2DE3-4ABC-8DD3-BA0FE4E68FD7}"/>
    <cellStyle name="60% - Énfasis6 16 2" xfId="3560" xr:uid="{D57F3294-EF6D-482D-9BF4-BC79C1D4F79A}"/>
    <cellStyle name="60% - Énfasis6 2" xfId="494" xr:uid="{00000000-0005-0000-0000-0000E8010000}"/>
    <cellStyle name="60% - Énfasis6 2 2" xfId="495" xr:uid="{00000000-0005-0000-0000-0000E9010000}"/>
    <cellStyle name="60% - Énfasis6 3" xfId="496" xr:uid="{00000000-0005-0000-0000-0000EA010000}"/>
    <cellStyle name="60% - Énfasis6 3 2" xfId="497" xr:uid="{00000000-0005-0000-0000-0000EB010000}"/>
    <cellStyle name="60% - Énfasis6 4" xfId="498" xr:uid="{00000000-0005-0000-0000-0000EC010000}"/>
    <cellStyle name="60% - Énfasis6 4 2" xfId="499" xr:uid="{00000000-0005-0000-0000-0000ED010000}"/>
    <cellStyle name="60% - Énfasis6 5" xfId="500" xr:uid="{00000000-0005-0000-0000-0000EE010000}"/>
    <cellStyle name="60% - Énfasis6 5 2" xfId="501" xr:uid="{00000000-0005-0000-0000-0000EF010000}"/>
    <cellStyle name="60% - Énfasis6 6" xfId="502" xr:uid="{00000000-0005-0000-0000-0000F0010000}"/>
    <cellStyle name="60% - Énfasis6 6 2" xfId="503" xr:uid="{00000000-0005-0000-0000-0000F1010000}"/>
    <cellStyle name="60% - Énfasis6 7" xfId="504" xr:uid="{00000000-0005-0000-0000-0000F2010000}"/>
    <cellStyle name="60% - Énfasis6 7 2" xfId="505" xr:uid="{00000000-0005-0000-0000-0000F3010000}"/>
    <cellStyle name="60% - Énfasis6 8" xfId="506" xr:uid="{00000000-0005-0000-0000-0000F4010000}"/>
    <cellStyle name="60% - Énfasis6 8 2" xfId="507" xr:uid="{00000000-0005-0000-0000-0000F5010000}"/>
    <cellStyle name="60% - Énfasis6 9" xfId="508" xr:uid="{00000000-0005-0000-0000-0000F6010000}"/>
    <cellStyle name="60% - Énfasis6 9 2" xfId="509" xr:uid="{00000000-0005-0000-0000-0000F7010000}"/>
    <cellStyle name="Accent1" xfId="510" xr:uid="{00000000-0005-0000-0000-0000F8010000}"/>
    <cellStyle name="Accent2" xfId="511" xr:uid="{00000000-0005-0000-0000-0000F9010000}"/>
    <cellStyle name="Accent3" xfId="512" xr:uid="{00000000-0005-0000-0000-0000FA010000}"/>
    <cellStyle name="Accent4" xfId="513" xr:uid="{00000000-0005-0000-0000-0000FB010000}"/>
    <cellStyle name="Accent5" xfId="514" xr:uid="{00000000-0005-0000-0000-0000FC010000}"/>
    <cellStyle name="Accent6" xfId="515" xr:uid="{00000000-0005-0000-0000-0000FD010000}"/>
    <cellStyle name="Bad" xfId="516" xr:uid="{00000000-0005-0000-0000-0000FE010000}"/>
    <cellStyle name="Buena 10" xfId="518" xr:uid="{00000000-0005-0000-0000-0000FF010000}"/>
    <cellStyle name="Buena 10 2" xfId="519" xr:uid="{00000000-0005-0000-0000-000000020000}"/>
    <cellStyle name="Buena 11" xfId="520" xr:uid="{00000000-0005-0000-0000-000001020000}"/>
    <cellStyle name="Buena 11 2" xfId="521" xr:uid="{00000000-0005-0000-0000-000002020000}"/>
    <cellStyle name="Buena 12" xfId="522" xr:uid="{00000000-0005-0000-0000-000003020000}"/>
    <cellStyle name="Buena 12 2" xfId="523" xr:uid="{00000000-0005-0000-0000-000004020000}"/>
    <cellStyle name="Buena 13" xfId="524" xr:uid="{00000000-0005-0000-0000-000005020000}"/>
    <cellStyle name="Buena 13 2" xfId="525" xr:uid="{00000000-0005-0000-0000-000006020000}"/>
    <cellStyle name="Buena 14" xfId="526" xr:uid="{00000000-0005-0000-0000-000007020000}"/>
    <cellStyle name="Buena 14 2" xfId="527" xr:uid="{00000000-0005-0000-0000-000008020000}"/>
    <cellStyle name="Buena 15" xfId="517" xr:uid="{00000000-0005-0000-0000-000009020000}"/>
    <cellStyle name="Buena 2" xfId="528" xr:uid="{00000000-0005-0000-0000-00000A020000}"/>
    <cellStyle name="Buena 2 2" xfId="529" xr:uid="{00000000-0005-0000-0000-00000B020000}"/>
    <cellStyle name="Buena 3" xfId="530" xr:uid="{00000000-0005-0000-0000-00000C020000}"/>
    <cellStyle name="Buena 3 2" xfId="531" xr:uid="{00000000-0005-0000-0000-00000D020000}"/>
    <cellStyle name="Buena 4" xfId="532" xr:uid="{00000000-0005-0000-0000-00000E020000}"/>
    <cellStyle name="Buena 4 2" xfId="533" xr:uid="{00000000-0005-0000-0000-00000F020000}"/>
    <cellStyle name="Buena 5" xfId="534" xr:uid="{00000000-0005-0000-0000-000010020000}"/>
    <cellStyle name="Buena 5 2" xfId="535" xr:uid="{00000000-0005-0000-0000-000011020000}"/>
    <cellStyle name="Buena 6" xfId="536" xr:uid="{00000000-0005-0000-0000-000012020000}"/>
    <cellStyle name="Buena 6 2" xfId="537" xr:uid="{00000000-0005-0000-0000-000013020000}"/>
    <cellStyle name="Buena 7" xfId="538" xr:uid="{00000000-0005-0000-0000-000014020000}"/>
    <cellStyle name="Buena 7 2" xfId="539" xr:uid="{00000000-0005-0000-0000-000015020000}"/>
    <cellStyle name="Buena 8" xfId="540" xr:uid="{00000000-0005-0000-0000-000016020000}"/>
    <cellStyle name="Buena 8 2" xfId="541" xr:uid="{00000000-0005-0000-0000-000017020000}"/>
    <cellStyle name="Buena 9" xfId="542" xr:uid="{00000000-0005-0000-0000-000018020000}"/>
    <cellStyle name="Buena 9 2" xfId="543" xr:uid="{00000000-0005-0000-0000-000019020000}"/>
    <cellStyle name="Bueno 2" xfId="1741" xr:uid="{00000000-0005-0000-0000-00001A020000}"/>
    <cellStyle name="Bueno 2 2" xfId="3102" xr:uid="{2117C172-F418-4C93-85C6-918E8818FA8E}"/>
    <cellStyle name="Calculation" xfId="544" xr:uid="{00000000-0005-0000-0000-00001B020000}"/>
    <cellStyle name="Cálculo 10" xfId="546" xr:uid="{00000000-0005-0000-0000-00001C020000}"/>
    <cellStyle name="Cálculo 10 2" xfId="547" xr:uid="{00000000-0005-0000-0000-00001D020000}"/>
    <cellStyle name="Cálculo 11" xfId="548" xr:uid="{00000000-0005-0000-0000-00001E020000}"/>
    <cellStyle name="Cálculo 11 2" xfId="549" xr:uid="{00000000-0005-0000-0000-00001F020000}"/>
    <cellStyle name="Cálculo 12" xfId="550" xr:uid="{00000000-0005-0000-0000-000020020000}"/>
    <cellStyle name="Cálculo 12 2" xfId="551" xr:uid="{00000000-0005-0000-0000-000021020000}"/>
    <cellStyle name="Cálculo 13" xfId="552" xr:uid="{00000000-0005-0000-0000-000022020000}"/>
    <cellStyle name="Cálculo 13 2" xfId="553" xr:uid="{00000000-0005-0000-0000-000023020000}"/>
    <cellStyle name="Cálculo 14" xfId="554" xr:uid="{00000000-0005-0000-0000-000024020000}"/>
    <cellStyle name="Cálculo 14 2" xfId="555" xr:uid="{00000000-0005-0000-0000-000025020000}"/>
    <cellStyle name="Cálculo 15" xfId="545" xr:uid="{00000000-0005-0000-0000-000026020000}"/>
    <cellStyle name="Cálculo 2" xfId="556" xr:uid="{00000000-0005-0000-0000-000027020000}"/>
    <cellStyle name="Cálculo 2 2" xfId="557" xr:uid="{00000000-0005-0000-0000-000028020000}"/>
    <cellStyle name="Cálculo 3" xfId="558" xr:uid="{00000000-0005-0000-0000-000029020000}"/>
    <cellStyle name="Cálculo 3 2" xfId="559" xr:uid="{00000000-0005-0000-0000-00002A020000}"/>
    <cellStyle name="Cálculo 4" xfId="560" xr:uid="{00000000-0005-0000-0000-00002B020000}"/>
    <cellStyle name="Cálculo 4 2" xfId="561" xr:uid="{00000000-0005-0000-0000-00002C020000}"/>
    <cellStyle name="Cálculo 5" xfId="562" xr:uid="{00000000-0005-0000-0000-00002D020000}"/>
    <cellStyle name="Cálculo 5 2" xfId="563" xr:uid="{00000000-0005-0000-0000-00002E020000}"/>
    <cellStyle name="Cálculo 6" xfId="564" xr:uid="{00000000-0005-0000-0000-00002F020000}"/>
    <cellStyle name="Cálculo 6 2" xfId="565" xr:uid="{00000000-0005-0000-0000-000030020000}"/>
    <cellStyle name="Cálculo 7" xfId="566" xr:uid="{00000000-0005-0000-0000-000031020000}"/>
    <cellStyle name="Cálculo 7 2" xfId="567" xr:uid="{00000000-0005-0000-0000-000032020000}"/>
    <cellStyle name="Cálculo 8" xfId="568" xr:uid="{00000000-0005-0000-0000-000033020000}"/>
    <cellStyle name="Cálculo 8 2" xfId="569" xr:uid="{00000000-0005-0000-0000-000034020000}"/>
    <cellStyle name="Cálculo 9" xfId="570" xr:uid="{00000000-0005-0000-0000-000035020000}"/>
    <cellStyle name="Cálculo 9 2" xfId="571" xr:uid="{00000000-0005-0000-0000-000036020000}"/>
    <cellStyle name="Celda de comprobación 10" xfId="573" xr:uid="{00000000-0005-0000-0000-000037020000}"/>
    <cellStyle name="Celda de comprobación 10 2" xfId="574" xr:uid="{00000000-0005-0000-0000-000038020000}"/>
    <cellStyle name="Celda de comprobación 11" xfId="575" xr:uid="{00000000-0005-0000-0000-000039020000}"/>
    <cellStyle name="Celda de comprobación 11 2" xfId="576" xr:uid="{00000000-0005-0000-0000-00003A020000}"/>
    <cellStyle name="Celda de comprobación 12" xfId="577" xr:uid="{00000000-0005-0000-0000-00003B020000}"/>
    <cellStyle name="Celda de comprobación 12 2" xfId="578" xr:uid="{00000000-0005-0000-0000-00003C020000}"/>
    <cellStyle name="Celda de comprobación 13" xfId="579" xr:uid="{00000000-0005-0000-0000-00003D020000}"/>
    <cellStyle name="Celda de comprobación 13 2" xfId="580" xr:uid="{00000000-0005-0000-0000-00003E020000}"/>
    <cellStyle name="Celda de comprobación 14" xfId="581" xr:uid="{00000000-0005-0000-0000-00003F020000}"/>
    <cellStyle name="Celda de comprobación 14 2" xfId="582" xr:uid="{00000000-0005-0000-0000-000040020000}"/>
    <cellStyle name="Celda de comprobación 15" xfId="572" xr:uid="{00000000-0005-0000-0000-000041020000}"/>
    <cellStyle name="Celda de comprobación 2" xfId="583" xr:uid="{00000000-0005-0000-0000-000042020000}"/>
    <cellStyle name="Celda de comprobación 2 2" xfId="584" xr:uid="{00000000-0005-0000-0000-000043020000}"/>
    <cellStyle name="Celda de comprobación 3" xfId="585" xr:uid="{00000000-0005-0000-0000-000044020000}"/>
    <cellStyle name="Celda de comprobación 3 2" xfId="586" xr:uid="{00000000-0005-0000-0000-000045020000}"/>
    <cellStyle name="Celda de comprobación 4" xfId="587" xr:uid="{00000000-0005-0000-0000-000046020000}"/>
    <cellStyle name="Celda de comprobación 4 2" xfId="588" xr:uid="{00000000-0005-0000-0000-000047020000}"/>
    <cellStyle name="Celda de comprobación 5" xfId="589" xr:uid="{00000000-0005-0000-0000-000048020000}"/>
    <cellStyle name="Celda de comprobación 5 2" xfId="590" xr:uid="{00000000-0005-0000-0000-000049020000}"/>
    <cellStyle name="Celda de comprobación 6" xfId="591" xr:uid="{00000000-0005-0000-0000-00004A020000}"/>
    <cellStyle name="Celda de comprobación 6 2" xfId="592" xr:uid="{00000000-0005-0000-0000-00004B020000}"/>
    <cellStyle name="Celda de comprobación 7" xfId="593" xr:uid="{00000000-0005-0000-0000-00004C020000}"/>
    <cellStyle name="Celda de comprobación 7 2" xfId="594" xr:uid="{00000000-0005-0000-0000-00004D020000}"/>
    <cellStyle name="Celda de comprobación 8" xfId="595" xr:uid="{00000000-0005-0000-0000-00004E020000}"/>
    <cellStyle name="Celda de comprobación 8 2" xfId="596" xr:uid="{00000000-0005-0000-0000-00004F020000}"/>
    <cellStyle name="Celda de comprobación 9" xfId="597" xr:uid="{00000000-0005-0000-0000-000050020000}"/>
    <cellStyle name="Celda de comprobación 9 2" xfId="598" xr:uid="{00000000-0005-0000-0000-000051020000}"/>
    <cellStyle name="Celda vinculada 10" xfId="600" xr:uid="{00000000-0005-0000-0000-000052020000}"/>
    <cellStyle name="Celda vinculada 10 2" xfId="601" xr:uid="{00000000-0005-0000-0000-000053020000}"/>
    <cellStyle name="Celda vinculada 11" xfId="602" xr:uid="{00000000-0005-0000-0000-000054020000}"/>
    <cellStyle name="Celda vinculada 11 2" xfId="603" xr:uid="{00000000-0005-0000-0000-000055020000}"/>
    <cellStyle name="Celda vinculada 12" xfId="604" xr:uid="{00000000-0005-0000-0000-000056020000}"/>
    <cellStyle name="Celda vinculada 12 2" xfId="605" xr:uid="{00000000-0005-0000-0000-000057020000}"/>
    <cellStyle name="Celda vinculada 13" xfId="606" xr:uid="{00000000-0005-0000-0000-000058020000}"/>
    <cellStyle name="Celda vinculada 13 2" xfId="607" xr:uid="{00000000-0005-0000-0000-000059020000}"/>
    <cellStyle name="Celda vinculada 14" xfId="608" xr:uid="{00000000-0005-0000-0000-00005A020000}"/>
    <cellStyle name="Celda vinculada 14 2" xfId="609" xr:uid="{00000000-0005-0000-0000-00005B020000}"/>
    <cellStyle name="Celda vinculada 15" xfId="599" xr:uid="{00000000-0005-0000-0000-00005C020000}"/>
    <cellStyle name="Celda vinculada 2" xfId="610" xr:uid="{00000000-0005-0000-0000-00005D020000}"/>
    <cellStyle name="Celda vinculada 2 2" xfId="611" xr:uid="{00000000-0005-0000-0000-00005E020000}"/>
    <cellStyle name="Celda vinculada 3" xfId="612" xr:uid="{00000000-0005-0000-0000-00005F020000}"/>
    <cellStyle name="Celda vinculada 3 2" xfId="613" xr:uid="{00000000-0005-0000-0000-000060020000}"/>
    <cellStyle name="Celda vinculada 4" xfId="614" xr:uid="{00000000-0005-0000-0000-000061020000}"/>
    <cellStyle name="Celda vinculada 4 2" xfId="615" xr:uid="{00000000-0005-0000-0000-000062020000}"/>
    <cellStyle name="Celda vinculada 5" xfId="616" xr:uid="{00000000-0005-0000-0000-000063020000}"/>
    <cellStyle name="Celda vinculada 5 2" xfId="617" xr:uid="{00000000-0005-0000-0000-000064020000}"/>
    <cellStyle name="Celda vinculada 6" xfId="618" xr:uid="{00000000-0005-0000-0000-000065020000}"/>
    <cellStyle name="Celda vinculada 6 2" xfId="619" xr:uid="{00000000-0005-0000-0000-000066020000}"/>
    <cellStyle name="Celda vinculada 7" xfId="620" xr:uid="{00000000-0005-0000-0000-000067020000}"/>
    <cellStyle name="Celda vinculada 7 2" xfId="621" xr:uid="{00000000-0005-0000-0000-000068020000}"/>
    <cellStyle name="Celda vinculada 8" xfId="622" xr:uid="{00000000-0005-0000-0000-000069020000}"/>
    <cellStyle name="Celda vinculada 8 2" xfId="623" xr:uid="{00000000-0005-0000-0000-00006A020000}"/>
    <cellStyle name="Celda vinculada 9" xfId="624" xr:uid="{00000000-0005-0000-0000-00006B020000}"/>
    <cellStyle name="Celda vinculada 9 2" xfId="625" xr:uid="{00000000-0005-0000-0000-00006C020000}"/>
    <cellStyle name="Check Cell" xfId="626" xr:uid="{00000000-0005-0000-0000-00006D020000}"/>
    <cellStyle name="Encabezado 1" xfId="3008" builtinId="16" customBuiltin="1"/>
    <cellStyle name="Encabezado 4 10" xfId="628" xr:uid="{00000000-0005-0000-0000-00006E020000}"/>
    <cellStyle name="Encabezado 4 10 2" xfId="629" xr:uid="{00000000-0005-0000-0000-00006F020000}"/>
    <cellStyle name="Encabezado 4 11" xfId="630" xr:uid="{00000000-0005-0000-0000-000070020000}"/>
    <cellStyle name="Encabezado 4 11 2" xfId="631" xr:uid="{00000000-0005-0000-0000-000071020000}"/>
    <cellStyle name="Encabezado 4 12" xfId="632" xr:uid="{00000000-0005-0000-0000-000072020000}"/>
    <cellStyle name="Encabezado 4 12 2" xfId="633" xr:uid="{00000000-0005-0000-0000-000073020000}"/>
    <cellStyle name="Encabezado 4 13" xfId="634" xr:uid="{00000000-0005-0000-0000-000074020000}"/>
    <cellStyle name="Encabezado 4 13 2" xfId="635" xr:uid="{00000000-0005-0000-0000-000075020000}"/>
    <cellStyle name="Encabezado 4 14" xfId="636" xr:uid="{00000000-0005-0000-0000-000076020000}"/>
    <cellStyle name="Encabezado 4 14 2" xfId="637" xr:uid="{00000000-0005-0000-0000-000077020000}"/>
    <cellStyle name="Encabezado 4 15" xfId="627" xr:uid="{00000000-0005-0000-0000-000078020000}"/>
    <cellStyle name="Encabezado 4 2" xfId="638" xr:uid="{00000000-0005-0000-0000-000079020000}"/>
    <cellStyle name="Encabezado 4 2 2" xfId="639" xr:uid="{00000000-0005-0000-0000-00007A020000}"/>
    <cellStyle name="Encabezado 4 3" xfId="640" xr:uid="{00000000-0005-0000-0000-00007B020000}"/>
    <cellStyle name="Encabezado 4 3 2" xfId="641" xr:uid="{00000000-0005-0000-0000-00007C020000}"/>
    <cellStyle name="Encabezado 4 4" xfId="642" xr:uid="{00000000-0005-0000-0000-00007D020000}"/>
    <cellStyle name="Encabezado 4 4 2" xfId="643" xr:uid="{00000000-0005-0000-0000-00007E020000}"/>
    <cellStyle name="Encabezado 4 5" xfId="644" xr:uid="{00000000-0005-0000-0000-00007F020000}"/>
    <cellStyle name="Encabezado 4 5 2" xfId="645" xr:uid="{00000000-0005-0000-0000-000080020000}"/>
    <cellStyle name="Encabezado 4 6" xfId="646" xr:uid="{00000000-0005-0000-0000-000081020000}"/>
    <cellStyle name="Encabezado 4 6 2" xfId="647" xr:uid="{00000000-0005-0000-0000-000082020000}"/>
    <cellStyle name="Encabezado 4 7" xfId="648" xr:uid="{00000000-0005-0000-0000-000083020000}"/>
    <cellStyle name="Encabezado 4 7 2" xfId="649" xr:uid="{00000000-0005-0000-0000-000084020000}"/>
    <cellStyle name="Encabezado 4 8" xfId="650" xr:uid="{00000000-0005-0000-0000-000085020000}"/>
    <cellStyle name="Encabezado 4 8 2" xfId="651" xr:uid="{00000000-0005-0000-0000-000086020000}"/>
    <cellStyle name="Encabezado 4 9" xfId="652" xr:uid="{00000000-0005-0000-0000-000087020000}"/>
    <cellStyle name="Encabezado 4 9 2" xfId="653" xr:uid="{00000000-0005-0000-0000-000088020000}"/>
    <cellStyle name="Énfasis1 10" xfId="655" xr:uid="{00000000-0005-0000-0000-000089020000}"/>
    <cellStyle name="Énfasis1 10 2" xfId="656" xr:uid="{00000000-0005-0000-0000-00008A020000}"/>
    <cellStyle name="Énfasis1 11" xfId="657" xr:uid="{00000000-0005-0000-0000-00008B020000}"/>
    <cellStyle name="Énfasis1 11 2" xfId="658" xr:uid="{00000000-0005-0000-0000-00008C020000}"/>
    <cellStyle name="Énfasis1 12" xfId="659" xr:uid="{00000000-0005-0000-0000-00008D020000}"/>
    <cellStyle name="Énfasis1 12 2" xfId="660" xr:uid="{00000000-0005-0000-0000-00008E020000}"/>
    <cellStyle name="Énfasis1 13" xfId="661" xr:uid="{00000000-0005-0000-0000-00008F020000}"/>
    <cellStyle name="Énfasis1 13 2" xfId="662" xr:uid="{00000000-0005-0000-0000-000090020000}"/>
    <cellStyle name="Énfasis1 14" xfId="663" xr:uid="{00000000-0005-0000-0000-000091020000}"/>
    <cellStyle name="Énfasis1 14 2" xfId="664" xr:uid="{00000000-0005-0000-0000-000092020000}"/>
    <cellStyle name="Énfasis1 15" xfId="654" xr:uid="{00000000-0005-0000-0000-000093020000}"/>
    <cellStyle name="Énfasis1 2" xfId="665" xr:uid="{00000000-0005-0000-0000-000094020000}"/>
    <cellStyle name="Énfasis1 2 2" xfId="666" xr:uid="{00000000-0005-0000-0000-000095020000}"/>
    <cellStyle name="Énfasis1 3" xfId="667" xr:uid="{00000000-0005-0000-0000-000096020000}"/>
    <cellStyle name="Énfasis1 3 2" xfId="668" xr:uid="{00000000-0005-0000-0000-000097020000}"/>
    <cellStyle name="Énfasis1 4" xfId="669" xr:uid="{00000000-0005-0000-0000-000098020000}"/>
    <cellStyle name="Énfasis1 4 2" xfId="670" xr:uid="{00000000-0005-0000-0000-000099020000}"/>
    <cellStyle name="Énfasis1 5" xfId="671" xr:uid="{00000000-0005-0000-0000-00009A020000}"/>
    <cellStyle name="Énfasis1 5 2" xfId="672" xr:uid="{00000000-0005-0000-0000-00009B020000}"/>
    <cellStyle name="Énfasis1 6" xfId="673" xr:uid="{00000000-0005-0000-0000-00009C020000}"/>
    <cellStyle name="Énfasis1 6 2" xfId="674" xr:uid="{00000000-0005-0000-0000-00009D020000}"/>
    <cellStyle name="Énfasis1 7" xfId="675" xr:uid="{00000000-0005-0000-0000-00009E020000}"/>
    <cellStyle name="Énfasis1 7 2" xfId="676" xr:uid="{00000000-0005-0000-0000-00009F020000}"/>
    <cellStyle name="Énfasis1 8" xfId="677" xr:uid="{00000000-0005-0000-0000-0000A0020000}"/>
    <cellStyle name="Énfasis1 8 2" xfId="678" xr:uid="{00000000-0005-0000-0000-0000A1020000}"/>
    <cellStyle name="Énfasis1 9" xfId="679" xr:uid="{00000000-0005-0000-0000-0000A2020000}"/>
    <cellStyle name="Énfasis1 9 2" xfId="680" xr:uid="{00000000-0005-0000-0000-0000A3020000}"/>
    <cellStyle name="Énfasis2 10" xfId="682" xr:uid="{00000000-0005-0000-0000-0000A4020000}"/>
    <cellStyle name="Énfasis2 10 2" xfId="683" xr:uid="{00000000-0005-0000-0000-0000A5020000}"/>
    <cellStyle name="Énfasis2 11" xfId="684" xr:uid="{00000000-0005-0000-0000-0000A6020000}"/>
    <cellStyle name="Énfasis2 11 2" xfId="685" xr:uid="{00000000-0005-0000-0000-0000A7020000}"/>
    <cellStyle name="Énfasis2 12" xfId="686" xr:uid="{00000000-0005-0000-0000-0000A8020000}"/>
    <cellStyle name="Énfasis2 12 2" xfId="687" xr:uid="{00000000-0005-0000-0000-0000A9020000}"/>
    <cellStyle name="Énfasis2 13" xfId="688" xr:uid="{00000000-0005-0000-0000-0000AA020000}"/>
    <cellStyle name="Énfasis2 13 2" xfId="689" xr:uid="{00000000-0005-0000-0000-0000AB020000}"/>
    <cellStyle name="Énfasis2 14" xfId="690" xr:uid="{00000000-0005-0000-0000-0000AC020000}"/>
    <cellStyle name="Énfasis2 14 2" xfId="691" xr:uid="{00000000-0005-0000-0000-0000AD020000}"/>
    <cellStyle name="Énfasis2 15" xfId="681" xr:uid="{00000000-0005-0000-0000-0000AE020000}"/>
    <cellStyle name="Énfasis2 2" xfId="692" xr:uid="{00000000-0005-0000-0000-0000AF020000}"/>
    <cellStyle name="Énfasis2 2 2" xfId="693" xr:uid="{00000000-0005-0000-0000-0000B0020000}"/>
    <cellStyle name="Énfasis2 3" xfId="694" xr:uid="{00000000-0005-0000-0000-0000B1020000}"/>
    <cellStyle name="Énfasis2 3 2" xfId="695" xr:uid="{00000000-0005-0000-0000-0000B2020000}"/>
    <cellStyle name="Énfasis2 4" xfId="696" xr:uid="{00000000-0005-0000-0000-0000B3020000}"/>
    <cellStyle name="Énfasis2 4 2" xfId="697" xr:uid="{00000000-0005-0000-0000-0000B4020000}"/>
    <cellStyle name="Énfasis2 5" xfId="698" xr:uid="{00000000-0005-0000-0000-0000B5020000}"/>
    <cellStyle name="Énfasis2 5 2" xfId="699" xr:uid="{00000000-0005-0000-0000-0000B6020000}"/>
    <cellStyle name="Énfasis2 6" xfId="700" xr:uid="{00000000-0005-0000-0000-0000B7020000}"/>
    <cellStyle name="Énfasis2 6 2" xfId="701" xr:uid="{00000000-0005-0000-0000-0000B8020000}"/>
    <cellStyle name="Énfasis2 7" xfId="702" xr:uid="{00000000-0005-0000-0000-0000B9020000}"/>
    <cellStyle name="Énfasis2 7 2" xfId="703" xr:uid="{00000000-0005-0000-0000-0000BA020000}"/>
    <cellStyle name="Énfasis2 8" xfId="704" xr:uid="{00000000-0005-0000-0000-0000BB020000}"/>
    <cellStyle name="Énfasis2 8 2" xfId="705" xr:uid="{00000000-0005-0000-0000-0000BC020000}"/>
    <cellStyle name="Énfasis2 9" xfId="706" xr:uid="{00000000-0005-0000-0000-0000BD020000}"/>
    <cellStyle name="Énfasis2 9 2" xfId="707" xr:uid="{00000000-0005-0000-0000-0000BE020000}"/>
    <cellStyle name="Énfasis3 10" xfId="709" xr:uid="{00000000-0005-0000-0000-0000BF020000}"/>
    <cellStyle name="Énfasis3 10 2" xfId="710" xr:uid="{00000000-0005-0000-0000-0000C0020000}"/>
    <cellStyle name="Énfasis3 11" xfId="711" xr:uid="{00000000-0005-0000-0000-0000C1020000}"/>
    <cellStyle name="Énfasis3 11 2" xfId="712" xr:uid="{00000000-0005-0000-0000-0000C2020000}"/>
    <cellStyle name="Énfasis3 12" xfId="713" xr:uid="{00000000-0005-0000-0000-0000C3020000}"/>
    <cellStyle name="Énfasis3 12 2" xfId="714" xr:uid="{00000000-0005-0000-0000-0000C4020000}"/>
    <cellStyle name="Énfasis3 13" xfId="715" xr:uid="{00000000-0005-0000-0000-0000C5020000}"/>
    <cellStyle name="Énfasis3 13 2" xfId="716" xr:uid="{00000000-0005-0000-0000-0000C6020000}"/>
    <cellStyle name="Énfasis3 14" xfId="717" xr:uid="{00000000-0005-0000-0000-0000C7020000}"/>
    <cellStyle name="Énfasis3 14 2" xfId="718" xr:uid="{00000000-0005-0000-0000-0000C8020000}"/>
    <cellStyle name="Énfasis3 15" xfId="708" xr:uid="{00000000-0005-0000-0000-0000C9020000}"/>
    <cellStyle name="Énfasis3 2" xfId="719" xr:uid="{00000000-0005-0000-0000-0000CA020000}"/>
    <cellStyle name="Énfasis3 2 2" xfId="720" xr:uid="{00000000-0005-0000-0000-0000CB020000}"/>
    <cellStyle name="Énfasis3 3" xfId="721" xr:uid="{00000000-0005-0000-0000-0000CC020000}"/>
    <cellStyle name="Énfasis3 3 2" xfId="722" xr:uid="{00000000-0005-0000-0000-0000CD020000}"/>
    <cellStyle name="Énfasis3 4" xfId="723" xr:uid="{00000000-0005-0000-0000-0000CE020000}"/>
    <cellStyle name="Énfasis3 4 2" xfId="724" xr:uid="{00000000-0005-0000-0000-0000CF020000}"/>
    <cellStyle name="Énfasis3 5" xfId="725" xr:uid="{00000000-0005-0000-0000-0000D0020000}"/>
    <cellStyle name="Énfasis3 5 2" xfId="726" xr:uid="{00000000-0005-0000-0000-0000D1020000}"/>
    <cellStyle name="Énfasis3 6" xfId="727" xr:uid="{00000000-0005-0000-0000-0000D2020000}"/>
    <cellStyle name="Énfasis3 6 2" xfId="728" xr:uid="{00000000-0005-0000-0000-0000D3020000}"/>
    <cellStyle name="Énfasis3 7" xfId="729" xr:uid="{00000000-0005-0000-0000-0000D4020000}"/>
    <cellStyle name="Énfasis3 7 2" xfId="730" xr:uid="{00000000-0005-0000-0000-0000D5020000}"/>
    <cellStyle name="Énfasis3 8" xfId="731" xr:uid="{00000000-0005-0000-0000-0000D6020000}"/>
    <cellStyle name="Énfasis3 8 2" xfId="732" xr:uid="{00000000-0005-0000-0000-0000D7020000}"/>
    <cellStyle name="Énfasis3 9" xfId="733" xr:uid="{00000000-0005-0000-0000-0000D8020000}"/>
    <cellStyle name="Énfasis3 9 2" xfId="734" xr:uid="{00000000-0005-0000-0000-0000D9020000}"/>
    <cellStyle name="Énfasis4 10" xfId="736" xr:uid="{00000000-0005-0000-0000-0000DA020000}"/>
    <cellStyle name="Énfasis4 10 2" xfId="737" xr:uid="{00000000-0005-0000-0000-0000DB020000}"/>
    <cellStyle name="Énfasis4 11" xfId="738" xr:uid="{00000000-0005-0000-0000-0000DC020000}"/>
    <cellStyle name="Énfasis4 11 2" xfId="739" xr:uid="{00000000-0005-0000-0000-0000DD020000}"/>
    <cellStyle name="Énfasis4 12" xfId="740" xr:uid="{00000000-0005-0000-0000-0000DE020000}"/>
    <cellStyle name="Énfasis4 12 2" xfId="741" xr:uid="{00000000-0005-0000-0000-0000DF020000}"/>
    <cellStyle name="Énfasis4 13" xfId="742" xr:uid="{00000000-0005-0000-0000-0000E0020000}"/>
    <cellStyle name="Énfasis4 13 2" xfId="743" xr:uid="{00000000-0005-0000-0000-0000E1020000}"/>
    <cellStyle name="Énfasis4 14" xfId="744" xr:uid="{00000000-0005-0000-0000-0000E2020000}"/>
    <cellStyle name="Énfasis4 14 2" xfId="745" xr:uid="{00000000-0005-0000-0000-0000E3020000}"/>
    <cellStyle name="Énfasis4 15" xfId="735" xr:uid="{00000000-0005-0000-0000-0000E4020000}"/>
    <cellStyle name="Énfasis4 2" xfId="746" xr:uid="{00000000-0005-0000-0000-0000E5020000}"/>
    <cellStyle name="Énfasis4 2 2" xfId="747" xr:uid="{00000000-0005-0000-0000-0000E6020000}"/>
    <cellStyle name="Énfasis4 3" xfId="748" xr:uid="{00000000-0005-0000-0000-0000E7020000}"/>
    <cellStyle name="Énfasis4 3 2" xfId="749" xr:uid="{00000000-0005-0000-0000-0000E8020000}"/>
    <cellStyle name="Énfasis4 4" xfId="750" xr:uid="{00000000-0005-0000-0000-0000E9020000}"/>
    <cellStyle name="Énfasis4 4 2" xfId="751" xr:uid="{00000000-0005-0000-0000-0000EA020000}"/>
    <cellStyle name="Énfasis4 5" xfId="752" xr:uid="{00000000-0005-0000-0000-0000EB020000}"/>
    <cellStyle name="Énfasis4 5 2" xfId="753" xr:uid="{00000000-0005-0000-0000-0000EC020000}"/>
    <cellStyle name="Énfasis4 6" xfId="754" xr:uid="{00000000-0005-0000-0000-0000ED020000}"/>
    <cellStyle name="Énfasis4 6 2" xfId="755" xr:uid="{00000000-0005-0000-0000-0000EE020000}"/>
    <cellStyle name="Énfasis4 7" xfId="756" xr:uid="{00000000-0005-0000-0000-0000EF020000}"/>
    <cellStyle name="Énfasis4 7 2" xfId="757" xr:uid="{00000000-0005-0000-0000-0000F0020000}"/>
    <cellStyle name="Énfasis4 8" xfId="758" xr:uid="{00000000-0005-0000-0000-0000F1020000}"/>
    <cellStyle name="Énfasis4 8 2" xfId="759" xr:uid="{00000000-0005-0000-0000-0000F2020000}"/>
    <cellStyle name="Énfasis4 9" xfId="760" xr:uid="{00000000-0005-0000-0000-0000F3020000}"/>
    <cellStyle name="Énfasis4 9 2" xfId="761" xr:uid="{00000000-0005-0000-0000-0000F4020000}"/>
    <cellStyle name="Énfasis5 10" xfId="763" xr:uid="{00000000-0005-0000-0000-0000F5020000}"/>
    <cellStyle name="Énfasis5 10 2" xfId="764" xr:uid="{00000000-0005-0000-0000-0000F6020000}"/>
    <cellStyle name="Énfasis5 11" xfId="765" xr:uid="{00000000-0005-0000-0000-0000F7020000}"/>
    <cellStyle name="Énfasis5 11 2" xfId="766" xr:uid="{00000000-0005-0000-0000-0000F8020000}"/>
    <cellStyle name="Énfasis5 12" xfId="767" xr:uid="{00000000-0005-0000-0000-0000F9020000}"/>
    <cellStyle name="Énfasis5 12 2" xfId="768" xr:uid="{00000000-0005-0000-0000-0000FA020000}"/>
    <cellStyle name="Énfasis5 13" xfId="769" xr:uid="{00000000-0005-0000-0000-0000FB020000}"/>
    <cellStyle name="Énfasis5 13 2" xfId="770" xr:uid="{00000000-0005-0000-0000-0000FC020000}"/>
    <cellStyle name="Énfasis5 14" xfId="771" xr:uid="{00000000-0005-0000-0000-0000FD020000}"/>
    <cellStyle name="Énfasis5 14 2" xfId="772" xr:uid="{00000000-0005-0000-0000-0000FE020000}"/>
    <cellStyle name="Énfasis5 15" xfId="762" xr:uid="{00000000-0005-0000-0000-0000FF020000}"/>
    <cellStyle name="Énfasis5 2" xfId="773" xr:uid="{00000000-0005-0000-0000-000000030000}"/>
    <cellStyle name="Énfasis5 2 2" xfId="774" xr:uid="{00000000-0005-0000-0000-000001030000}"/>
    <cellStyle name="Énfasis5 3" xfId="775" xr:uid="{00000000-0005-0000-0000-000002030000}"/>
    <cellStyle name="Énfasis5 3 2" xfId="776" xr:uid="{00000000-0005-0000-0000-000003030000}"/>
    <cellStyle name="Énfasis5 4" xfId="777" xr:uid="{00000000-0005-0000-0000-000004030000}"/>
    <cellStyle name="Énfasis5 4 2" xfId="778" xr:uid="{00000000-0005-0000-0000-000005030000}"/>
    <cellStyle name="Énfasis5 5" xfId="779" xr:uid="{00000000-0005-0000-0000-000006030000}"/>
    <cellStyle name="Énfasis5 5 2" xfId="780" xr:uid="{00000000-0005-0000-0000-000007030000}"/>
    <cellStyle name="Énfasis5 6" xfId="781" xr:uid="{00000000-0005-0000-0000-000008030000}"/>
    <cellStyle name="Énfasis5 6 2" xfId="782" xr:uid="{00000000-0005-0000-0000-000009030000}"/>
    <cellStyle name="Énfasis5 7" xfId="783" xr:uid="{00000000-0005-0000-0000-00000A030000}"/>
    <cellStyle name="Énfasis5 7 2" xfId="784" xr:uid="{00000000-0005-0000-0000-00000B030000}"/>
    <cellStyle name="Énfasis5 8" xfId="785" xr:uid="{00000000-0005-0000-0000-00000C030000}"/>
    <cellStyle name="Énfasis5 8 2" xfId="786" xr:uid="{00000000-0005-0000-0000-00000D030000}"/>
    <cellStyle name="Énfasis5 9" xfId="787" xr:uid="{00000000-0005-0000-0000-00000E030000}"/>
    <cellStyle name="Énfasis5 9 2" xfId="788" xr:uid="{00000000-0005-0000-0000-00000F030000}"/>
    <cellStyle name="Énfasis6 10" xfId="790" xr:uid="{00000000-0005-0000-0000-000010030000}"/>
    <cellStyle name="Énfasis6 10 2" xfId="791" xr:uid="{00000000-0005-0000-0000-000011030000}"/>
    <cellStyle name="Énfasis6 11" xfId="792" xr:uid="{00000000-0005-0000-0000-000012030000}"/>
    <cellStyle name="Énfasis6 11 2" xfId="793" xr:uid="{00000000-0005-0000-0000-000013030000}"/>
    <cellStyle name="Énfasis6 12" xfId="794" xr:uid="{00000000-0005-0000-0000-000014030000}"/>
    <cellStyle name="Énfasis6 12 2" xfId="795" xr:uid="{00000000-0005-0000-0000-000015030000}"/>
    <cellStyle name="Énfasis6 13" xfId="796" xr:uid="{00000000-0005-0000-0000-000016030000}"/>
    <cellStyle name="Énfasis6 13 2" xfId="797" xr:uid="{00000000-0005-0000-0000-000017030000}"/>
    <cellStyle name="Énfasis6 14" xfId="798" xr:uid="{00000000-0005-0000-0000-000018030000}"/>
    <cellStyle name="Énfasis6 14 2" xfId="799" xr:uid="{00000000-0005-0000-0000-000019030000}"/>
    <cellStyle name="Énfasis6 15" xfId="789" xr:uid="{00000000-0005-0000-0000-00001A030000}"/>
    <cellStyle name="Énfasis6 2" xfId="800" xr:uid="{00000000-0005-0000-0000-00001B030000}"/>
    <cellStyle name="Énfasis6 2 2" xfId="801" xr:uid="{00000000-0005-0000-0000-00001C030000}"/>
    <cellStyle name="Énfasis6 3" xfId="802" xr:uid="{00000000-0005-0000-0000-00001D030000}"/>
    <cellStyle name="Énfasis6 3 2" xfId="803" xr:uid="{00000000-0005-0000-0000-00001E030000}"/>
    <cellStyle name="Énfasis6 4" xfId="804" xr:uid="{00000000-0005-0000-0000-00001F030000}"/>
    <cellStyle name="Énfasis6 4 2" xfId="805" xr:uid="{00000000-0005-0000-0000-000020030000}"/>
    <cellStyle name="Énfasis6 5" xfId="806" xr:uid="{00000000-0005-0000-0000-000021030000}"/>
    <cellStyle name="Énfasis6 5 2" xfId="807" xr:uid="{00000000-0005-0000-0000-000022030000}"/>
    <cellStyle name="Énfasis6 6" xfId="808" xr:uid="{00000000-0005-0000-0000-000023030000}"/>
    <cellStyle name="Énfasis6 6 2" xfId="809" xr:uid="{00000000-0005-0000-0000-000024030000}"/>
    <cellStyle name="Énfasis6 7" xfId="810" xr:uid="{00000000-0005-0000-0000-000025030000}"/>
    <cellStyle name="Énfasis6 7 2" xfId="811" xr:uid="{00000000-0005-0000-0000-000026030000}"/>
    <cellStyle name="Énfasis6 8" xfId="812" xr:uid="{00000000-0005-0000-0000-000027030000}"/>
    <cellStyle name="Énfasis6 8 2" xfId="813" xr:uid="{00000000-0005-0000-0000-000028030000}"/>
    <cellStyle name="Énfasis6 9" xfId="814" xr:uid="{00000000-0005-0000-0000-000029030000}"/>
    <cellStyle name="Énfasis6 9 2" xfId="815" xr:uid="{00000000-0005-0000-0000-00002A030000}"/>
    <cellStyle name="Entrada 10" xfId="817" xr:uid="{00000000-0005-0000-0000-00002B030000}"/>
    <cellStyle name="Entrada 10 2" xfId="818" xr:uid="{00000000-0005-0000-0000-00002C030000}"/>
    <cellStyle name="Entrada 11" xfId="819" xr:uid="{00000000-0005-0000-0000-00002D030000}"/>
    <cellStyle name="Entrada 11 2" xfId="820" xr:uid="{00000000-0005-0000-0000-00002E030000}"/>
    <cellStyle name="Entrada 12" xfId="821" xr:uid="{00000000-0005-0000-0000-00002F030000}"/>
    <cellStyle name="Entrada 12 2" xfId="822" xr:uid="{00000000-0005-0000-0000-000030030000}"/>
    <cellStyle name="Entrada 13" xfId="823" xr:uid="{00000000-0005-0000-0000-000031030000}"/>
    <cellStyle name="Entrada 13 2" xfId="824" xr:uid="{00000000-0005-0000-0000-000032030000}"/>
    <cellStyle name="Entrada 14" xfId="825" xr:uid="{00000000-0005-0000-0000-000033030000}"/>
    <cellStyle name="Entrada 14 2" xfId="826" xr:uid="{00000000-0005-0000-0000-000034030000}"/>
    <cellStyle name="Entrada 15" xfId="816" xr:uid="{00000000-0005-0000-0000-000035030000}"/>
    <cellStyle name="Entrada 2" xfId="827" xr:uid="{00000000-0005-0000-0000-000036030000}"/>
    <cellStyle name="Entrada 2 2" xfId="828" xr:uid="{00000000-0005-0000-0000-000037030000}"/>
    <cellStyle name="Entrada 3" xfId="829" xr:uid="{00000000-0005-0000-0000-000038030000}"/>
    <cellStyle name="Entrada 3 2" xfId="830" xr:uid="{00000000-0005-0000-0000-000039030000}"/>
    <cellStyle name="Entrada 4" xfId="831" xr:uid="{00000000-0005-0000-0000-00003A030000}"/>
    <cellStyle name="Entrada 4 2" xfId="832" xr:uid="{00000000-0005-0000-0000-00003B030000}"/>
    <cellStyle name="Entrada 5" xfId="833" xr:uid="{00000000-0005-0000-0000-00003C030000}"/>
    <cellStyle name="Entrada 5 2" xfId="834" xr:uid="{00000000-0005-0000-0000-00003D030000}"/>
    <cellStyle name="Entrada 6" xfId="835" xr:uid="{00000000-0005-0000-0000-00003E030000}"/>
    <cellStyle name="Entrada 6 2" xfId="836" xr:uid="{00000000-0005-0000-0000-00003F030000}"/>
    <cellStyle name="Entrada 7" xfId="837" xr:uid="{00000000-0005-0000-0000-000040030000}"/>
    <cellStyle name="Entrada 7 2" xfId="838" xr:uid="{00000000-0005-0000-0000-000041030000}"/>
    <cellStyle name="Entrada 8" xfId="839" xr:uid="{00000000-0005-0000-0000-000042030000}"/>
    <cellStyle name="Entrada 8 2" xfId="840" xr:uid="{00000000-0005-0000-0000-000043030000}"/>
    <cellStyle name="Entrada 9" xfId="841" xr:uid="{00000000-0005-0000-0000-000044030000}"/>
    <cellStyle name="Entrada 9 2" xfId="842" xr:uid="{00000000-0005-0000-0000-000045030000}"/>
    <cellStyle name="Explanatory Text" xfId="843" xr:uid="{00000000-0005-0000-0000-000046030000}"/>
    <cellStyle name="Good" xfId="844" xr:uid="{00000000-0005-0000-0000-000047030000}"/>
    <cellStyle name="Heading 1" xfId="845" xr:uid="{00000000-0005-0000-0000-000048030000}"/>
    <cellStyle name="Heading 2" xfId="846" xr:uid="{00000000-0005-0000-0000-000049030000}"/>
    <cellStyle name="Heading 3" xfId="847" xr:uid="{00000000-0005-0000-0000-00004A030000}"/>
    <cellStyle name="Heading 4" xfId="848" xr:uid="{00000000-0005-0000-0000-00004B030000}"/>
    <cellStyle name="Hipervínculo" xfId="1739" builtinId="8"/>
    <cellStyle name="Hipervínculo 2" xfId="1742" xr:uid="{00000000-0005-0000-0000-00004D030000}"/>
    <cellStyle name="Incorrecto 10" xfId="850" xr:uid="{00000000-0005-0000-0000-00004E030000}"/>
    <cellStyle name="Incorrecto 10 2" xfId="851" xr:uid="{00000000-0005-0000-0000-00004F030000}"/>
    <cellStyle name="Incorrecto 11" xfId="852" xr:uid="{00000000-0005-0000-0000-000050030000}"/>
    <cellStyle name="Incorrecto 11 2" xfId="853" xr:uid="{00000000-0005-0000-0000-000051030000}"/>
    <cellStyle name="Incorrecto 12" xfId="854" xr:uid="{00000000-0005-0000-0000-000052030000}"/>
    <cellStyle name="Incorrecto 12 2" xfId="855" xr:uid="{00000000-0005-0000-0000-000053030000}"/>
    <cellStyle name="Incorrecto 13" xfId="856" xr:uid="{00000000-0005-0000-0000-000054030000}"/>
    <cellStyle name="Incorrecto 13 2" xfId="857" xr:uid="{00000000-0005-0000-0000-000055030000}"/>
    <cellStyle name="Incorrecto 14" xfId="858" xr:uid="{00000000-0005-0000-0000-000056030000}"/>
    <cellStyle name="Incorrecto 14 2" xfId="859" xr:uid="{00000000-0005-0000-0000-000057030000}"/>
    <cellStyle name="Incorrecto 15" xfId="849" xr:uid="{00000000-0005-0000-0000-000058030000}"/>
    <cellStyle name="Incorrecto 2" xfId="860" xr:uid="{00000000-0005-0000-0000-000059030000}"/>
    <cellStyle name="Incorrecto 2 2" xfId="861" xr:uid="{00000000-0005-0000-0000-00005A030000}"/>
    <cellStyle name="Incorrecto 3" xfId="862" xr:uid="{00000000-0005-0000-0000-00005B030000}"/>
    <cellStyle name="Incorrecto 3 2" xfId="863" xr:uid="{00000000-0005-0000-0000-00005C030000}"/>
    <cellStyle name="Incorrecto 4" xfId="864" xr:uid="{00000000-0005-0000-0000-00005D030000}"/>
    <cellStyle name="Incorrecto 4 2" xfId="865" xr:uid="{00000000-0005-0000-0000-00005E030000}"/>
    <cellStyle name="Incorrecto 5" xfId="866" xr:uid="{00000000-0005-0000-0000-00005F030000}"/>
    <cellStyle name="Incorrecto 5 2" xfId="867" xr:uid="{00000000-0005-0000-0000-000060030000}"/>
    <cellStyle name="Incorrecto 6" xfId="868" xr:uid="{00000000-0005-0000-0000-000061030000}"/>
    <cellStyle name="Incorrecto 6 2" xfId="869" xr:uid="{00000000-0005-0000-0000-000062030000}"/>
    <cellStyle name="Incorrecto 7" xfId="870" xr:uid="{00000000-0005-0000-0000-000063030000}"/>
    <cellStyle name="Incorrecto 7 2" xfId="871" xr:uid="{00000000-0005-0000-0000-000064030000}"/>
    <cellStyle name="Incorrecto 8" xfId="872" xr:uid="{00000000-0005-0000-0000-000065030000}"/>
    <cellStyle name="Incorrecto 8 2" xfId="873" xr:uid="{00000000-0005-0000-0000-000066030000}"/>
    <cellStyle name="Incorrecto 9" xfId="874" xr:uid="{00000000-0005-0000-0000-000067030000}"/>
    <cellStyle name="Incorrecto 9 2" xfId="875" xr:uid="{00000000-0005-0000-0000-000068030000}"/>
    <cellStyle name="Input" xfId="876" xr:uid="{00000000-0005-0000-0000-000069030000}"/>
    <cellStyle name="Linked Cell" xfId="877" xr:uid="{00000000-0005-0000-0000-00006A030000}"/>
    <cellStyle name="Millares" xfId="1" builtinId="3"/>
    <cellStyle name="Millares 10" xfId="1216" xr:uid="{00000000-0005-0000-0000-00006C030000}"/>
    <cellStyle name="Millares 10 10" xfId="2014" xr:uid="{CF07FBDA-0C78-4423-B677-43C335C2F2CD}"/>
    <cellStyle name="Millares 10 11" xfId="2105" xr:uid="{330075B9-FA87-4304-BCE8-F28459AB6434}"/>
    <cellStyle name="Millares 10 12" xfId="2194" xr:uid="{309ED8B5-8BCF-4F57-A715-309E47D71D2F}"/>
    <cellStyle name="Millares 10 13" xfId="2284" xr:uid="{8F9ABAF1-5DDE-40E7-99F3-144BA4B910A5}"/>
    <cellStyle name="Millares 10 14" xfId="2373" xr:uid="{1AF67724-0244-4CA0-9D51-33E10E5557AF}"/>
    <cellStyle name="Millares 10 15" xfId="2463" xr:uid="{8C57E2A1-2867-4891-B8F1-3483781AD16F}"/>
    <cellStyle name="Millares 10 16" xfId="2552" xr:uid="{8854651B-31B7-4D51-A09F-3AF5898CB747}"/>
    <cellStyle name="Millares 10 17" xfId="2642" xr:uid="{73CD7DC2-0C6C-4BEC-8260-7AC8D6504BAE}"/>
    <cellStyle name="Millares 10 18" xfId="2732" xr:uid="{DAA07D83-8DC3-4AB3-9824-B8244D38CB71}"/>
    <cellStyle name="Millares 10 19" xfId="2822" xr:uid="{84ABBE66-B5E4-4668-A25C-3E3F780F3C3A}"/>
    <cellStyle name="Millares 10 2" xfId="1282" xr:uid="{00000000-0005-0000-0000-00006D030000}"/>
    <cellStyle name="Millares 10 2 2" xfId="3447" xr:uid="{EAF3B7C9-052E-460A-95AE-84F5D5C33C52}"/>
    <cellStyle name="Millares 10 2 3" xfId="3659" xr:uid="{B12855CF-FCE6-4C47-BB4F-55EB9FBC26BE}"/>
    <cellStyle name="Millares 10 20" xfId="2915" xr:uid="{FBBE602A-8963-44AB-BF08-DD3650E33AA5}"/>
    <cellStyle name="Millares 10 21" xfId="3009" xr:uid="{E3BF9760-5DFC-4724-A03C-2DC9303C3E5D}"/>
    <cellStyle name="Millares 10 22" xfId="3569" xr:uid="{5F59202F-4277-43A8-9D40-6A8A9778C55B}"/>
    <cellStyle name="Millares 10 3" xfId="1379" xr:uid="{00000000-0005-0000-0000-00006E030000}"/>
    <cellStyle name="Millares 10 4" xfId="1469" xr:uid="{00000000-0005-0000-0000-00006F030000}"/>
    <cellStyle name="Millares 10 5" xfId="1559" xr:uid="{00000000-0005-0000-0000-000070030000}"/>
    <cellStyle name="Millares 10 6" xfId="1650" xr:uid="{00000000-0005-0000-0000-000071030000}"/>
    <cellStyle name="Millares 10 7" xfId="1743" xr:uid="{00000000-0005-0000-0000-000072030000}"/>
    <cellStyle name="Millares 10 8" xfId="1834" xr:uid="{1C71A905-D821-4CE5-9F88-41998F9BBC44}"/>
    <cellStyle name="Millares 10 9" xfId="1925" xr:uid="{295A7098-48A1-4BCF-9B19-112F9F65D93E}"/>
    <cellStyle name="Millares 11" xfId="1220" xr:uid="{00000000-0005-0000-0000-000073030000}"/>
    <cellStyle name="Millares 11 10" xfId="2015" xr:uid="{58756788-4E48-497A-A74B-54AAC9A61350}"/>
    <cellStyle name="Millares 11 11" xfId="2106" xr:uid="{55A84581-3A32-4FB0-9534-4BAECF6CBF32}"/>
    <cellStyle name="Millares 11 12" xfId="2195" xr:uid="{8946BB70-21F6-4C87-BBCC-CC14414AD553}"/>
    <cellStyle name="Millares 11 13" xfId="2285" xr:uid="{24D72481-5DFF-40A7-8C8E-B531EBF07AE3}"/>
    <cellStyle name="Millares 11 14" xfId="2374" xr:uid="{9567AB1A-C938-40D2-AB55-D5D5FCFA2860}"/>
    <cellStyle name="Millares 11 15" xfId="2464" xr:uid="{ED402978-9356-4AC6-8C94-C2216293CB8E}"/>
    <cellStyle name="Millares 11 16" xfId="2553" xr:uid="{9BA0EC1E-94DD-4C66-BDCC-DA1B0DB3312A}"/>
    <cellStyle name="Millares 11 17" xfId="2643" xr:uid="{DFCC34BE-2F1A-41E0-952F-B53D595B42E1}"/>
    <cellStyle name="Millares 11 18" xfId="2733" xr:uid="{9047EF05-E6B0-4617-BB9F-7B7CD90C5487}"/>
    <cellStyle name="Millares 11 19" xfId="2823" xr:uid="{4033B887-139A-49DD-9780-84B41F058335}"/>
    <cellStyle name="Millares 11 2" xfId="1283" xr:uid="{00000000-0005-0000-0000-000074030000}"/>
    <cellStyle name="Millares 11 2 2" xfId="3448" xr:uid="{CFDA1C8F-E5FB-4D3F-9D58-69BA692C2682}"/>
    <cellStyle name="Millares 11 2 3" xfId="3660" xr:uid="{DE024F37-8AE1-495F-8BEA-122562B39431}"/>
    <cellStyle name="Millares 11 20" xfId="2916" xr:uid="{9580F4DF-D8A9-4BCB-BAA0-2DF9C0DA6977}"/>
    <cellStyle name="Millares 11 21" xfId="3010" xr:uid="{AEC6ECDB-C34D-460C-816E-0946B2910C34}"/>
    <cellStyle name="Millares 11 22" xfId="3570" xr:uid="{E4EC3802-EF7A-4218-BEB3-2C08DACC770B}"/>
    <cellStyle name="Millares 11 3" xfId="1380" xr:uid="{00000000-0005-0000-0000-000075030000}"/>
    <cellStyle name="Millares 11 4" xfId="1470" xr:uid="{00000000-0005-0000-0000-000076030000}"/>
    <cellStyle name="Millares 11 5" xfId="1560" xr:uid="{00000000-0005-0000-0000-000077030000}"/>
    <cellStyle name="Millares 11 6" xfId="1651" xr:uid="{00000000-0005-0000-0000-000078030000}"/>
    <cellStyle name="Millares 11 7" xfId="1744" xr:uid="{00000000-0005-0000-0000-000079030000}"/>
    <cellStyle name="Millares 11 8" xfId="1835" xr:uid="{BFBA2BAE-B8B8-4629-9CF9-3B125B9FB669}"/>
    <cellStyle name="Millares 11 9" xfId="1926" xr:uid="{E79E35BF-03FD-4912-B9D2-7476FED6285A}"/>
    <cellStyle name="Millares 12" xfId="1224" xr:uid="{00000000-0005-0000-0000-00007A030000}"/>
    <cellStyle name="Millares 12 10" xfId="2016" xr:uid="{B1A7ABE7-60B6-4E03-808A-590A672E85EF}"/>
    <cellStyle name="Millares 12 11" xfId="2107" xr:uid="{8DE0976C-E563-4F77-B9DB-5A8246D82A7B}"/>
    <cellStyle name="Millares 12 12" xfId="2196" xr:uid="{7BD41FBF-C6A6-4F47-B427-9BA04788048F}"/>
    <cellStyle name="Millares 12 13" xfId="2286" xr:uid="{D0AC0F2F-3332-4113-88E8-893CFEF475E1}"/>
    <cellStyle name="Millares 12 14" xfId="2375" xr:uid="{94A2206D-1F01-45F5-97B2-503CE08476E3}"/>
    <cellStyle name="Millares 12 15" xfId="2465" xr:uid="{86C8721A-A4C7-47DC-94EF-E41656C4AEAC}"/>
    <cellStyle name="Millares 12 16" xfId="2554" xr:uid="{0238256E-880B-4E5E-B49A-3892D9685B7B}"/>
    <cellStyle name="Millares 12 17" xfId="2644" xr:uid="{B2CB8F54-53EA-402C-8EC5-C937CD444A55}"/>
    <cellStyle name="Millares 12 18" xfId="2734" xr:uid="{5C561CEA-62CB-4B4B-9B1D-B1CC37447EEB}"/>
    <cellStyle name="Millares 12 19" xfId="2824" xr:uid="{FB51A038-5303-4DBA-8E5A-6E2394005312}"/>
    <cellStyle name="Millares 12 2" xfId="1284" xr:uid="{00000000-0005-0000-0000-00007B030000}"/>
    <cellStyle name="Millares 12 2 2" xfId="3449" xr:uid="{89D68D4F-B95F-4A58-A305-52C0210F6961}"/>
    <cellStyle name="Millares 12 2 3" xfId="3661" xr:uid="{762C569D-DFC4-4B05-9A4B-7378C33090B9}"/>
    <cellStyle name="Millares 12 20" xfId="2917" xr:uid="{11FDC657-61D5-45B1-9944-108C200D090B}"/>
    <cellStyle name="Millares 12 21" xfId="3011" xr:uid="{CC03CAC9-D0E9-476F-9530-CEA5D59F2D9D}"/>
    <cellStyle name="Millares 12 22" xfId="3571" xr:uid="{CF401F8C-AB59-4B49-85EB-76FEDFBF2598}"/>
    <cellStyle name="Millares 12 3" xfId="1381" xr:uid="{00000000-0005-0000-0000-00007C030000}"/>
    <cellStyle name="Millares 12 4" xfId="1471" xr:uid="{00000000-0005-0000-0000-00007D030000}"/>
    <cellStyle name="Millares 12 5" xfId="1561" xr:uid="{00000000-0005-0000-0000-00007E030000}"/>
    <cellStyle name="Millares 12 6" xfId="1652" xr:uid="{00000000-0005-0000-0000-00007F030000}"/>
    <cellStyle name="Millares 12 7" xfId="1745" xr:uid="{00000000-0005-0000-0000-000080030000}"/>
    <cellStyle name="Millares 12 8" xfId="1836" xr:uid="{4BB6C203-B752-45B8-B9D7-DF8E44B88420}"/>
    <cellStyle name="Millares 12 9" xfId="1927" xr:uid="{18EEFC1E-F97F-49B5-8EFA-396976B99AF0}"/>
    <cellStyle name="Millares 13" xfId="1228" xr:uid="{00000000-0005-0000-0000-000081030000}"/>
    <cellStyle name="Millares 13 10" xfId="2017" xr:uid="{67E1A243-6E85-4FB5-A7C3-61F20841C816}"/>
    <cellStyle name="Millares 13 11" xfId="2108" xr:uid="{4415D44B-F4BA-48BE-A736-8342F4B0A859}"/>
    <cellStyle name="Millares 13 12" xfId="2197" xr:uid="{89DE5E6A-F13B-4636-8E09-D5A4373B7F33}"/>
    <cellStyle name="Millares 13 13" xfId="2287" xr:uid="{E573E532-AEA8-461A-832F-EACE55EC8C8E}"/>
    <cellStyle name="Millares 13 14" xfId="2376" xr:uid="{09DF7449-36F5-4664-9D61-88EF76B38177}"/>
    <cellStyle name="Millares 13 15" xfId="2466" xr:uid="{FA91BFF0-8E28-4413-AA95-01EE926A57DB}"/>
    <cellStyle name="Millares 13 16" xfId="2555" xr:uid="{5F0FD5F2-C5FA-4128-9EC1-EAD43F4D7916}"/>
    <cellStyle name="Millares 13 17" xfId="2645" xr:uid="{0299F141-E20D-4A8B-B7A4-7828A4AA5F81}"/>
    <cellStyle name="Millares 13 18" xfId="2735" xr:uid="{075AB611-9C90-4060-8F2A-55AA222ED1E9}"/>
    <cellStyle name="Millares 13 19" xfId="2825" xr:uid="{DC66E1AC-536F-41D1-8F57-C3FB92D8DD25}"/>
    <cellStyle name="Millares 13 2" xfId="1285" xr:uid="{00000000-0005-0000-0000-000082030000}"/>
    <cellStyle name="Millares 13 2 2" xfId="3450" xr:uid="{8D5556B2-7CE5-4E5F-95B9-E6AFBC0BF5E1}"/>
    <cellStyle name="Millares 13 2 3" xfId="3662" xr:uid="{65E72592-FCF3-433B-B98A-E7032AC47666}"/>
    <cellStyle name="Millares 13 20" xfId="2918" xr:uid="{D06BEFBC-AF3F-4ED7-AA8B-4AAED6C64729}"/>
    <cellStyle name="Millares 13 21" xfId="3012" xr:uid="{01E70150-B5F2-44B7-B1FE-099236EF96AD}"/>
    <cellStyle name="Millares 13 22" xfId="3572" xr:uid="{5C5DC36D-F8D6-4EF5-9127-F16F7DB2D479}"/>
    <cellStyle name="Millares 13 3" xfId="1382" xr:uid="{00000000-0005-0000-0000-000083030000}"/>
    <cellStyle name="Millares 13 4" xfId="1472" xr:uid="{00000000-0005-0000-0000-000084030000}"/>
    <cellStyle name="Millares 13 5" xfId="1562" xr:uid="{00000000-0005-0000-0000-000085030000}"/>
    <cellStyle name="Millares 13 6" xfId="1653" xr:uid="{00000000-0005-0000-0000-000086030000}"/>
    <cellStyle name="Millares 13 7" xfId="1746" xr:uid="{00000000-0005-0000-0000-000087030000}"/>
    <cellStyle name="Millares 13 8" xfId="1837" xr:uid="{529133E0-53C1-475D-8DC2-B54F6C1770E5}"/>
    <cellStyle name="Millares 13 9" xfId="1928" xr:uid="{07AD6C38-E16E-4BE3-8E4E-3B73CFDD08B3}"/>
    <cellStyle name="Millares 14" xfId="1232" xr:uid="{00000000-0005-0000-0000-000088030000}"/>
    <cellStyle name="Millares 14 10" xfId="2018" xr:uid="{0A65F1B6-7005-44DA-B070-2DCD5FCB6CD7}"/>
    <cellStyle name="Millares 14 11" xfId="2109" xr:uid="{1AE7B405-BAFF-4D1C-AEBC-4D8111393205}"/>
    <cellStyle name="Millares 14 12" xfId="2198" xr:uid="{1BD4142F-29B3-45DD-A1B0-4D3B49707B00}"/>
    <cellStyle name="Millares 14 13" xfId="2288" xr:uid="{E3E198B4-AC1D-4D6E-8EEF-14A86F3312E7}"/>
    <cellStyle name="Millares 14 14" xfId="2377" xr:uid="{17B6FA93-927D-45C2-9D0F-F7AED5B8311A}"/>
    <cellStyle name="Millares 14 15" xfId="2467" xr:uid="{B562E461-45D6-46BC-81C1-6F0698F01B04}"/>
    <cellStyle name="Millares 14 16" xfId="2556" xr:uid="{2E6B7E66-5E70-4090-BD3C-6437C6D24F7B}"/>
    <cellStyle name="Millares 14 17" xfId="2646" xr:uid="{18CDFED1-1653-4BA0-AE2E-52604E2D6C0A}"/>
    <cellStyle name="Millares 14 18" xfId="2736" xr:uid="{D51EC86C-E9A6-4826-81EC-EF54BCAF0EF9}"/>
    <cellStyle name="Millares 14 19" xfId="2826" xr:uid="{1A0370D0-50D0-4564-BA91-302562B858EC}"/>
    <cellStyle name="Millares 14 2" xfId="1286" xr:uid="{00000000-0005-0000-0000-000089030000}"/>
    <cellStyle name="Millares 14 2 2" xfId="3451" xr:uid="{995BA8D5-4042-4604-A9C5-1C3EBFEF14CF}"/>
    <cellStyle name="Millares 14 2 3" xfId="3663" xr:uid="{CAC81B63-204A-42D4-820D-D65D22597140}"/>
    <cellStyle name="Millares 14 20" xfId="2919" xr:uid="{AC8173BC-02D8-480E-96CD-34000302DBE1}"/>
    <cellStyle name="Millares 14 21" xfId="3013" xr:uid="{BCCF4D7B-3682-426F-B134-19FE968E7969}"/>
    <cellStyle name="Millares 14 22" xfId="3573" xr:uid="{5EB47D8D-78B4-4109-858F-9DBB9AD2132A}"/>
    <cellStyle name="Millares 14 3" xfId="1383" xr:uid="{00000000-0005-0000-0000-00008A030000}"/>
    <cellStyle name="Millares 14 4" xfId="1473" xr:uid="{00000000-0005-0000-0000-00008B030000}"/>
    <cellStyle name="Millares 14 5" xfId="1563" xr:uid="{00000000-0005-0000-0000-00008C030000}"/>
    <cellStyle name="Millares 14 6" xfId="1654" xr:uid="{00000000-0005-0000-0000-00008D030000}"/>
    <cellStyle name="Millares 14 7" xfId="1747" xr:uid="{00000000-0005-0000-0000-00008E030000}"/>
    <cellStyle name="Millares 14 8" xfId="1838" xr:uid="{8FF223FD-FB94-4181-9307-A39D2488C6AF}"/>
    <cellStyle name="Millares 14 9" xfId="1929" xr:uid="{31A96780-7585-44D8-8F78-C0A8E2564A6B}"/>
    <cellStyle name="Millares 15" xfId="1236" xr:uid="{00000000-0005-0000-0000-00008F030000}"/>
    <cellStyle name="Millares 15 10" xfId="2019" xr:uid="{68187CD5-68CB-4685-90E5-C1DDB683188B}"/>
    <cellStyle name="Millares 15 11" xfId="2110" xr:uid="{3AD872B5-23B8-47EB-9486-FD1E9A0FA3BF}"/>
    <cellStyle name="Millares 15 12" xfId="2199" xr:uid="{609B1864-1C46-4576-A89E-B20C46F1854F}"/>
    <cellStyle name="Millares 15 13" xfId="2289" xr:uid="{C25E6D79-9AEC-4426-A4B0-CCEAE257AA7B}"/>
    <cellStyle name="Millares 15 14" xfId="2378" xr:uid="{1F353F1C-C365-49CF-BB76-9B3932DFD662}"/>
    <cellStyle name="Millares 15 15" xfId="2468" xr:uid="{6766C19F-839A-47E3-A531-A74A2F24B9E1}"/>
    <cellStyle name="Millares 15 16" xfId="2557" xr:uid="{C53AC327-ACC6-44EF-9FF7-C95C2B281E1B}"/>
    <cellStyle name="Millares 15 17" xfId="2647" xr:uid="{57AFB147-AC87-4070-A5C3-1CE0273DCE9A}"/>
    <cellStyle name="Millares 15 18" xfId="2737" xr:uid="{5FF221AE-9B32-4643-9FAB-758FB6BAF6A2}"/>
    <cellStyle name="Millares 15 19" xfId="2827" xr:uid="{080D60EB-71DD-45EB-BF15-52AE4F74CB0D}"/>
    <cellStyle name="Millares 15 2" xfId="1287" xr:uid="{00000000-0005-0000-0000-000090030000}"/>
    <cellStyle name="Millares 15 2 2" xfId="3452" xr:uid="{96CB46F3-A619-46DE-A130-8F32CD7D4354}"/>
    <cellStyle name="Millares 15 2 3" xfId="3664" xr:uid="{CFF2F98E-CD57-4FCC-9366-B953600E1E4C}"/>
    <cellStyle name="Millares 15 20" xfId="2920" xr:uid="{9393BC5B-059E-45B1-B3EA-CC607D908042}"/>
    <cellStyle name="Millares 15 21" xfId="3014" xr:uid="{81EC7D68-99BB-4F79-8B86-27A0F22F08C0}"/>
    <cellStyle name="Millares 15 22" xfId="3574" xr:uid="{F1ED8A88-942D-4B98-AB96-DD1C04C2BFC8}"/>
    <cellStyle name="Millares 15 3" xfId="1384" xr:uid="{00000000-0005-0000-0000-000091030000}"/>
    <cellStyle name="Millares 15 4" xfId="1474" xr:uid="{00000000-0005-0000-0000-000092030000}"/>
    <cellStyle name="Millares 15 5" xfId="1564" xr:uid="{00000000-0005-0000-0000-000093030000}"/>
    <cellStyle name="Millares 15 6" xfId="1655" xr:uid="{00000000-0005-0000-0000-000094030000}"/>
    <cellStyle name="Millares 15 7" xfId="1748" xr:uid="{00000000-0005-0000-0000-000095030000}"/>
    <cellStyle name="Millares 15 8" xfId="1839" xr:uid="{6DDF9DB4-A794-4A0A-9537-768B86E7B4D7}"/>
    <cellStyle name="Millares 15 9" xfId="1930" xr:uid="{D371ED07-DF98-4D42-B22D-288A79346B99}"/>
    <cellStyle name="Millares 16" xfId="1241" xr:uid="{00000000-0005-0000-0000-000096030000}"/>
    <cellStyle name="Millares 16 10" xfId="2020" xr:uid="{FCD688DA-9571-4FA8-9999-3090A4A98FF2}"/>
    <cellStyle name="Millares 16 11" xfId="2111" xr:uid="{60A08D00-C233-4D9A-8D88-5346B7F25091}"/>
    <cellStyle name="Millares 16 12" xfId="2200" xr:uid="{80B3E406-EFF0-4F06-90F2-753A90293E29}"/>
    <cellStyle name="Millares 16 13" xfId="2290" xr:uid="{FC96C34A-B9AD-4101-8299-24CFFFB70C7D}"/>
    <cellStyle name="Millares 16 14" xfId="2379" xr:uid="{FF142759-2CD7-43B3-9161-AC283FADB0F3}"/>
    <cellStyle name="Millares 16 15" xfId="2469" xr:uid="{A3601A1D-8B3C-4FE7-9624-46B2F74F5643}"/>
    <cellStyle name="Millares 16 16" xfId="2558" xr:uid="{48CC26F0-A9C7-4AE5-99F4-F85D7184EF33}"/>
    <cellStyle name="Millares 16 17" xfId="2648" xr:uid="{60B5EF70-C63F-4E47-BB72-21F8018241F1}"/>
    <cellStyle name="Millares 16 18" xfId="2738" xr:uid="{F0969D27-D258-4460-A05D-9E64FE925926}"/>
    <cellStyle name="Millares 16 19" xfId="2828" xr:uid="{F23AFDAD-92C7-4A30-944A-166E23458BF8}"/>
    <cellStyle name="Millares 16 2" xfId="1288" xr:uid="{00000000-0005-0000-0000-000097030000}"/>
    <cellStyle name="Millares 16 2 2" xfId="3453" xr:uid="{DA897432-98C1-41D2-A6B2-E706541B235A}"/>
    <cellStyle name="Millares 16 2 3" xfId="3665" xr:uid="{1F56BBFE-34FC-422F-8F48-4D069448D642}"/>
    <cellStyle name="Millares 16 20" xfId="2921" xr:uid="{72D0D3D5-9C42-4F4C-A956-2756F8FBB523}"/>
    <cellStyle name="Millares 16 21" xfId="3015" xr:uid="{F72B87E9-60AA-4878-B2F7-CADC74385AF0}"/>
    <cellStyle name="Millares 16 22" xfId="3575" xr:uid="{0805471E-A669-4783-AABD-21C00E2CA452}"/>
    <cellStyle name="Millares 16 3" xfId="1385" xr:uid="{00000000-0005-0000-0000-000098030000}"/>
    <cellStyle name="Millares 16 4" xfId="1475" xr:uid="{00000000-0005-0000-0000-000099030000}"/>
    <cellStyle name="Millares 16 5" xfId="1565" xr:uid="{00000000-0005-0000-0000-00009A030000}"/>
    <cellStyle name="Millares 16 6" xfId="1656" xr:uid="{00000000-0005-0000-0000-00009B030000}"/>
    <cellStyle name="Millares 16 7" xfId="1749" xr:uid="{00000000-0005-0000-0000-00009C030000}"/>
    <cellStyle name="Millares 16 8" xfId="1840" xr:uid="{AB6C58D7-C669-4EEF-8FEC-2B2BD55A2F38}"/>
    <cellStyle name="Millares 16 9" xfId="1931" xr:uid="{BD5B6A65-4975-4B41-AD54-001D3C836E81}"/>
    <cellStyle name="Millares 17" xfId="1246" xr:uid="{00000000-0005-0000-0000-00009D030000}"/>
    <cellStyle name="Millares 17 10" xfId="2021" xr:uid="{C4305BA7-7A9F-4C11-8DD3-8C87FADF5272}"/>
    <cellStyle name="Millares 17 11" xfId="2112" xr:uid="{A4BBF681-6869-46C8-B3B0-E383080A8B72}"/>
    <cellStyle name="Millares 17 12" xfId="2201" xr:uid="{FF6B1571-6CC0-4A1A-993B-96231054CD87}"/>
    <cellStyle name="Millares 17 13" xfId="2291" xr:uid="{6C78A7DC-4CA9-4DB6-AEA5-1B62E009A8B0}"/>
    <cellStyle name="Millares 17 14" xfId="2380" xr:uid="{FBDFA324-B347-4D9A-9A22-042CDE0B0BDE}"/>
    <cellStyle name="Millares 17 15" xfId="2470" xr:uid="{9555A020-A34A-4FF3-A0FA-F419DD2B58CE}"/>
    <cellStyle name="Millares 17 16" xfId="2559" xr:uid="{F31623F4-57CD-464A-B5AB-B9ECCA28B173}"/>
    <cellStyle name="Millares 17 17" xfId="2649" xr:uid="{71A14748-AA19-4F39-B171-AB1C4FE7AD0F}"/>
    <cellStyle name="Millares 17 18" xfId="2739" xr:uid="{D01D4232-ECB5-4F03-B93C-F690A98D3F99}"/>
    <cellStyle name="Millares 17 19" xfId="2829" xr:uid="{2EA311F6-7DD4-4946-9EEC-EF5430B1428A}"/>
    <cellStyle name="Millares 17 2" xfId="1289" xr:uid="{00000000-0005-0000-0000-00009E030000}"/>
    <cellStyle name="Millares 17 2 2" xfId="3454" xr:uid="{E1574025-870D-4E50-8E66-7B82C2DC37CB}"/>
    <cellStyle name="Millares 17 2 3" xfId="3666" xr:uid="{0A9A3886-43FD-4817-A71B-71D170006913}"/>
    <cellStyle name="Millares 17 20" xfId="2922" xr:uid="{042FEDA2-731C-407C-86FC-AA17B21E8A05}"/>
    <cellStyle name="Millares 17 21" xfId="3016" xr:uid="{1B81F8C3-15E2-4037-9391-8A0CD5BA446B}"/>
    <cellStyle name="Millares 17 22" xfId="3576" xr:uid="{B271EA44-F69F-4174-ADD6-699DBEC3A08A}"/>
    <cellStyle name="Millares 17 3" xfId="1386" xr:uid="{00000000-0005-0000-0000-00009F030000}"/>
    <cellStyle name="Millares 17 4" xfId="1476" xr:uid="{00000000-0005-0000-0000-0000A0030000}"/>
    <cellStyle name="Millares 17 5" xfId="1566" xr:uid="{00000000-0005-0000-0000-0000A1030000}"/>
    <cellStyle name="Millares 17 6" xfId="1657" xr:uid="{00000000-0005-0000-0000-0000A2030000}"/>
    <cellStyle name="Millares 17 7" xfId="1750" xr:uid="{00000000-0005-0000-0000-0000A3030000}"/>
    <cellStyle name="Millares 17 8" xfId="1841" xr:uid="{5A1D07F0-5B04-49ED-9A95-8B4385893A36}"/>
    <cellStyle name="Millares 17 9" xfId="1932" xr:uid="{27D709B2-76DD-4130-8D11-AC7936B42053}"/>
    <cellStyle name="Millares 18" xfId="1251" xr:uid="{00000000-0005-0000-0000-0000A4030000}"/>
    <cellStyle name="Millares 18 10" xfId="2022" xr:uid="{BB67D489-BB67-4410-A31A-10571A87B1E8}"/>
    <cellStyle name="Millares 18 11" xfId="2113" xr:uid="{EB8186AA-36F5-4B16-9DC5-CDA6A39D4E1F}"/>
    <cellStyle name="Millares 18 12" xfId="2202" xr:uid="{F948A163-1989-49CB-9AA1-9E0CEA96D504}"/>
    <cellStyle name="Millares 18 13" xfId="2292" xr:uid="{7643400C-A7A4-40C1-AFD7-E47850C5EECD}"/>
    <cellStyle name="Millares 18 14" xfId="2381" xr:uid="{CB2887EA-4355-4EA2-AD10-B6713915FDA9}"/>
    <cellStyle name="Millares 18 15" xfId="2471" xr:uid="{3C83CB37-4813-4AC1-B773-E12767CF78A4}"/>
    <cellStyle name="Millares 18 16" xfId="2560" xr:uid="{B7D8302C-6BE7-44A9-AAC5-019614F6B7E9}"/>
    <cellStyle name="Millares 18 17" xfId="2650" xr:uid="{AE18B953-BB09-419B-970B-4F1CDA42F087}"/>
    <cellStyle name="Millares 18 18" xfId="2740" xr:uid="{328A64A5-146F-404C-862C-2B49D3661D5B}"/>
    <cellStyle name="Millares 18 19" xfId="2830" xr:uid="{29ACFF8B-3372-45A5-A0AE-D1BFE85DAA09}"/>
    <cellStyle name="Millares 18 2" xfId="1290" xr:uid="{00000000-0005-0000-0000-0000A5030000}"/>
    <cellStyle name="Millares 18 2 2" xfId="3455" xr:uid="{CD59E236-9525-4A7A-86A5-B79301E68EB5}"/>
    <cellStyle name="Millares 18 2 3" xfId="3667" xr:uid="{E4953646-4B81-4D31-B8CF-530D5D99BCFB}"/>
    <cellStyle name="Millares 18 20" xfId="2923" xr:uid="{C295B189-D23B-4AEF-A546-9825660635AF}"/>
    <cellStyle name="Millares 18 21" xfId="3017" xr:uid="{9CFDC85D-C081-47B5-9CB2-271E299B219D}"/>
    <cellStyle name="Millares 18 22" xfId="3577" xr:uid="{026D4892-51D1-44CA-82E9-210AE913E995}"/>
    <cellStyle name="Millares 18 3" xfId="1387" xr:uid="{00000000-0005-0000-0000-0000A6030000}"/>
    <cellStyle name="Millares 18 4" xfId="1477" xr:uid="{00000000-0005-0000-0000-0000A7030000}"/>
    <cellStyle name="Millares 18 5" xfId="1567" xr:uid="{00000000-0005-0000-0000-0000A8030000}"/>
    <cellStyle name="Millares 18 6" xfId="1658" xr:uid="{00000000-0005-0000-0000-0000A9030000}"/>
    <cellStyle name="Millares 18 7" xfId="1751" xr:uid="{00000000-0005-0000-0000-0000AA030000}"/>
    <cellStyle name="Millares 18 8" xfId="1842" xr:uid="{FDA16A86-7843-4F67-86D8-FE56E8C4A211}"/>
    <cellStyle name="Millares 18 9" xfId="1933" xr:uid="{43A3DB5D-7249-4714-984A-F7529B018570}"/>
    <cellStyle name="Millares 19" xfId="1256" xr:uid="{00000000-0005-0000-0000-0000AB030000}"/>
    <cellStyle name="Millares 19 10" xfId="2023" xr:uid="{6A90BDCE-26E8-4BB7-80B9-F9A13821461E}"/>
    <cellStyle name="Millares 19 11" xfId="2114" xr:uid="{19AC9F52-B6EC-4FDB-946A-764CABC2A120}"/>
    <cellStyle name="Millares 19 12" xfId="2203" xr:uid="{B6FE3767-355C-48A2-991D-51621C121358}"/>
    <cellStyle name="Millares 19 13" xfId="2293" xr:uid="{5F276A5F-92A9-491F-BAAC-A04C191FDDAE}"/>
    <cellStyle name="Millares 19 14" xfId="2382" xr:uid="{4CA4C36B-C062-4135-80DF-C3F4B567E694}"/>
    <cellStyle name="Millares 19 15" xfId="2472" xr:uid="{05B8D268-69A4-4D98-BEF2-3E77670E2A29}"/>
    <cellStyle name="Millares 19 16" xfId="2561" xr:uid="{2A8E5CD0-778D-4C9D-860A-35DA750CFD40}"/>
    <cellStyle name="Millares 19 17" xfId="2651" xr:uid="{D3D342C0-AF28-490B-951D-474A9FD557D6}"/>
    <cellStyle name="Millares 19 18" xfId="2741" xr:uid="{14ECB599-7223-4918-A6FB-19204C0B10EE}"/>
    <cellStyle name="Millares 19 19" xfId="2831" xr:uid="{646B13DD-0934-4EF0-90D1-4E45D02A4A09}"/>
    <cellStyle name="Millares 19 2" xfId="1291" xr:uid="{00000000-0005-0000-0000-0000AC030000}"/>
    <cellStyle name="Millares 19 2 2" xfId="3456" xr:uid="{88AE02FA-DEBC-4D2F-9E03-EF196C2638F4}"/>
    <cellStyle name="Millares 19 2 3" xfId="3668" xr:uid="{F069421D-AAE3-453F-B5E6-4C3922317666}"/>
    <cellStyle name="Millares 19 20" xfId="2924" xr:uid="{36F2FF98-5DE6-4497-9872-D681D8CA7F05}"/>
    <cellStyle name="Millares 19 21" xfId="3018" xr:uid="{C80DAE96-C886-4617-9336-D9745A14F3D9}"/>
    <cellStyle name="Millares 19 22" xfId="3578" xr:uid="{1E819BAC-3B8D-423F-AF51-FE98DFAC41AE}"/>
    <cellStyle name="Millares 19 3" xfId="1388" xr:uid="{00000000-0005-0000-0000-0000AD030000}"/>
    <cellStyle name="Millares 19 4" xfId="1478" xr:uid="{00000000-0005-0000-0000-0000AE030000}"/>
    <cellStyle name="Millares 19 5" xfId="1568" xr:uid="{00000000-0005-0000-0000-0000AF030000}"/>
    <cellStyle name="Millares 19 6" xfId="1659" xr:uid="{00000000-0005-0000-0000-0000B0030000}"/>
    <cellStyle name="Millares 19 7" xfId="1752" xr:uid="{00000000-0005-0000-0000-0000B1030000}"/>
    <cellStyle name="Millares 19 8" xfId="1843" xr:uid="{20A817A7-BB4F-41BC-900E-948521855654}"/>
    <cellStyle name="Millares 19 9" xfId="1934" xr:uid="{99D1F936-F76E-4EC9-9379-5631B5A51C4F}"/>
    <cellStyle name="Millares 2" xfId="879" xr:uid="{00000000-0005-0000-0000-0000B2030000}"/>
    <cellStyle name="Millares 2 10" xfId="1225" xr:uid="{00000000-0005-0000-0000-0000B3030000}"/>
    <cellStyle name="Millares 2 10 10" xfId="2025" xr:uid="{71BE5D9E-9B50-4809-897F-2B6C79DE8F2D}"/>
    <cellStyle name="Millares 2 10 11" xfId="2116" xr:uid="{EAF42174-2F3E-46CF-98C7-098EE60EA803}"/>
    <cellStyle name="Millares 2 10 12" xfId="2205" xr:uid="{3BD770A0-1095-49D2-84E7-8D7E1CEE5EF0}"/>
    <cellStyle name="Millares 2 10 13" xfId="2295" xr:uid="{60E67F0C-C146-4BDD-90D1-B0422F791E21}"/>
    <cellStyle name="Millares 2 10 14" xfId="2384" xr:uid="{C2213417-8734-481B-B707-C57EEB090CB9}"/>
    <cellStyle name="Millares 2 10 15" xfId="2474" xr:uid="{59DCB6A6-6831-4C39-930D-1C23A5491E58}"/>
    <cellStyle name="Millares 2 10 16" xfId="2563" xr:uid="{2E5BB06B-DDCB-45AF-BA25-30F5644EFDA5}"/>
    <cellStyle name="Millares 2 10 17" xfId="2653" xr:uid="{CAEED580-8EDF-4CEE-9AEA-CFA1550F05A1}"/>
    <cellStyle name="Millares 2 10 18" xfId="2743" xr:uid="{8E5AB939-5628-4444-9B15-68FA3AAEBEA8}"/>
    <cellStyle name="Millares 2 10 19" xfId="2833" xr:uid="{82C0751E-4371-4877-B14F-17C538311CAA}"/>
    <cellStyle name="Millares 2 10 2" xfId="1293" xr:uid="{00000000-0005-0000-0000-0000B4030000}"/>
    <cellStyle name="Millares 2 10 2 2" xfId="3458" xr:uid="{F525A098-79E1-4337-824A-72D6E4E2D195}"/>
    <cellStyle name="Millares 2 10 2 3" xfId="3670" xr:uid="{D3E69FFC-CD05-41B6-90ED-D72505CE37D2}"/>
    <cellStyle name="Millares 2 10 20" xfId="2926" xr:uid="{CF7A9CCE-4FC7-4F35-B37B-BF9B872D9A14}"/>
    <cellStyle name="Millares 2 10 21" xfId="3020" xr:uid="{98CA58DA-9BA2-4CC0-B94A-15DF8079596A}"/>
    <cellStyle name="Millares 2 10 22" xfId="3580" xr:uid="{DB5BEDCF-6782-492F-AE30-07BB72F283E7}"/>
    <cellStyle name="Millares 2 10 3" xfId="1390" xr:uid="{00000000-0005-0000-0000-0000B5030000}"/>
    <cellStyle name="Millares 2 10 4" xfId="1480" xr:uid="{00000000-0005-0000-0000-0000B6030000}"/>
    <cellStyle name="Millares 2 10 5" xfId="1570" xr:uid="{00000000-0005-0000-0000-0000B7030000}"/>
    <cellStyle name="Millares 2 10 6" xfId="1661" xr:uid="{00000000-0005-0000-0000-0000B8030000}"/>
    <cellStyle name="Millares 2 10 7" xfId="1754" xr:uid="{00000000-0005-0000-0000-0000B9030000}"/>
    <cellStyle name="Millares 2 10 8" xfId="1845" xr:uid="{E5F83835-FA4C-4E88-BDD3-FD070BE62967}"/>
    <cellStyle name="Millares 2 10 9" xfId="1936" xr:uid="{3D05080E-D3F5-409B-9DB0-45F945304903}"/>
    <cellStyle name="Millares 2 11" xfId="1229" xr:uid="{00000000-0005-0000-0000-0000BA030000}"/>
    <cellStyle name="Millares 2 11 10" xfId="2026" xr:uid="{0310A74B-7AFE-44B4-81F4-921B504C03C8}"/>
    <cellStyle name="Millares 2 11 11" xfId="2117" xr:uid="{4BBA0FEB-FAF6-40A0-83EF-49EA6F274EFC}"/>
    <cellStyle name="Millares 2 11 12" xfId="2206" xr:uid="{C460EB9C-FDB8-4772-8F5B-70572BED1203}"/>
    <cellStyle name="Millares 2 11 13" xfId="2296" xr:uid="{87837AA9-8C79-411B-939E-308473279430}"/>
    <cellStyle name="Millares 2 11 14" xfId="2385" xr:uid="{8749D2A6-FC17-4D93-84AD-B4A8DD9F89D7}"/>
    <cellStyle name="Millares 2 11 15" xfId="2475" xr:uid="{4C45A512-2EE1-443F-9631-3395B6C8E5FE}"/>
    <cellStyle name="Millares 2 11 16" xfId="2564" xr:uid="{E8CF2C9A-041F-4453-B705-2A636A65E559}"/>
    <cellStyle name="Millares 2 11 17" xfId="2654" xr:uid="{EA7E3129-19DA-433D-BF94-E1B643A5C64B}"/>
    <cellStyle name="Millares 2 11 18" xfId="2744" xr:uid="{DE4E5842-8B25-450E-A8C1-6D1E4F4B5C44}"/>
    <cellStyle name="Millares 2 11 19" xfId="2834" xr:uid="{7A96CCA9-3FC6-4CBC-811C-DE9B5499BCE9}"/>
    <cellStyle name="Millares 2 11 2" xfId="1294" xr:uid="{00000000-0005-0000-0000-0000BB030000}"/>
    <cellStyle name="Millares 2 11 2 2" xfId="3459" xr:uid="{ED16A0AE-3445-43AF-AA0E-EF38BD11140F}"/>
    <cellStyle name="Millares 2 11 2 3" xfId="3671" xr:uid="{8B05AA77-8E2F-440F-9783-C6CCE8841AA9}"/>
    <cellStyle name="Millares 2 11 20" xfId="2927" xr:uid="{36BAD128-A537-43EA-ADFA-7CD1D555A6C9}"/>
    <cellStyle name="Millares 2 11 21" xfId="3021" xr:uid="{37683430-387E-4F15-BE77-DF57F4353A9D}"/>
    <cellStyle name="Millares 2 11 22" xfId="3581" xr:uid="{9FF6288F-A9A8-4CA4-A8B0-5ACD3F2EE4B2}"/>
    <cellStyle name="Millares 2 11 3" xfId="1391" xr:uid="{00000000-0005-0000-0000-0000BC030000}"/>
    <cellStyle name="Millares 2 11 4" xfId="1481" xr:uid="{00000000-0005-0000-0000-0000BD030000}"/>
    <cellStyle name="Millares 2 11 5" xfId="1571" xr:uid="{00000000-0005-0000-0000-0000BE030000}"/>
    <cellStyle name="Millares 2 11 6" xfId="1662" xr:uid="{00000000-0005-0000-0000-0000BF030000}"/>
    <cellStyle name="Millares 2 11 7" xfId="1755" xr:uid="{00000000-0005-0000-0000-0000C0030000}"/>
    <cellStyle name="Millares 2 11 8" xfId="1846" xr:uid="{81474BD2-5C85-4B2B-BC60-0BA9F7D34FC3}"/>
    <cellStyle name="Millares 2 11 9" xfId="1937" xr:uid="{A9F5344E-57A1-495E-B82B-C5453F8FF68B}"/>
    <cellStyle name="Millares 2 12" xfId="1233" xr:uid="{00000000-0005-0000-0000-0000C1030000}"/>
    <cellStyle name="Millares 2 12 10" xfId="2027" xr:uid="{DB063991-2C8E-4FE1-8F7A-B6837727746A}"/>
    <cellStyle name="Millares 2 12 11" xfId="2118" xr:uid="{ACD7149C-05A1-4CBB-8A82-AF3FC5F8C0E5}"/>
    <cellStyle name="Millares 2 12 12" xfId="2207" xr:uid="{B7C54AE0-FAB1-4C71-846A-A33A91C7CD66}"/>
    <cellStyle name="Millares 2 12 13" xfId="2297" xr:uid="{DC04B7F2-772F-4AEF-85F1-2D97D882428C}"/>
    <cellStyle name="Millares 2 12 14" xfId="2386" xr:uid="{E7ED0EB3-7BA2-431D-AF52-ABA77D917170}"/>
    <cellStyle name="Millares 2 12 15" xfId="2476" xr:uid="{D2E1FD2A-1BE9-4A3D-A726-A774574D1AA3}"/>
    <cellStyle name="Millares 2 12 16" xfId="2565" xr:uid="{E9AC3689-547E-4222-808F-77720213C7CB}"/>
    <cellStyle name="Millares 2 12 17" xfId="2655" xr:uid="{97A9DFC6-7B2F-48B6-BD13-0D493D4E7D95}"/>
    <cellStyle name="Millares 2 12 18" xfId="2745" xr:uid="{C709AC51-4797-466D-BB14-5C4D3F1D9D84}"/>
    <cellStyle name="Millares 2 12 19" xfId="2835" xr:uid="{1AA93215-D727-4737-8FE7-E94AF3F39EBB}"/>
    <cellStyle name="Millares 2 12 2" xfId="1295" xr:uid="{00000000-0005-0000-0000-0000C2030000}"/>
    <cellStyle name="Millares 2 12 2 2" xfId="3460" xr:uid="{34940FF5-4C2F-4544-A1D4-42E77C8373FB}"/>
    <cellStyle name="Millares 2 12 2 3" xfId="3672" xr:uid="{0B54043C-D36F-4349-A0A2-8FC05A2FE966}"/>
    <cellStyle name="Millares 2 12 20" xfId="2928" xr:uid="{F18B135B-6527-47CC-A926-040BA2DCFFB8}"/>
    <cellStyle name="Millares 2 12 21" xfId="3022" xr:uid="{B27A02EA-FC54-4220-BB53-C2B3ADE5A582}"/>
    <cellStyle name="Millares 2 12 22" xfId="3582" xr:uid="{C3F63D79-E041-40FC-9123-068469A49811}"/>
    <cellStyle name="Millares 2 12 3" xfId="1392" xr:uid="{00000000-0005-0000-0000-0000C3030000}"/>
    <cellStyle name="Millares 2 12 4" xfId="1482" xr:uid="{00000000-0005-0000-0000-0000C4030000}"/>
    <cellStyle name="Millares 2 12 5" xfId="1572" xr:uid="{00000000-0005-0000-0000-0000C5030000}"/>
    <cellStyle name="Millares 2 12 6" xfId="1663" xr:uid="{00000000-0005-0000-0000-0000C6030000}"/>
    <cellStyle name="Millares 2 12 7" xfId="1756" xr:uid="{00000000-0005-0000-0000-0000C7030000}"/>
    <cellStyle name="Millares 2 12 8" xfId="1847" xr:uid="{7C8A68CC-3680-4B7E-8601-7BE1013E475B}"/>
    <cellStyle name="Millares 2 12 9" xfId="1938" xr:uid="{320BDD3F-E4F8-48A6-A263-39F94B2B2AF9}"/>
    <cellStyle name="Millares 2 13" xfId="1237" xr:uid="{00000000-0005-0000-0000-0000C8030000}"/>
    <cellStyle name="Millares 2 13 10" xfId="2028" xr:uid="{BB34EC71-C9F4-4FD9-A6FD-1644A287031D}"/>
    <cellStyle name="Millares 2 13 11" xfId="2119" xr:uid="{99E3F14B-B228-45B8-93A2-3C93C8A35721}"/>
    <cellStyle name="Millares 2 13 12" xfId="2208" xr:uid="{9231689E-62E6-448D-AFB9-90E2320989E5}"/>
    <cellStyle name="Millares 2 13 13" xfId="2298" xr:uid="{5885E42A-729D-42A1-8D53-1561825F7E72}"/>
    <cellStyle name="Millares 2 13 14" xfId="2387" xr:uid="{BD3F2ABB-CA01-4420-BFF1-B6DA3BE4D85A}"/>
    <cellStyle name="Millares 2 13 15" xfId="2477" xr:uid="{67BD30CE-39E5-4991-9C30-5C8A42E4F22A}"/>
    <cellStyle name="Millares 2 13 16" xfId="2566" xr:uid="{B80B12EE-2097-425B-8B31-44BA1C7B1E3D}"/>
    <cellStyle name="Millares 2 13 17" xfId="2656" xr:uid="{0BB53DD0-3742-4E47-BD24-1D042A7BCF0F}"/>
    <cellStyle name="Millares 2 13 18" xfId="2746" xr:uid="{CA50595D-FBF8-401C-A4A4-80FDCA200400}"/>
    <cellStyle name="Millares 2 13 19" xfId="2836" xr:uid="{9D1199AE-0274-4AC8-8FDE-175A6BCF4E3A}"/>
    <cellStyle name="Millares 2 13 2" xfId="1296" xr:uid="{00000000-0005-0000-0000-0000C9030000}"/>
    <cellStyle name="Millares 2 13 2 2" xfId="3461" xr:uid="{B1181F7C-1363-4581-A8A4-9AD459D35B70}"/>
    <cellStyle name="Millares 2 13 2 3" xfId="3673" xr:uid="{87C2176C-04C1-4E0F-8EC8-E1F1C8092973}"/>
    <cellStyle name="Millares 2 13 20" xfId="2929" xr:uid="{2649117E-AFAC-4BB4-B80F-2EB347402724}"/>
    <cellStyle name="Millares 2 13 21" xfId="3023" xr:uid="{64ACABCF-D74D-4120-B1F3-9330EE70EA3E}"/>
    <cellStyle name="Millares 2 13 22" xfId="3583" xr:uid="{AFC3BD15-F2A4-4329-81DA-70A54C10F07C}"/>
    <cellStyle name="Millares 2 13 3" xfId="1393" xr:uid="{00000000-0005-0000-0000-0000CA030000}"/>
    <cellStyle name="Millares 2 13 4" xfId="1483" xr:uid="{00000000-0005-0000-0000-0000CB030000}"/>
    <cellStyle name="Millares 2 13 5" xfId="1573" xr:uid="{00000000-0005-0000-0000-0000CC030000}"/>
    <cellStyle name="Millares 2 13 6" xfId="1664" xr:uid="{00000000-0005-0000-0000-0000CD030000}"/>
    <cellStyle name="Millares 2 13 7" xfId="1757" xr:uid="{00000000-0005-0000-0000-0000CE030000}"/>
    <cellStyle name="Millares 2 13 8" xfId="1848" xr:uid="{79CD7C19-683D-4683-B9C3-32ECC5241424}"/>
    <cellStyle name="Millares 2 13 9" xfId="1939" xr:uid="{F159DE0C-D5C1-43B9-B8D0-A315F5EC9DE4}"/>
    <cellStyle name="Millares 2 14" xfId="1242" xr:uid="{00000000-0005-0000-0000-0000CF030000}"/>
    <cellStyle name="Millares 2 14 10" xfId="2029" xr:uid="{A026E08A-3029-4D2E-8747-EDBCB7F54553}"/>
    <cellStyle name="Millares 2 14 11" xfId="2120" xr:uid="{33CFA213-C8AE-4759-AE84-B6F10E86388D}"/>
    <cellStyle name="Millares 2 14 12" xfId="2209" xr:uid="{B05CA0B7-AC42-479D-BC98-B9EED91537E9}"/>
    <cellStyle name="Millares 2 14 13" xfId="2299" xr:uid="{DDA89F10-45AA-40B7-9F3E-1C885B6D2210}"/>
    <cellStyle name="Millares 2 14 14" xfId="2388" xr:uid="{89543EF1-FBC9-4257-9716-DAAE0F25CE9D}"/>
    <cellStyle name="Millares 2 14 15" xfId="2478" xr:uid="{A72D8674-DEFC-459C-B0B8-9286F3622581}"/>
    <cellStyle name="Millares 2 14 16" xfId="2567" xr:uid="{A81091EF-01BF-444E-AEF0-C3E93422E814}"/>
    <cellStyle name="Millares 2 14 17" xfId="2657" xr:uid="{B61D4FC3-2D74-4995-A7C5-1F1DB8368B08}"/>
    <cellStyle name="Millares 2 14 18" xfId="2747" xr:uid="{A10756E3-556E-4090-B00A-0E21FC536B05}"/>
    <cellStyle name="Millares 2 14 19" xfId="2837" xr:uid="{4A7A8FE4-39ED-468E-A5F3-F22E4711AF36}"/>
    <cellStyle name="Millares 2 14 2" xfId="1297" xr:uid="{00000000-0005-0000-0000-0000D0030000}"/>
    <cellStyle name="Millares 2 14 2 2" xfId="3462" xr:uid="{E431411D-1BCC-4B23-938D-F34E1675E526}"/>
    <cellStyle name="Millares 2 14 2 3" xfId="3674" xr:uid="{E7A7A871-596C-4724-88BB-E6C798954045}"/>
    <cellStyle name="Millares 2 14 20" xfId="2930" xr:uid="{FDAD5EDC-10E9-48A7-8134-8D9992782CD2}"/>
    <cellStyle name="Millares 2 14 21" xfId="3024" xr:uid="{0AB9B9CE-3A3E-421B-8FF4-A7721187F81C}"/>
    <cellStyle name="Millares 2 14 22" xfId="3584" xr:uid="{F41D98A5-7C61-45A6-8D75-5C8AD9911D1A}"/>
    <cellStyle name="Millares 2 14 3" xfId="1394" xr:uid="{00000000-0005-0000-0000-0000D1030000}"/>
    <cellStyle name="Millares 2 14 4" xfId="1484" xr:uid="{00000000-0005-0000-0000-0000D2030000}"/>
    <cellStyle name="Millares 2 14 5" xfId="1574" xr:uid="{00000000-0005-0000-0000-0000D3030000}"/>
    <cellStyle name="Millares 2 14 6" xfId="1665" xr:uid="{00000000-0005-0000-0000-0000D4030000}"/>
    <cellStyle name="Millares 2 14 7" xfId="1758" xr:uid="{00000000-0005-0000-0000-0000D5030000}"/>
    <cellStyle name="Millares 2 14 8" xfId="1849" xr:uid="{6C84A2DB-E9A3-47CB-88AE-9B3D590E7EE2}"/>
    <cellStyle name="Millares 2 14 9" xfId="1940" xr:uid="{3C693555-55A3-4962-A5AE-F70994FED6BA}"/>
    <cellStyle name="Millares 2 15" xfId="1247" xr:uid="{00000000-0005-0000-0000-0000D6030000}"/>
    <cellStyle name="Millares 2 15 10" xfId="2030" xr:uid="{503FB027-DA9F-438B-9C81-4C22851C22AF}"/>
    <cellStyle name="Millares 2 15 11" xfId="2121" xr:uid="{A20E829C-7996-4D96-B73A-22496AD88801}"/>
    <cellStyle name="Millares 2 15 12" xfId="2210" xr:uid="{71100572-E618-44F9-BEF0-D8E974B36193}"/>
    <cellStyle name="Millares 2 15 13" xfId="2300" xr:uid="{13F3C9F8-78B0-480C-8615-4062C199F833}"/>
    <cellStyle name="Millares 2 15 14" xfId="2389" xr:uid="{E22E91FE-5725-4BA8-980C-5F6B4BC31F14}"/>
    <cellStyle name="Millares 2 15 15" xfId="2479" xr:uid="{E6171931-CDCD-4491-AA7A-D39739D69D9A}"/>
    <cellStyle name="Millares 2 15 16" xfId="2568" xr:uid="{6834B621-17BB-4312-99D2-AD63F5DCEA02}"/>
    <cellStyle name="Millares 2 15 17" xfId="2658" xr:uid="{9222862E-24DF-4CDF-98AE-7F002D6D0B1B}"/>
    <cellStyle name="Millares 2 15 18" xfId="2748" xr:uid="{7906FCCA-7C3D-4B9C-B507-17C1317D3516}"/>
    <cellStyle name="Millares 2 15 19" xfId="2838" xr:uid="{D1641024-8DDF-4833-B10E-3BC144540D88}"/>
    <cellStyle name="Millares 2 15 2" xfId="1298" xr:uid="{00000000-0005-0000-0000-0000D7030000}"/>
    <cellStyle name="Millares 2 15 2 2" xfId="3463" xr:uid="{C523B85C-7C3C-459C-B58E-F2DABA14B336}"/>
    <cellStyle name="Millares 2 15 2 3" xfId="3675" xr:uid="{4C6C830F-03C0-47CB-A9F4-B7A09CFF1FD6}"/>
    <cellStyle name="Millares 2 15 20" xfId="2931" xr:uid="{0C8C7887-A9D3-4E97-8560-29F9DDB0CC6D}"/>
    <cellStyle name="Millares 2 15 21" xfId="3025" xr:uid="{8F7D63B1-7194-4A6C-A167-7AA36C360075}"/>
    <cellStyle name="Millares 2 15 22" xfId="3585" xr:uid="{4C31CE3C-CE58-4C18-ACE7-AD725B54F454}"/>
    <cellStyle name="Millares 2 15 3" xfId="1395" xr:uid="{00000000-0005-0000-0000-0000D8030000}"/>
    <cellStyle name="Millares 2 15 4" xfId="1485" xr:uid="{00000000-0005-0000-0000-0000D9030000}"/>
    <cellStyle name="Millares 2 15 5" xfId="1575" xr:uid="{00000000-0005-0000-0000-0000DA030000}"/>
    <cellStyle name="Millares 2 15 6" xfId="1666" xr:uid="{00000000-0005-0000-0000-0000DB030000}"/>
    <cellStyle name="Millares 2 15 7" xfId="1759" xr:uid="{00000000-0005-0000-0000-0000DC030000}"/>
    <cellStyle name="Millares 2 15 8" xfId="1850" xr:uid="{75251CB8-7D2A-4DF8-976C-1F0F28C3036F}"/>
    <cellStyle name="Millares 2 15 9" xfId="1941" xr:uid="{3D2A9F1F-4F4F-48C8-9E3D-AD840388409E}"/>
    <cellStyle name="Millares 2 16" xfId="1252" xr:uid="{00000000-0005-0000-0000-0000DD030000}"/>
    <cellStyle name="Millares 2 16 10" xfId="2031" xr:uid="{CDC73329-99EA-406A-8E79-B68CB22C0AF1}"/>
    <cellStyle name="Millares 2 16 11" xfId="2122" xr:uid="{2E8B4212-DD28-4308-B7DB-B323E777C9AD}"/>
    <cellStyle name="Millares 2 16 12" xfId="2211" xr:uid="{C7E0ABDC-0F60-44A2-BF4B-13DDE36438E9}"/>
    <cellStyle name="Millares 2 16 13" xfId="2301" xr:uid="{7CE3CBF7-6601-48C1-B288-3EC1F5F01E06}"/>
    <cellStyle name="Millares 2 16 14" xfId="2390" xr:uid="{4AAFDC18-B26F-4EF8-80F3-1306576EA144}"/>
    <cellStyle name="Millares 2 16 15" xfId="2480" xr:uid="{9B5CECC5-DBC5-4D7C-AF66-963B4ADDBB6B}"/>
    <cellStyle name="Millares 2 16 16" xfId="2569" xr:uid="{85B5B966-990F-4B69-BE69-7A0F45E54468}"/>
    <cellStyle name="Millares 2 16 17" xfId="2659" xr:uid="{F85F0BF3-630A-443D-AAA6-FD973BD3E854}"/>
    <cellStyle name="Millares 2 16 18" xfId="2749" xr:uid="{4BFAE0B0-A7B0-45B2-BD58-75B789ABE6E4}"/>
    <cellStyle name="Millares 2 16 19" xfId="2839" xr:uid="{E65C8C39-ECCC-485C-B9E0-E2CFB59564D3}"/>
    <cellStyle name="Millares 2 16 2" xfId="1299" xr:uid="{00000000-0005-0000-0000-0000DE030000}"/>
    <cellStyle name="Millares 2 16 2 2" xfId="3464" xr:uid="{E49FDBE0-F680-4245-87A5-EB9497CF1807}"/>
    <cellStyle name="Millares 2 16 2 3" xfId="3676" xr:uid="{DB3B558F-9B7D-41EC-A440-CA063E37D20A}"/>
    <cellStyle name="Millares 2 16 20" xfId="2932" xr:uid="{A7406EAD-8522-4FFC-942B-0FE3D2A9DD15}"/>
    <cellStyle name="Millares 2 16 21" xfId="3026" xr:uid="{7E5D77C5-7FE5-4CC2-83F6-684542470F5C}"/>
    <cellStyle name="Millares 2 16 22" xfId="3586" xr:uid="{FD3B1E73-6E8B-4F38-B32F-94AB3D123FAA}"/>
    <cellStyle name="Millares 2 16 3" xfId="1396" xr:uid="{00000000-0005-0000-0000-0000DF030000}"/>
    <cellStyle name="Millares 2 16 4" xfId="1486" xr:uid="{00000000-0005-0000-0000-0000E0030000}"/>
    <cellStyle name="Millares 2 16 5" xfId="1576" xr:uid="{00000000-0005-0000-0000-0000E1030000}"/>
    <cellStyle name="Millares 2 16 6" xfId="1667" xr:uid="{00000000-0005-0000-0000-0000E2030000}"/>
    <cellStyle name="Millares 2 16 7" xfId="1760" xr:uid="{00000000-0005-0000-0000-0000E3030000}"/>
    <cellStyle name="Millares 2 16 8" xfId="1851" xr:uid="{0856B9C0-25E2-473D-880C-80A90254E2C1}"/>
    <cellStyle name="Millares 2 16 9" xfId="1942" xr:uid="{E6AC0BE3-AAD3-45AD-B22B-CE7B652115B0}"/>
    <cellStyle name="Millares 2 17" xfId="1257" xr:uid="{00000000-0005-0000-0000-0000E4030000}"/>
    <cellStyle name="Millares 2 17 10" xfId="2032" xr:uid="{7403F874-6CC2-4E54-80E9-1A0FAC55390D}"/>
    <cellStyle name="Millares 2 17 11" xfId="2123" xr:uid="{249C570F-7821-4115-8EDF-33D0813304D7}"/>
    <cellStyle name="Millares 2 17 12" xfId="2212" xr:uid="{3522872C-8CED-4ED6-B3D3-E2571B47C74A}"/>
    <cellStyle name="Millares 2 17 13" xfId="2302" xr:uid="{6E12E895-4AAB-46AB-B02D-77DAF1E04598}"/>
    <cellStyle name="Millares 2 17 14" xfId="2391" xr:uid="{C70C3C61-BCFD-424A-90BF-0B140A583529}"/>
    <cellStyle name="Millares 2 17 15" xfId="2481" xr:uid="{0C971391-E131-448A-81D7-695DD8538CFE}"/>
    <cellStyle name="Millares 2 17 16" xfId="2570" xr:uid="{9E26998C-ACEF-4B3F-9925-3E04111E5A4F}"/>
    <cellStyle name="Millares 2 17 17" xfId="2660" xr:uid="{01181BD8-10C4-445C-866C-BF31E884ED82}"/>
    <cellStyle name="Millares 2 17 18" xfId="2750" xr:uid="{BC3165F1-44CA-4969-BF66-1001341FD2F3}"/>
    <cellStyle name="Millares 2 17 19" xfId="2840" xr:uid="{E68CF3FC-440B-4213-95D0-7441BA1603EF}"/>
    <cellStyle name="Millares 2 17 2" xfId="1300" xr:uid="{00000000-0005-0000-0000-0000E5030000}"/>
    <cellStyle name="Millares 2 17 2 2" xfId="3465" xr:uid="{D7D36EC7-D89F-40C4-8968-7EA3E4B3D374}"/>
    <cellStyle name="Millares 2 17 2 3" xfId="3677" xr:uid="{993A0ECE-E122-49DB-8C46-07676C6081C1}"/>
    <cellStyle name="Millares 2 17 20" xfId="2933" xr:uid="{E7457714-EDA9-4BB5-A5CA-A6519B1D7E80}"/>
    <cellStyle name="Millares 2 17 21" xfId="3027" xr:uid="{F9D2F1B4-8B0B-44D6-B159-64FEC18098C9}"/>
    <cellStyle name="Millares 2 17 22" xfId="3587" xr:uid="{60255833-898E-468E-B71D-6107932ED68E}"/>
    <cellStyle name="Millares 2 17 3" xfId="1397" xr:uid="{00000000-0005-0000-0000-0000E6030000}"/>
    <cellStyle name="Millares 2 17 4" xfId="1487" xr:uid="{00000000-0005-0000-0000-0000E7030000}"/>
    <cellStyle name="Millares 2 17 5" xfId="1577" xr:uid="{00000000-0005-0000-0000-0000E8030000}"/>
    <cellStyle name="Millares 2 17 6" xfId="1668" xr:uid="{00000000-0005-0000-0000-0000E9030000}"/>
    <cellStyle name="Millares 2 17 7" xfId="1761" xr:uid="{00000000-0005-0000-0000-0000EA030000}"/>
    <cellStyle name="Millares 2 17 8" xfId="1852" xr:uid="{D7666C0F-3F4B-409B-BA7A-DC1D46E73695}"/>
    <cellStyle name="Millares 2 17 9" xfId="1943" xr:uid="{BBBFCF15-5FB1-4678-B8FE-AA49D2732B1B}"/>
    <cellStyle name="Millares 2 18" xfId="1261" xr:uid="{00000000-0005-0000-0000-0000EB030000}"/>
    <cellStyle name="Millares 2 18 10" xfId="2033" xr:uid="{0B9BF66A-AF97-4D76-BA7C-BE5990AB63A4}"/>
    <cellStyle name="Millares 2 18 11" xfId="2124" xr:uid="{A966A290-6575-40ED-A2A4-566286464210}"/>
    <cellStyle name="Millares 2 18 12" xfId="2213" xr:uid="{1843C51E-C988-4D6E-A5BA-8C807FB7A4A5}"/>
    <cellStyle name="Millares 2 18 13" xfId="2303" xr:uid="{2AA16378-AE6A-4587-B4DF-E4DF9215A65D}"/>
    <cellStyle name="Millares 2 18 14" xfId="2392" xr:uid="{092BA438-2CF2-42CB-8CB5-5F7FF767EBDE}"/>
    <cellStyle name="Millares 2 18 15" xfId="2482" xr:uid="{D8FBA1E0-5DEB-48E7-A8A8-91944E813A2B}"/>
    <cellStyle name="Millares 2 18 16" xfId="2571" xr:uid="{298B1358-A2A8-4281-9FD9-DBA9C8CCEF53}"/>
    <cellStyle name="Millares 2 18 17" xfId="2661" xr:uid="{63C403B5-A754-4CDD-8EAE-F0918CF706BD}"/>
    <cellStyle name="Millares 2 18 18" xfId="2751" xr:uid="{CF6786D3-7F01-4679-819C-C8F20636C748}"/>
    <cellStyle name="Millares 2 18 19" xfId="2841" xr:uid="{11AAAC63-CD01-4425-8966-6ED81385FC13}"/>
    <cellStyle name="Millares 2 18 2" xfId="1301" xr:uid="{00000000-0005-0000-0000-0000EC030000}"/>
    <cellStyle name="Millares 2 18 2 2" xfId="3466" xr:uid="{4C4821BF-4FDA-4A78-ABA3-352AD63DD5B3}"/>
    <cellStyle name="Millares 2 18 2 3" xfId="3678" xr:uid="{135F0FBD-4201-46AB-A069-B1C0F330C48E}"/>
    <cellStyle name="Millares 2 18 20" xfId="2934" xr:uid="{F0AC5B7F-1B7C-4768-AD52-5DF12B2FFBAA}"/>
    <cellStyle name="Millares 2 18 21" xfId="3028" xr:uid="{2833EB35-B742-417E-AF94-35D859EF3D5A}"/>
    <cellStyle name="Millares 2 18 22" xfId="3588" xr:uid="{390E0E2C-9E4C-467A-BCA0-8883ED902EB5}"/>
    <cellStyle name="Millares 2 18 3" xfId="1398" xr:uid="{00000000-0005-0000-0000-0000ED030000}"/>
    <cellStyle name="Millares 2 18 4" xfId="1488" xr:uid="{00000000-0005-0000-0000-0000EE030000}"/>
    <cellStyle name="Millares 2 18 5" xfId="1578" xr:uid="{00000000-0005-0000-0000-0000EF030000}"/>
    <cellStyle name="Millares 2 18 6" xfId="1669" xr:uid="{00000000-0005-0000-0000-0000F0030000}"/>
    <cellStyle name="Millares 2 18 7" xfId="1762" xr:uid="{00000000-0005-0000-0000-0000F1030000}"/>
    <cellStyle name="Millares 2 18 8" xfId="1853" xr:uid="{0996292C-CEA1-442D-BDF1-A181F6A68AFC}"/>
    <cellStyle name="Millares 2 18 9" xfId="1944" xr:uid="{5AFE50FF-8B05-4795-9892-A7488BBB7656}"/>
    <cellStyle name="Millares 2 19" xfId="1265" xr:uid="{00000000-0005-0000-0000-0000F2030000}"/>
    <cellStyle name="Millares 2 19 10" xfId="2034" xr:uid="{7B09B546-A0E0-49FD-9522-CCE7EABA74F7}"/>
    <cellStyle name="Millares 2 19 11" xfId="2125" xr:uid="{32FE565A-9920-423D-8B3A-C6366F8A3C08}"/>
    <cellStyle name="Millares 2 19 12" xfId="2214" xr:uid="{EA4D3D41-B9A5-4E7C-A1B2-A9E23B9D304D}"/>
    <cellStyle name="Millares 2 19 13" xfId="2304" xr:uid="{5D0EA880-3134-41A4-888B-6C10426104EB}"/>
    <cellStyle name="Millares 2 19 14" xfId="2393" xr:uid="{0327E21D-B3DC-431A-A002-EE8E9445F387}"/>
    <cellStyle name="Millares 2 19 15" xfId="2483" xr:uid="{CEE701E5-351D-4272-878A-79552971038C}"/>
    <cellStyle name="Millares 2 19 16" xfId="2572" xr:uid="{1CB60ACC-6901-4D7A-B6D2-8D1F91A47FBA}"/>
    <cellStyle name="Millares 2 19 17" xfId="2662" xr:uid="{F92D976D-D071-427A-ADDC-EC47AFCDC4F1}"/>
    <cellStyle name="Millares 2 19 18" xfId="2752" xr:uid="{C421666F-8EFF-418C-A361-850C866B337F}"/>
    <cellStyle name="Millares 2 19 19" xfId="2842" xr:uid="{D6866C81-4E33-45B9-AC86-77135FE02E92}"/>
    <cellStyle name="Millares 2 19 2" xfId="1302" xr:uid="{00000000-0005-0000-0000-0000F3030000}"/>
    <cellStyle name="Millares 2 19 2 2" xfId="3467" xr:uid="{0D2C9A16-797E-4EFE-8C64-19E0ED87ED9A}"/>
    <cellStyle name="Millares 2 19 2 3" xfId="3679" xr:uid="{4C5FF4F2-2B15-467B-8857-463836A93AB9}"/>
    <cellStyle name="Millares 2 19 20" xfId="2935" xr:uid="{3CAB81F8-7FE1-4FDB-B4EB-56F3891A9BC9}"/>
    <cellStyle name="Millares 2 19 21" xfId="3029" xr:uid="{3D2D1CF8-D5DD-47C6-8BD7-113E984C8F5C}"/>
    <cellStyle name="Millares 2 19 22" xfId="3589" xr:uid="{45332E21-EDA5-4DA5-8657-6B49275E3E39}"/>
    <cellStyle name="Millares 2 19 3" xfId="1399" xr:uid="{00000000-0005-0000-0000-0000F4030000}"/>
    <cellStyle name="Millares 2 19 4" xfId="1489" xr:uid="{00000000-0005-0000-0000-0000F5030000}"/>
    <cellStyle name="Millares 2 19 5" xfId="1579" xr:uid="{00000000-0005-0000-0000-0000F6030000}"/>
    <cellStyle name="Millares 2 19 6" xfId="1670" xr:uid="{00000000-0005-0000-0000-0000F7030000}"/>
    <cellStyle name="Millares 2 19 7" xfId="1763" xr:uid="{00000000-0005-0000-0000-0000F8030000}"/>
    <cellStyle name="Millares 2 19 8" xfId="1854" xr:uid="{690A5447-3FBA-4ECE-9AB1-042414322477}"/>
    <cellStyle name="Millares 2 19 9" xfId="1945" xr:uid="{D016000B-8B17-4490-AFBC-B79E25C0F5FA}"/>
    <cellStyle name="Millares 2 2" xfId="880" xr:uid="{00000000-0005-0000-0000-0000F9030000}"/>
    <cellStyle name="Millares 2 2 10" xfId="1230" xr:uid="{00000000-0005-0000-0000-0000FA030000}"/>
    <cellStyle name="Millares 2 2 10 10" xfId="2036" xr:uid="{4C0B7426-A176-4966-B412-CB4BAEF4F321}"/>
    <cellStyle name="Millares 2 2 10 11" xfId="2127" xr:uid="{7F8D6835-899F-44DE-B75F-E79F654A8A42}"/>
    <cellStyle name="Millares 2 2 10 12" xfId="2216" xr:uid="{B4C46276-6C8E-4094-B996-021799B4A317}"/>
    <cellStyle name="Millares 2 2 10 13" xfId="2306" xr:uid="{41B93FBD-48E1-4146-BD28-179F8FE2EF1F}"/>
    <cellStyle name="Millares 2 2 10 14" xfId="2395" xr:uid="{03A9AF3A-B8D2-4A64-95B8-9D33240E8D12}"/>
    <cellStyle name="Millares 2 2 10 15" xfId="2485" xr:uid="{B2FD3815-64F5-4D1B-BA6A-8B09590FBD77}"/>
    <cellStyle name="Millares 2 2 10 16" xfId="2574" xr:uid="{7BE4A521-F7B6-4BB2-91B2-69E3E1EDECB4}"/>
    <cellStyle name="Millares 2 2 10 17" xfId="2664" xr:uid="{65A3A01C-8083-47B9-814B-975A7F7ED771}"/>
    <cellStyle name="Millares 2 2 10 18" xfId="2754" xr:uid="{D3471AFC-A1E6-4F5C-86AC-D75C94D75CF7}"/>
    <cellStyle name="Millares 2 2 10 19" xfId="2844" xr:uid="{A5DAEF1B-2696-42AC-991F-C75AEC2FDFB5}"/>
    <cellStyle name="Millares 2 2 10 2" xfId="1304" xr:uid="{00000000-0005-0000-0000-0000FB030000}"/>
    <cellStyle name="Millares 2 2 10 2 2" xfId="3469" xr:uid="{970D67ED-8BA6-4952-A814-FC7BFEA2FC44}"/>
    <cellStyle name="Millares 2 2 10 2 3" xfId="3681" xr:uid="{54B5C307-C67E-4A7F-818A-C1D1A8B3EC56}"/>
    <cellStyle name="Millares 2 2 10 20" xfId="2937" xr:uid="{0035A39E-34CD-4110-AB6A-E2B8DFA9F78D}"/>
    <cellStyle name="Millares 2 2 10 21" xfId="3031" xr:uid="{77941922-F79E-4FC6-B3D9-DEA75E22BDB8}"/>
    <cellStyle name="Millares 2 2 10 22" xfId="3591" xr:uid="{09367B08-52D6-48A3-81D2-3B62D63431B8}"/>
    <cellStyle name="Millares 2 2 10 3" xfId="1401" xr:uid="{00000000-0005-0000-0000-0000FC030000}"/>
    <cellStyle name="Millares 2 2 10 4" xfId="1491" xr:uid="{00000000-0005-0000-0000-0000FD030000}"/>
    <cellStyle name="Millares 2 2 10 5" xfId="1581" xr:uid="{00000000-0005-0000-0000-0000FE030000}"/>
    <cellStyle name="Millares 2 2 10 6" xfId="1672" xr:uid="{00000000-0005-0000-0000-0000FF030000}"/>
    <cellStyle name="Millares 2 2 10 7" xfId="1765" xr:uid="{00000000-0005-0000-0000-000000040000}"/>
    <cellStyle name="Millares 2 2 10 8" xfId="1856" xr:uid="{8E78C304-343C-4FA1-AD6A-161C0A461E10}"/>
    <cellStyle name="Millares 2 2 10 9" xfId="1947" xr:uid="{7D912FD1-147C-4ACF-A088-2842724CB327}"/>
    <cellStyle name="Millares 2 2 11" xfId="1234" xr:uid="{00000000-0005-0000-0000-000001040000}"/>
    <cellStyle name="Millares 2 2 11 10" xfId="2037" xr:uid="{A4587DCD-2D0D-4237-BDFA-14AE9580E252}"/>
    <cellStyle name="Millares 2 2 11 11" xfId="2128" xr:uid="{1EA217EC-1D69-4BE4-8B49-0C70F71CF1C8}"/>
    <cellStyle name="Millares 2 2 11 12" xfId="2217" xr:uid="{D2B9668D-F4F1-4F04-8EF5-DE8F9184A2D3}"/>
    <cellStyle name="Millares 2 2 11 13" xfId="2307" xr:uid="{1EE6D3D8-3086-4FE2-9F08-77BF1B743796}"/>
    <cellStyle name="Millares 2 2 11 14" xfId="2396" xr:uid="{6B35B91D-A467-4EBF-B712-BC57F54E49CE}"/>
    <cellStyle name="Millares 2 2 11 15" xfId="2486" xr:uid="{568DA744-20BC-466D-9163-36A087469920}"/>
    <cellStyle name="Millares 2 2 11 16" xfId="2575" xr:uid="{8DFAEB90-7318-453F-825A-3263794484E2}"/>
    <cellStyle name="Millares 2 2 11 17" xfId="2665" xr:uid="{743B0894-A61C-453E-84CE-404AE9C24518}"/>
    <cellStyle name="Millares 2 2 11 18" xfId="2755" xr:uid="{0B331EB7-D30F-4F45-B1AF-96C5EC6AD119}"/>
    <cellStyle name="Millares 2 2 11 19" xfId="2845" xr:uid="{38B004AF-A380-4AF9-9F35-8F7F65D0FA52}"/>
    <cellStyle name="Millares 2 2 11 2" xfId="1305" xr:uid="{00000000-0005-0000-0000-000002040000}"/>
    <cellStyle name="Millares 2 2 11 2 2" xfId="3470" xr:uid="{7B80C9A5-3F87-46DA-A210-9CE09262DA2C}"/>
    <cellStyle name="Millares 2 2 11 2 3" xfId="3682" xr:uid="{8F6ECCCF-72D6-4E54-96DF-4E7FCE3C03DD}"/>
    <cellStyle name="Millares 2 2 11 20" xfId="2938" xr:uid="{24FC0166-FA34-4B92-9C58-261121427795}"/>
    <cellStyle name="Millares 2 2 11 21" xfId="3032" xr:uid="{5DCE8AE6-9CD5-4634-853F-1BA45B576A21}"/>
    <cellStyle name="Millares 2 2 11 22" xfId="3592" xr:uid="{5695CD66-7749-4D48-BAB5-DDA6ED461E30}"/>
    <cellStyle name="Millares 2 2 11 3" xfId="1402" xr:uid="{00000000-0005-0000-0000-000003040000}"/>
    <cellStyle name="Millares 2 2 11 4" xfId="1492" xr:uid="{00000000-0005-0000-0000-000004040000}"/>
    <cellStyle name="Millares 2 2 11 5" xfId="1582" xr:uid="{00000000-0005-0000-0000-000005040000}"/>
    <cellStyle name="Millares 2 2 11 6" xfId="1673" xr:uid="{00000000-0005-0000-0000-000006040000}"/>
    <cellStyle name="Millares 2 2 11 7" xfId="1766" xr:uid="{00000000-0005-0000-0000-000007040000}"/>
    <cellStyle name="Millares 2 2 11 8" xfId="1857" xr:uid="{10A41D52-E675-4165-9741-2B7CCBCD5F5C}"/>
    <cellStyle name="Millares 2 2 11 9" xfId="1948" xr:uid="{1CAA800A-F57A-4D2B-80D6-B36C41831721}"/>
    <cellStyle name="Millares 2 2 12" xfId="1238" xr:uid="{00000000-0005-0000-0000-000008040000}"/>
    <cellStyle name="Millares 2 2 12 10" xfId="2038" xr:uid="{9CF68211-5C0D-4743-9B91-4D5CEDCC66D4}"/>
    <cellStyle name="Millares 2 2 12 11" xfId="2129" xr:uid="{75EE325F-A441-4E98-9347-6FE00CFAF717}"/>
    <cellStyle name="Millares 2 2 12 12" xfId="2218" xr:uid="{FE12D936-2EB6-47E4-949D-03E16B4A6C89}"/>
    <cellStyle name="Millares 2 2 12 13" xfId="2308" xr:uid="{1DC05EB1-53DC-4BEE-8895-2CD2D400A591}"/>
    <cellStyle name="Millares 2 2 12 14" xfId="2397" xr:uid="{011057C0-2205-462D-8C07-C64748B0ECC7}"/>
    <cellStyle name="Millares 2 2 12 15" xfId="2487" xr:uid="{6D189B8E-1A04-4E1B-A12B-134A972E7A64}"/>
    <cellStyle name="Millares 2 2 12 16" xfId="2576" xr:uid="{0FE720E5-9FC7-4F80-B1D5-5D4AC6B62A59}"/>
    <cellStyle name="Millares 2 2 12 17" xfId="2666" xr:uid="{29238BE8-D7DC-4036-993E-C2209C9A6C79}"/>
    <cellStyle name="Millares 2 2 12 18" xfId="2756" xr:uid="{E1C6E980-F40A-4127-BEBB-F514250D25F5}"/>
    <cellStyle name="Millares 2 2 12 19" xfId="2846" xr:uid="{2812E1FE-E158-4FCF-8C3E-AE9FDD41FDAD}"/>
    <cellStyle name="Millares 2 2 12 2" xfId="1306" xr:uid="{00000000-0005-0000-0000-000009040000}"/>
    <cellStyle name="Millares 2 2 12 2 2" xfId="3471" xr:uid="{CB6494DA-1392-4AB0-B3FE-22CC0252AB2F}"/>
    <cellStyle name="Millares 2 2 12 2 3" xfId="3683" xr:uid="{78BDFC6A-3A6F-462A-B9CD-9C4902786020}"/>
    <cellStyle name="Millares 2 2 12 20" xfId="2939" xr:uid="{81C94146-CEA8-420E-9AEA-250969E6B0C2}"/>
    <cellStyle name="Millares 2 2 12 21" xfId="3033" xr:uid="{56A654A1-BD80-4226-BEA1-FC585A68085F}"/>
    <cellStyle name="Millares 2 2 12 22" xfId="3593" xr:uid="{D213895E-34D2-47B6-875F-CD6884B741EF}"/>
    <cellStyle name="Millares 2 2 12 3" xfId="1403" xr:uid="{00000000-0005-0000-0000-00000A040000}"/>
    <cellStyle name="Millares 2 2 12 4" xfId="1493" xr:uid="{00000000-0005-0000-0000-00000B040000}"/>
    <cellStyle name="Millares 2 2 12 5" xfId="1583" xr:uid="{00000000-0005-0000-0000-00000C040000}"/>
    <cellStyle name="Millares 2 2 12 6" xfId="1674" xr:uid="{00000000-0005-0000-0000-00000D040000}"/>
    <cellStyle name="Millares 2 2 12 7" xfId="1767" xr:uid="{00000000-0005-0000-0000-00000E040000}"/>
    <cellStyle name="Millares 2 2 12 8" xfId="1858" xr:uid="{E513D153-0996-4BDF-B3D7-86261C13319D}"/>
    <cellStyle name="Millares 2 2 12 9" xfId="1949" xr:uid="{8BF66ABB-55B0-4013-ADE8-1B1F5BA33989}"/>
    <cellStyle name="Millares 2 2 13" xfId="1243" xr:uid="{00000000-0005-0000-0000-00000F040000}"/>
    <cellStyle name="Millares 2 2 13 10" xfId="2039" xr:uid="{7DF268F5-D695-4333-BC1A-EC206C6C845C}"/>
    <cellStyle name="Millares 2 2 13 11" xfId="2130" xr:uid="{02FD98C6-749E-4627-81A3-DE1701B3D556}"/>
    <cellStyle name="Millares 2 2 13 12" xfId="2219" xr:uid="{333DFA51-92DE-4659-85A2-26FC062C8F13}"/>
    <cellStyle name="Millares 2 2 13 13" xfId="2309" xr:uid="{D73D23FE-091F-4AE9-B0F5-FE011C7E9F81}"/>
    <cellStyle name="Millares 2 2 13 14" xfId="2398" xr:uid="{C76F4249-3A6B-49C3-8BF0-6C2F48F80FC6}"/>
    <cellStyle name="Millares 2 2 13 15" xfId="2488" xr:uid="{467A9BE4-F4E8-4E95-89C3-D8DB6B431DC6}"/>
    <cellStyle name="Millares 2 2 13 16" xfId="2577" xr:uid="{B966260E-99B4-43C8-B70D-0C5FF612C95E}"/>
    <cellStyle name="Millares 2 2 13 17" xfId="2667" xr:uid="{D4BCBDC4-2E37-4E3F-BBF4-DB2E786D551F}"/>
    <cellStyle name="Millares 2 2 13 18" xfId="2757" xr:uid="{59D2C677-D563-4813-9409-CC6CB9C6FDFA}"/>
    <cellStyle name="Millares 2 2 13 19" xfId="2847" xr:uid="{D1846E11-9C4D-4CD4-9786-3372A040D6FA}"/>
    <cellStyle name="Millares 2 2 13 2" xfId="1307" xr:uid="{00000000-0005-0000-0000-000010040000}"/>
    <cellStyle name="Millares 2 2 13 2 2" xfId="3472" xr:uid="{0B30FC3A-6E32-4387-8521-124C983293EE}"/>
    <cellStyle name="Millares 2 2 13 2 3" xfId="3684" xr:uid="{0471E716-8CCB-498D-901A-D4577F094DF9}"/>
    <cellStyle name="Millares 2 2 13 20" xfId="2940" xr:uid="{4D31CB49-B615-4B88-962F-E3442243B5C3}"/>
    <cellStyle name="Millares 2 2 13 21" xfId="3034" xr:uid="{A9CB3842-80FB-430B-A782-9B6E6FFBD4E5}"/>
    <cellStyle name="Millares 2 2 13 22" xfId="3594" xr:uid="{39311347-424B-47FD-8425-C0153F66CAEF}"/>
    <cellStyle name="Millares 2 2 13 3" xfId="1404" xr:uid="{00000000-0005-0000-0000-000011040000}"/>
    <cellStyle name="Millares 2 2 13 4" xfId="1494" xr:uid="{00000000-0005-0000-0000-000012040000}"/>
    <cellStyle name="Millares 2 2 13 5" xfId="1584" xr:uid="{00000000-0005-0000-0000-000013040000}"/>
    <cellStyle name="Millares 2 2 13 6" xfId="1675" xr:uid="{00000000-0005-0000-0000-000014040000}"/>
    <cellStyle name="Millares 2 2 13 7" xfId="1768" xr:uid="{00000000-0005-0000-0000-000015040000}"/>
    <cellStyle name="Millares 2 2 13 8" xfId="1859" xr:uid="{470FC233-6F84-4119-BB14-63B95FA580EA}"/>
    <cellStyle name="Millares 2 2 13 9" xfId="1950" xr:uid="{ED8039A4-25E3-4907-9941-2A965569AFBE}"/>
    <cellStyle name="Millares 2 2 14" xfId="1248" xr:uid="{00000000-0005-0000-0000-000016040000}"/>
    <cellStyle name="Millares 2 2 14 10" xfId="2040" xr:uid="{684F0E59-AD1D-42D3-93E2-C4C7F4E1AA87}"/>
    <cellStyle name="Millares 2 2 14 11" xfId="2131" xr:uid="{34B381D6-8116-49A2-8073-A4E9F8B2399C}"/>
    <cellStyle name="Millares 2 2 14 12" xfId="2220" xr:uid="{E20665C1-48C8-46DA-90AE-94AC000E773D}"/>
    <cellStyle name="Millares 2 2 14 13" xfId="2310" xr:uid="{D832FE16-FF86-4808-8E26-9800B5FF0669}"/>
    <cellStyle name="Millares 2 2 14 14" xfId="2399" xr:uid="{CED5A290-E41B-4E34-999A-61829E867121}"/>
    <cellStyle name="Millares 2 2 14 15" xfId="2489" xr:uid="{A7F997DB-DFF2-45BD-AC4B-19C574066FB6}"/>
    <cellStyle name="Millares 2 2 14 16" xfId="2578" xr:uid="{384E8B54-AAD6-4E6E-89EC-D14256AA1C81}"/>
    <cellStyle name="Millares 2 2 14 17" xfId="2668" xr:uid="{C4723EEB-5A6A-4F30-86EA-806E66FD51A4}"/>
    <cellStyle name="Millares 2 2 14 18" xfId="2758" xr:uid="{9920E6E6-D4DA-4426-8E57-F96A4165414F}"/>
    <cellStyle name="Millares 2 2 14 19" xfId="2848" xr:uid="{D2F0DD79-67C6-473B-9C84-2FBDEC00ADD7}"/>
    <cellStyle name="Millares 2 2 14 2" xfId="1308" xr:uid="{00000000-0005-0000-0000-000017040000}"/>
    <cellStyle name="Millares 2 2 14 2 2" xfId="3473" xr:uid="{C6E49416-03CF-44C1-9719-4437BE1DB419}"/>
    <cellStyle name="Millares 2 2 14 2 3" xfId="3685" xr:uid="{26BB2A04-19D0-497C-9C34-13A5C40A3B7A}"/>
    <cellStyle name="Millares 2 2 14 20" xfId="2941" xr:uid="{392A6D20-0B21-4096-B003-95D9323E97F7}"/>
    <cellStyle name="Millares 2 2 14 21" xfId="3035" xr:uid="{A7409236-6DFC-42B2-B4B8-18F869E2C410}"/>
    <cellStyle name="Millares 2 2 14 22" xfId="3595" xr:uid="{48FDADC3-4BBD-4DD0-AEFC-6A9769C150E1}"/>
    <cellStyle name="Millares 2 2 14 3" xfId="1405" xr:uid="{00000000-0005-0000-0000-000018040000}"/>
    <cellStyle name="Millares 2 2 14 4" xfId="1495" xr:uid="{00000000-0005-0000-0000-000019040000}"/>
    <cellStyle name="Millares 2 2 14 5" xfId="1585" xr:uid="{00000000-0005-0000-0000-00001A040000}"/>
    <cellStyle name="Millares 2 2 14 6" xfId="1676" xr:uid="{00000000-0005-0000-0000-00001B040000}"/>
    <cellStyle name="Millares 2 2 14 7" xfId="1769" xr:uid="{00000000-0005-0000-0000-00001C040000}"/>
    <cellStyle name="Millares 2 2 14 8" xfId="1860" xr:uid="{1E211E3F-901D-4F32-91F1-C3CF3FEFCC0E}"/>
    <cellStyle name="Millares 2 2 14 9" xfId="1951" xr:uid="{E3FFF034-E58C-4422-B65C-52E23EFD4039}"/>
    <cellStyle name="Millares 2 2 15" xfId="1253" xr:uid="{00000000-0005-0000-0000-00001D040000}"/>
    <cellStyle name="Millares 2 2 15 10" xfId="2041" xr:uid="{48538EC5-C406-4F77-8A1A-047B1DB967E0}"/>
    <cellStyle name="Millares 2 2 15 11" xfId="2132" xr:uid="{E855548D-1BA9-4BC4-ACFE-82BC4F70ACE0}"/>
    <cellStyle name="Millares 2 2 15 12" xfId="2221" xr:uid="{BBE1088C-F0A2-4CE9-9885-9AF5206A4609}"/>
    <cellStyle name="Millares 2 2 15 13" xfId="2311" xr:uid="{B65413E3-20D8-4614-B36C-3D24F59CCE3A}"/>
    <cellStyle name="Millares 2 2 15 14" xfId="2400" xr:uid="{66A1BBAD-F249-4F66-A987-565862B8C404}"/>
    <cellStyle name="Millares 2 2 15 15" xfId="2490" xr:uid="{38EF62E7-550E-4BA6-9175-554F7AADB047}"/>
    <cellStyle name="Millares 2 2 15 16" xfId="2579" xr:uid="{913EE498-F192-4B24-BFF8-71FB397030B6}"/>
    <cellStyle name="Millares 2 2 15 17" xfId="2669" xr:uid="{4DCFFAEC-EB96-44B0-89CC-66BAE253DF24}"/>
    <cellStyle name="Millares 2 2 15 18" xfId="2759" xr:uid="{8F18D925-BE71-42D1-AA87-D0B63919F28B}"/>
    <cellStyle name="Millares 2 2 15 19" xfId="2849" xr:uid="{18B2EF97-0AE2-4FF9-B6E3-40B0450869EF}"/>
    <cellStyle name="Millares 2 2 15 2" xfId="1309" xr:uid="{00000000-0005-0000-0000-00001E040000}"/>
    <cellStyle name="Millares 2 2 15 2 2" xfId="3474" xr:uid="{3353855B-2706-4192-AF71-F3A163667316}"/>
    <cellStyle name="Millares 2 2 15 2 3" xfId="3686" xr:uid="{919B87A6-45E0-4B29-8B83-E6E6D7530043}"/>
    <cellStyle name="Millares 2 2 15 20" xfId="2942" xr:uid="{DD6B05DA-BC77-43CB-831A-92E6EA7EC62F}"/>
    <cellStyle name="Millares 2 2 15 21" xfId="3036" xr:uid="{D7962D97-452A-4F46-9827-8B3644DE2DC6}"/>
    <cellStyle name="Millares 2 2 15 22" xfId="3596" xr:uid="{F4966966-A5E3-4FC9-8C5C-C0CE38E7CA27}"/>
    <cellStyle name="Millares 2 2 15 3" xfId="1406" xr:uid="{00000000-0005-0000-0000-00001F040000}"/>
    <cellStyle name="Millares 2 2 15 4" xfId="1496" xr:uid="{00000000-0005-0000-0000-000020040000}"/>
    <cellStyle name="Millares 2 2 15 5" xfId="1586" xr:uid="{00000000-0005-0000-0000-000021040000}"/>
    <cellStyle name="Millares 2 2 15 6" xfId="1677" xr:uid="{00000000-0005-0000-0000-000022040000}"/>
    <cellStyle name="Millares 2 2 15 7" xfId="1770" xr:uid="{00000000-0005-0000-0000-000023040000}"/>
    <cellStyle name="Millares 2 2 15 8" xfId="1861" xr:uid="{115FE98B-3DDA-4419-8815-C59334A886DD}"/>
    <cellStyle name="Millares 2 2 15 9" xfId="1952" xr:uid="{6C316B51-3636-4501-BF9E-9C37969302F2}"/>
    <cellStyle name="Millares 2 2 16" xfId="1258" xr:uid="{00000000-0005-0000-0000-000024040000}"/>
    <cellStyle name="Millares 2 2 16 10" xfId="2042" xr:uid="{C84604ED-3A94-4123-A0FB-1BA3A4B7A8CF}"/>
    <cellStyle name="Millares 2 2 16 11" xfId="2133" xr:uid="{6F5F2485-FA95-4A40-BEA3-2F9BCBA87C5C}"/>
    <cellStyle name="Millares 2 2 16 12" xfId="2222" xr:uid="{D5837E44-7AD5-484C-8CBA-4477DE5005B8}"/>
    <cellStyle name="Millares 2 2 16 13" xfId="2312" xr:uid="{C671F0F2-CCE0-4A59-AB91-12FAB225D291}"/>
    <cellStyle name="Millares 2 2 16 14" xfId="2401" xr:uid="{2CE25FC2-7E1C-4DBB-B36A-B7FB960567EB}"/>
    <cellStyle name="Millares 2 2 16 15" xfId="2491" xr:uid="{65D3BB13-3259-4608-9195-ADD665F29C1D}"/>
    <cellStyle name="Millares 2 2 16 16" xfId="2580" xr:uid="{C8BF1502-011D-4846-B8B9-09DDD95E4893}"/>
    <cellStyle name="Millares 2 2 16 17" xfId="2670" xr:uid="{4A2504EC-C34C-48CC-9BDC-9FC5FF5025E0}"/>
    <cellStyle name="Millares 2 2 16 18" xfId="2760" xr:uid="{51768685-5C96-4789-8067-972EC0DDBE13}"/>
    <cellStyle name="Millares 2 2 16 19" xfId="2850" xr:uid="{24B47298-1E1C-4CB7-B7F3-407601335419}"/>
    <cellStyle name="Millares 2 2 16 2" xfId="1310" xr:uid="{00000000-0005-0000-0000-000025040000}"/>
    <cellStyle name="Millares 2 2 16 2 2" xfId="3475" xr:uid="{9638C02B-34A7-44DF-94B0-E51ABA0F2107}"/>
    <cellStyle name="Millares 2 2 16 2 3" xfId="3687" xr:uid="{4975DC1E-7118-4309-B41D-EE58F97E30C0}"/>
    <cellStyle name="Millares 2 2 16 20" xfId="2943" xr:uid="{5B5552BA-DA98-4CC8-9B8D-E82E93030C89}"/>
    <cellStyle name="Millares 2 2 16 21" xfId="3037" xr:uid="{36F7DB7A-B4BD-42A8-99D0-EDF095B32EBA}"/>
    <cellStyle name="Millares 2 2 16 22" xfId="3597" xr:uid="{FABFC204-3FB1-48AE-8511-7861236D52EE}"/>
    <cellStyle name="Millares 2 2 16 3" xfId="1407" xr:uid="{00000000-0005-0000-0000-000026040000}"/>
    <cellStyle name="Millares 2 2 16 4" xfId="1497" xr:uid="{00000000-0005-0000-0000-000027040000}"/>
    <cellStyle name="Millares 2 2 16 5" xfId="1587" xr:uid="{00000000-0005-0000-0000-000028040000}"/>
    <cellStyle name="Millares 2 2 16 6" xfId="1678" xr:uid="{00000000-0005-0000-0000-000029040000}"/>
    <cellStyle name="Millares 2 2 16 7" xfId="1771" xr:uid="{00000000-0005-0000-0000-00002A040000}"/>
    <cellStyle name="Millares 2 2 16 8" xfId="1862" xr:uid="{DF7F1BDB-0A1A-46C0-AE32-71D4F635FD7A}"/>
    <cellStyle name="Millares 2 2 16 9" xfId="1953" xr:uid="{639A1C56-2F27-4BAB-9F7B-F83B7F13764F}"/>
    <cellStyle name="Millares 2 2 17" xfId="1262" xr:uid="{00000000-0005-0000-0000-00002B040000}"/>
    <cellStyle name="Millares 2 2 17 10" xfId="2043" xr:uid="{38A666C3-716F-4952-97CE-7034FCC760F3}"/>
    <cellStyle name="Millares 2 2 17 11" xfId="2134" xr:uid="{41D95C07-45B5-4FE9-A91D-AEBA4B5D08F2}"/>
    <cellStyle name="Millares 2 2 17 12" xfId="2223" xr:uid="{3AAB8643-1024-4031-9799-90C62F9C00D7}"/>
    <cellStyle name="Millares 2 2 17 13" xfId="2313" xr:uid="{14C98B54-6A93-4AFE-A861-B6D9F3169231}"/>
    <cellStyle name="Millares 2 2 17 14" xfId="2402" xr:uid="{9A5E2F7A-48FB-40EA-ACB8-B7CE2AC9D801}"/>
    <cellStyle name="Millares 2 2 17 15" xfId="2492" xr:uid="{6A25F2BE-8F3B-466F-BEC4-BEE8B7E4EE83}"/>
    <cellStyle name="Millares 2 2 17 16" xfId="2581" xr:uid="{E15CFFDD-F21C-49D4-83BB-04CBD823E5F0}"/>
    <cellStyle name="Millares 2 2 17 17" xfId="2671" xr:uid="{24EB1F3F-AC8F-4B16-B59F-6ED29F9BC0B6}"/>
    <cellStyle name="Millares 2 2 17 18" xfId="2761" xr:uid="{B63D2511-99A4-4A0A-ABEE-689053C418E7}"/>
    <cellStyle name="Millares 2 2 17 19" xfId="2851" xr:uid="{B87C0C54-0692-4F15-B946-AA051D518EC8}"/>
    <cellStyle name="Millares 2 2 17 2" xfId="1311" xr:uid="{00000000-0005-0000-0000-00002C040000}"/>
    <cellStyle name="Millares 2 2 17 2 2" xfId="3476" xr:uid="{92E17B21-C9C3-4F42-BB9A-188057228136}"/>
    <cellStyle name="Millares 2 2 17 2 3" xfId="3688" xr:uid="{433B46A2-450F-4AD3-B894-4FB635A3C92C}"/>
    <cellStyle name="Millares 2 2 17 20" xfId="2944" xr:uid="{D8040F19-E1F9-4A83-B040-593F7AB48FB5}"/>
    <cellStyle name="Millares 2 2 17 21" xfId="3038" xr:uid="{39E3CA26-3262-4B6A-AD44-6F6FA26E281E}"/>
    <cellStyle name="Millares 2 2 17 22" xfId="3598" xr:uid="{0C0FA692-A3CC-42C8-8233-C65FA11514DB}"/>
    <cellStyle name="Millares 2 2 17 3" xfId="1408" xr:uid="{00000000-0005-0000-0000-00002D040000}"/>
    <cellStyle name="Millares 2 2 17 4" xfId="1498" xr:uid="{00000000-0005-0000-0000-00002E040000}"/>
    <cellStyle name="Millares 2 2 17 5" xfId="1588" xr:uid="{00000000-0005-0000-0000-00002F040000}"/>
    <cellStyle name="Millares 2 2 17 6" xfId="1679" xr:uid="{00000000-0005-0000-0000-000030040000}"/>
    <cellStyle name="Millares 2 2 17 7" xfId="1772" xr:uid="{00000000-0005-0000-0000-000031040000}"/>
    <cellStyle name="Millares 2 2 17 8" xfId="1863" xr:uid="{CBCD47D2-80A2-465C-80DD-AAF91E9DBCB8}"/>
    <cellStyle name="Millares 2 2 17 9" xfId="1954" xr:uid="{4BC5670B-581C-4D64-8E23-3EB6B3401C44}"/>
    <cellStyle name="Millares 2 2 18" xfId="1266" xr:uid="{00000000-0005-0000-0000-000032040000}"/>
    <cellStyle name="Millares 2 2 18 10" xfId="2044" xr:uid="{2AC14945-FF4F-4C6F-A35E-1BDEBB86D1C9}"/>
    <cellStyle name="Millares 2 2 18 11" xfId="2135" xr:uid="{F1CD8ACC-31EA-4EA6-B871-F93BB695DB2B}"/>
    <cellStyle name="Millares 2 2 18 12" xfId="2224" xr:uid="{821FD212-023A-43D3-8E3C-FFF64E820515}"/>
    <cellStyle name="Millares 2 2 18 13" xfId="2314" xr:uid="{23D877C1-CF44-4F5C-A1CF-DB66662EB3D4}"/>
    <cellStyle name="Millares 2 2 18 14" xfId="2403" xr:uid="{B01832E9-C6CB-4888-AD9E-D787A7A2312D}"/>
    <cellStyle name="Millares 2 2 18 15" xfId="2493" xr:uid="{DB78AFDD-B3E8-441A-8D9F-48A9049F808F}"/>
    <cellStyle name="Millares 2 2 18 16" xfId="2582" xr:uid="{A31776A7-0BA3-4B3C-A90E-8FC9A9649780}"/>
    <cellStyle name="Millares 2 2 18 17" xfId="2672" xr:uid="{78DA7557-2F41-48F7-B87E-B0DD6A58D762}"/>
    <cellStyle name="Millares 2 2 18 18" xfId="2762" xr:uid="{9798AF64-7ADC-4A95-A41F-B8047AFFE005}"/>
    <cellStyle name="Millares 2 2 18 19" xfId="2852" xr:uid="{37172DEF-03D7-44EE-AC22-4F9A5E66CF2B}"/>
    <cellStyle name="Millares 2 2 18 2" xfId="1312" xr:uid="{00000000-0005-0000-0000-000033040000}"/>
    <cellStyle name="Millares 2 2 18 2 2" xfId="3477" xr:uid="{A35D66FF-94A3-446D-A888-E4ACB9FE8B4A}"/>
    <cellStyle name="Millares 2 2 18 2 3" xfId="3689" xr:uid="{DF6760E6-6022-4E03-8055-C04D4F87C23E}"/>
    <cellStyle name="Millares 2 2 18 20" xfId="2945" xr:uid="{E1105199-00F8-43B4-861B-A874BAE32B99}"/>
    <cellStyle name="Millares 2 2 18 21" xfId="3039" xr:uid="{8787226D-7C87-4DFE-8A7B-AABC7045DFA9}"/>
    <cellStyle name="Millares 2 2 18 22" xfId="3599" xr:uid="{3659FC02-BA0A-44CA-988B-E97F3AE9FAA7}"/>
    <cellStyle name="Millares 2 2 18 3" xfId="1409" xr:uid="{00000000-0005-0000-0000-000034040000}"/>
    <cellStyle name="Millares 2 2 18 4" xfId="1499" xr:uid="{00000000-0005-0000-0000-000035040000}"/>
    <cellStyle name="Millares 2 2 18 5" xfId="1589" xr:uid="{00000000-0005-0000-0000-000036040000}"/>
    <cellStyle name="Millares 2 2 18 6" xfId="1680" xr:uid="{00000000-0005-0000-0000-000037040000}"/>
    <cellStyle name="Millares 2 2 18 7" xfId="1773" xr:uid="{00000000-0005-0000-0000-000038040000}"/>
    <cellStyle name="Millares 2 2 18 8" xfId="1864" xr:uid="{770B2954-E547-4754-B65E-0B06598BDEDF}"/>
    <cellStyle name="Millares 2 2 18 9" xfId="1955" xr:uid="{F62DC970-6D4A-4E20-BA31-ABA5EAACB348}"/>
    <cellStyle name="Millares 2 2 19" xfId="1271" xr:uid="{00000000-0005-0000-0000-000039040000}"/>
    <cellStyle name="Millares 2 2 19 10" xfId="2045" xr:uid="{78CB8D81-1C1C-4FA9-9D76-54D07A0EE43B}"/>
    <cellStyle name="Millares 2 2 19 11" xfId="2136" xr:uid="{E1C81E1C-CE59-46A6-A8EA-E5F2E9A15EE7}"/>
    <cellStyle name="Millares 2 2 19 12" xfId="2225" xr:uid="{CB496E5F-01A5-47F5-BDB9-2F90BF92FC3D}"/>
    <cellStyle name="Millares 2 2 19 13" xfId="2315" xr:uid="{564E1C96-F769-4FBA-BE05-A1C8685CDFF6}"/>
    <cellStyle name="Millares 2 2 19 14" xfId="2404" xr:uid="{00E6C410-328E-4779-A165-23F9E6B4EE3F}"/>
    <cellStyle name="Millares 2 2 19 15" xfId="2494" xr:uid="{AD376C68-677B-4D95-8F4F-59CA44A60D43}"/>
    <cellStyle name="Millares 2 2 19 16" xfId="2583" xr:uid="{6FC78C2B-8488-4036-ABD8-D507BA0361DC}"/>
    <cellStyle name="Millares 2 2 19 17" xfId="2673" xr:uid="{86ADAAEF-2D53-4EAF-B317-5BCC0EA8D0D3}"/>
    <cellStyle name="Millares 2 2 19 18" xfId="2763" xr:uid="{315429A3-213C-4FFD-9782-A259DC0FD8B4}"/>
    <cellStyle name="Millares 2 2 19 19" xfId="2853" xr:uid="{D56F5BE2-6DE0-402E-91D8-5A734C608357}"/>
    <cellStyle name="Millares 2 2 19 2" xfId="1313" xr:uid="{00000000-0005-0000-0000-00003A040000}"/>
    <cellStyle name="Millares 2 2 19 2 2" xfId="3478" xr:uid="{3EE65A50-9A2E-4288-80E3-553CE0898596}"/>
    <cellStyle name="Millares 2 2 19 2 3" xfId="3690" xr:uid="{A73EE00A-D6BE-444B-B6EB-3539E7FBA924}"/>
    <cellStyle name="Millares 2 2 19 20" xfId="2946" xr:uid="{AC8D7A90-B29A-4641-99FE-B6FA39225E18}"/>
    <cellStyle name="Millares 2 2 19 21" xfId="3040" xr:uid="{65C7B291-AAE0-469B-A141-1E8C16ED49A4}"/>
    <cellStyle name="Millares 2 2 19 22" xfId="3600" xr:uid="{B8638172-8D35-4A8F-A294-E6BD0865C6A7}"/>
    <cellStyle name="Millares 2 2 19 3" xfId="1410" xr:uid="{00000000-0005-0000-0000-00003B040000}"/>
    <cellStyle name="Millares 2 2 19 4" xfId="1500" xr:uid="{00000000-0005-0000-0000-00003C040000}"/>
    <cellStyle name="Millares 2 2 19 5" xfId="1590" xr:uid="{00000000-0005-0000-0000-00003D040000}"/>
    <cellStyle name="Millares 2 2 19 6" xfId="1681" xr:uid="{00000000-0005-0000-0000-00003E040000}"/>
    <cellStyle name="Millares 2 2 19 7" xfId="1774" xr:uid="{00000000-0005-0000-0000-00003F040000}"/>
    <cellStyle name="Millares 2 2 19 8" xfId="1865" xr:uid="{7251B3DC-8292-48CA-9E39-6C179D4FD71A}"/>
    <cellStyle name="Millares 2 2 19 9" xfId="1956" xr:uid="{76BDC2FE-E062-4939-BDA4-0DC1917A8525}"/>
    <cellStyle name="Millares 2 2 2" xfId="1196" xr:uid="{00000000-0005-0000-0000-000040040000}"/>
    <cellStyle name="Millares 2 2 2 10" xfId="2046" xr:uid="{100AE71C-96D7-4BD7-B621-4480C2DFD4F5}"/>
    <cellStyle name="Millares 2 2 2 11" xfId="2137" xr:uid="{ABA3D037-BC6E-40D5-9FA7-87E8417CE002}"/>
    <cellStyle name="Millares 2 2 2 12" xfId="2226" xr:uid="{517AECF3-77A7-4F5B-86E7-19DD2FA9A91F}"/>
    <cellStyle name="Millares 2 2 2 13" xfId="2316" xr:uid="{3C21CEAA-AA10-4A15-B88B-D71CAC242AF3}"/>
    <cellStyle name="Millares 2 2 2 14" xfId="2405" xr:uid="{1AC31964-6F9D-402E-9D21-85D42F1A206C}"/>
    <cellStyle name="Millares 2 2 2 15" xfId="2495" xr:uid="{AAD2D71F-2CB6-4C5F-AD9C-2DACE35A29F6}"/>
    <cellStyle name="Millares 2 2 2 16" xfId="2584" xr:uid="{EE99379D-BAE5-4E52-81A0-E83AC8156060}"/>
    <cellStyle name="Millares 2 2 2 17" xfId="2674" xr:uid="{A22FF0C5-991D-47EA-8C48-D4EB9C6052B8}"/>
    <cellStyle name="Millares 2 2 2 18" xfId="2764" xr:uid="{80B53F66-5E46-48E9-9704-815B28A8C0FE}"/>
    <cellStyle name="Millares 2 2 2 19" xfId="2854" xr:uid="{7C778501-0505-4825-A9CB-14871E505CFD}"/>
    <cellStyle name="Millares 2 2 2 2" xfId="1314" xr:uid="{00000000-0005-0000-0000-000041040000}"/>
    <cellStyle name="Millares 2 2 2 2 2" xfId="3479" xr:uid="{2A9E5242-FF40-4A1E-8009-DF473E7B1EA7}"/>
    <cellStyle name="Millares 2 2 2 2 3" xfId="3691" xr:uid="{37E559CF-5A10-42FE-A914-F9A22C55D289}"/>
    <cellStyle name="Millares 2 2 2 20" xfId="2947" xr:uid="{1122B5FD-C264-4A40-8327-FA9D9DFFE8B6}"/>
    <cellStyle name="Millares 2 2 2 21" xfId="3041" xr:uid="{3F376EB5-D875-4AC1-B85B-FA195B0A413A}"/>
    <cellStyle name="Millares 2 2 2 22" xfId="3601" xr:uid="{EAAB27AB-E1AB-44A9-88BF-CB1C90C4B5E0}"/>
    <cellStyle name="Millares 2 2 2 3" xfId="1411" xr:uid="{00000000-0005-0000-0000-000042040000}"/>
    <cellStyle name="Millares 2 2 2 4" xfId="1501" xr:uid="{00000000-0005-0000-0000-000043040000}"/>
    <cellStyle name="Millares 2 2 2 5" xfId="1591" xr:uid="{00000000-0005-0000-0000-000044040000}"/>
    <cellStyle name="Millares 2 2 2 6" xfId="1682" xr:uid="{00000000-0005-0000-0000-000045040000}"/>
    <cellStyle name="Millares 2 2 2 7" xfId="1775" xr:uid="{00000000-0005-0000-0000-000046040000}"/>
    <cellStyle name="Millares 2 2 2 8" xfId="1866" xr:uid="{C843F626-3C78-4470-826D-5A1613577C0D}"/>
    <cellStyle name="Millares 2 2 2 9" xfId="1957" xr:uid="{16DF5A3D-59A8-42BC-9920-EF3F0EBB501A}"/>
    <cellStyle name="Millares 2 2 20" xfId="1275" xr:uid="{00000000-0005-0000-0000-000047040000}"/>
    <cellStyle name="Millares 2 2 20 10" xfId="2047" xr:uid="{76BC28AB-DBE1-4A72-8E89-E4AA0E78FA08}"/>
    <cellStyle name="Millares 2 2 20 11" xfId="2138" xr:uid="{062806A7-1B70-4F2B-893E-629319B8107E}"/>
    <cellStyle name="Millares 2 2 20 12" xfId="2227" xr:uid="{F2055C96-AEA3-4FCF-8B20-64A30AA859E6}"/>
    <cellStyle name="Millares 2 2 20 13" xfId="2317" xr:uid="{E6FADCAE-83E5-448C-A694-AD5D056ECCFE}"/>
    <cellStyle name="Millares 2 2 20 14" xfId="2406" xr:uid="{02F27CDD-2488-4797-947C-82791CD01CDB}"/>
    <cellStyle name="Millares 2 2 20 15" xfId="2496" xr:uid="{8F8BD5DA-9179-4DEF-A633-29C58AD10D6A}"/>
    <cellStyle name="Millares 2 2 20 16" xfId="2585" xr:uid="{2F661A53-63F3-4D63-96EA-04D0F85CBE38}"/>
    <cellStyle name="Millares 2 2 20 17" xfId="2675" xr:uid="{F6EC7995-2A81-44F8-BF25-A640033E0F90}"/>
    <cellStyle name="Millares 2 2 20 18" xfId="2765" xr:uid="{8A5F6990-C7D2-4439-9B8F-369C6A8B70F9}"/>
    <cellStyle name="Millares 2 2 20 19" xfId="2855" xr:uid="{3EA3FE22-3BB8-43A7-9F7D-C574BC305C32}"/>
    <cellStyle name="Millares 2 2 20 2" xfId="1315" xr:uid="{00000000-0005-0000-0000-000048040000}"/>
    <cellStyle name="Millares 2 2 20 2 2" xfId="3480" xr:uid="{D563BC58-15E5-4DB9-8E86-B3E42AA9CDC4}"/>
    <cellStyle name="Millares 2 2 20 2 3" xfId="3692" xr:uid="{3F7B23FE-2489-41C7-83D4-D02AB51B6A1F}"/>
    <cellStyle name="Millares 2 2 20 20" xfId="2948" xr:uid="{DF2B9952-6900-4852-81E6-B6FDF677A1B9}"/>
    <cellStyle name="Millares 2 2 20 21" xfId="3042" xr:uid="{E51C6C13-8EEA-4F53-98AD-A9FF6DE0B8B4}"/>
    <cellStyle name="Millares 2 2 20 22" xfId="3602" xr:uid="{95B64A98-9FAA-4FB8-A5F5-46373D808159}"/>
    <cellStyle name="Millares 2 2 20 3" xfId="1412" xr:uid="{00000000-0005-0000-0000-000049040000}"/>
    <cellStyle name="Millares 2 2 20 4" xfId="1502" xr:uid="{00000000-0005-0000-0000-00004A040000}"/>
    <cellStyle name="Millares 2 2 20 5" xfId="1592" xr:uid="{00000000-0005-0000-0000-00004B040000}"/>
    <cellStyle name="Millares 2 2 20 6" xfId="1683" xr:uid="{00000000-0005-0000-0000-00004C040000}"/>
    <cellStyle name="Millares 2 2 20 7" xfId="1776" xr:uid="{00000000-0005-0000-0000-00004D040000}"/>
    <cellStyle name="Millares 2 2 20 8" xfId="1867" xr:uid="{3F7C105C-4337-4DCC-9DB6-EE989BCCEBE8}"/>
    <cellStyle name="Millares 2 2 20 9" xfId="1958" xr:uid="{6347FCF7-2218-4B94-BBF0-A2F7D5AEB168}"/>
    <cellStyle name="Millares 2 2 21" xfId="1279" xr:uid="{00000000-0005-0000-0000-00004E040000}"/>
    <cellStyle name="Millares 2 2 21 10" xfId="2048" xr:uid="{D3BDEFA1-C1CA-4FB3-BCC2-1C10A94348D7}"/>
    <cellStyle name="Millares 2 2 21 11" xfId="2139" xr:uid="{DD05EB11-4EFA-45C2-A891-FBDBB08CD854}"/>
    <cellStyle name="Millares 2 2 21 12" xfId="2228" xr:uid="{04864A00-0C78-4514-8945-C52BD73EED6A}"/>
    <cellStyle name="Millares 2 2 21 13" xfId="2318" xr:uid="{3283DFBC-0E58-4F1D-8DEA-77549FF39CA2}"/>
    <cellStyle name="Millares 2 2 21 14" xfId="2407" xr:uid="{2E149305-9E63-4813-8550-9485646444BB}"/>
    <cellStyle name="Millares 2 2 21 15" xfId="2497" xr:uid="{1DE95785-0678-4C8E-B9E0-2E99FFEEDF70}"/>
    <cellStyle name="Millares 2 2 21 16" xfId="2586" xr:uid="{FAA7D097-EE79-4BB1-9923-8B59B35240D9}"/>
    <cellStyle name="Millares 2 2 21 17" xfId="2676" xr:uid="{13CA8450-CAAE-4F52-BC89-2DCF55B1A48A}"/>
    <cellStyle name="Millares 2 2 21 18" xfId="2766" xr:uid="{F76A4B25-70B9-4721-98DB-3C3C79AB98D7}"/>
    <cellStyle name="Millares 2 2 21 19" xfId="2856" xr:uid="{10850332-F08F-498A-80C6-C7764D1F724E}"/>
    <cellStyle name="Millares 2 2 21 2" xfId="1316" xr:uid="{00000000-0005-0000-0000-00004F040000}"/>
    <cellStyle name="Millares 2 2 21 2 2" xfId="3481" xr:uid="{A4F09FFA-82E5-45C7-BCD2-1668F22C782F}"/>
    <cellStyle name="Millares 2 2 21 2 3" xfId="3693" xr:uid="{69B3DCE6-D05E-40CB-9290-B8009B03ABA8}"/>
    <cellStyle name="Millares 2 2 21 20" xfId="2949" xr:uid="{312C7BB4-A380-49B5-A1C3-41E8D59B8BC4}"/>
    <cellStyle name="Millares 2 2 21 21" xfId="3043" xr:uid="{815B889E-CECE-492A-BDCD-C20F8C5B6199}"/>
    <cellStyle name="Millares 2 2 21 22" xfId="3603" xr:uid="{44251C07-2634-4FAB-8DCA-7493C20367B4}"/>
    <cellStyle name="Millares 2 2 21 3" xfId="1413" xr:uid="{00000000-0005-0000-0000-000050040000}"/>
    <cellStyle name="Millares 2 2 21 4" xfId="1503" xr:uid="{00000000-0005-0000-0000-000051040000}"/>
    <cellStyle name="Millares 2 2 21 5" xfId="1593" xr:uid="{00000000-0005-0000-0000-000052040000}"/>
    <cellStyle name="Millares 2 2 21 6" xfId="1684" xr:uid="{00000000-0005-0000-0000-000053040000}"/>
    <cellStyle name="Millares 2 2 21 7" xfId="1777" xr:uid="{00000000-0005-0000-0000-000054040000}"/>
    <cellStyle name="Millares 2 2 21 8" xfId="1868" xr:uid="{A444C3DD-4CCE-455D-B3B9-6D9E534A9E32}"/>
    <cellStyle name="Millares 2 2 21 9" xfId="1959" xr:uid="{63AF042F-EB9A-4128-9701-D684A27F94AF}"/>
    <cellStyle name="Millares 2 2 22" xfId="1317" xr:uid="{00000000-0005-0000-0000-000055040000}"/>
    <cellStyle name="Millares 2 2 22 10" xfId="2140" xr:uid="{B25F22BC-AEB6-4306-A208-EAC2FF859C32}"/>
    <cellStyle name="Millares 2 2 22 11" xfId="2229" xr:uid="{E994A72F-2686-4987-840B-D5EC5E323ABE}"/>
    <cellStyle name="Millares 2 2 22 12" xfId="2319" xr:uid="{C86490FF-5FDA-4D18-8B89-ACE4541E2287}"/>
    <cellStyle name="Millares 2 2 22 13" xfId="2408" xr:uid="{55D28268-73E8-4646-ACCA-3CBE97155947}"/>
    <cellStyle name="Millares 2 2 22 14" xfId="2498" xr:uid="{F5E52628-F5E3-4774-AD21-99D24FD85980}"/>
    <cellStyle name="Millares 2 2 22 15" xfId="2587" xr:uid="{0915B14F-F3B3-4B1B-BAAD-C5FF44F462C6}"/>
    <cellStyle name="Millares 2 2 22 16" xfId="2677" xr:uid="{AA10F8D7-AA04-4F4D-BC5A-8EF6C820CE77}"/>
    <cellStyle name="Millares 2 2 22 17" xfId="2767" xr:uid="{9E25DFEB-897B-4A2A-B99F-267771421EB7}"/>
    <cellStyle name="Millares 2 2 22 18" xfId="2857" xr:uid="{721D279E-56DB-4AE9-8D46-CCB5D02A6744}"/>
    <cellStyle name="Millares 2 2 22 19" xfId="2950" xr:uid="{93E03F24-C58A-4A58-A95B-3D1A04AACE1C}"/>
    <cellStyle name="Millares 2 2 22 2" xfId="1414" xr:uid="{00000000-0005-0000-0000-000056040000}"/>
    <cellStyle name="Millares 2 2 22 2 2" xfId="3482" xr:uid="{F40126E0-4B48-4B89-904F-74C79965C8A8}"/>
    <cellStyle name="Millares 2 2 22 2 3" xfId="3694" xr:uid="{AF495A7A-6E73-446C-9F69-A9C19970A019}"/>
    <cellStyle name="Millares 2 2 22 20" xfId="3044" xr:uid="{DDB1A3C6-C277-4C90-866C-2F1E3D9EFF7A}"/>
    <cellStyle name="Millares 2 2 22 21" xfId="3604" xr:uid="{D0250288-22FE-4E1C-A791-F7B2EC5372CE}"/>
    <cellStyle name="Millares 2 2 22 3" xfId="1504" xr:uid="{00000000-0005-0000-0000-000057040000}"/>
    <cellStyle name="Millares 2 2 22 4" xfId="1594" xr:uid="{00000000-0005-0000-0000-000058040000}"/>
    <cellStyle name="Millares 2 2 22 5" xfId="1685" xr:uid="{00000000-0005-0000-0000-000059040000}"/>
    <cellStyle name="Millares 2 2 22 6" xfId="1778" xr:uid="{00000000-0005-0000-0000-00005A040000}"/>
    <cellStyle name="Millares 2 2 22 7" xfId="1869" xr:uid="{8D9C279D-389F-4710-8DC4-CAE4647C77AE}"/>
    <cellStyle name="Millares 2 2 22 8" xfId="1960" xr:uid="{C0EDF200-BF4E-428C-819E-CB89652698E7}"/>
    <cellStyle name="Millares 2 2 22 9" xfId="2049" xr:uid="{2897AF55-9509-46BD-BFD2-4E91634567F8}"/>
    <cellStyle name="Millares 2 2 23" xfId="1303" xr:uid="{00000000-0005-0000-0000-00005B040000}"/>
    <cellStyle name="Millares 2 2 23 2" xfId="3468" xr:uid="{81EC75EE-2BA7-493D-956B-68C94FA20093}"/>
    <cellStyle name="Millares 2 2 23 3" xfId="3680" xr:uid="{1590CE34-F036-496E-BCDF-524C90F14DA5}"/>
    <cellStyle name="Millares 2 2 24" xfId="1400" xr:uid="{00000000-0005-0000-0000-00005C040000}"/>
    <cellStyle name="Millares 2 2 25" xfId="1490" xr:uid="{00000000-0005-0000-0000-00005D040000}"/>
    <cellStyle name="Millares 2 2 26" xfId="1580" xr:uid="{00000000-0005-0000-0000-00005E040000}"/>
    <cellStyle name="Millares 2 2 27" xfId="1671" xr:uid="{00000000-0005-0000-0000-00005F040000}"/>
    <cellStyle name="Millares 2 2 28" xfId="1764" xr:uid="{00000000-0005-0000-0000-000060040000}"/>
    <cellStyle name="Millares 2 2 29" xfId="1855" xr:uid="{566B1E83-BF6A-4B09-87A4-12634AC5845F}"/>
    <cellStyle name="Millares 2 2 3" xfId="1201" xr:uid="{00000000-0005-0000-0000-000061040000}"/>
    <cellStyle name="Millares 2 2 3 10" xfId="2050" xr:uid="{E6626775-DD43-4D42-B15F-4072C4CFC41D}"/>
    <cellStyle name="Millares 2 2 3 11" xfId="2141" xr:uid="{B5F08C5B-09F6-498B-9BF1-3AD5A67DDAB6}"/>
    <cellStyle name="Millares 2 2 3 12" xfId="2230" xr:uid="{BF5636DC-3ACF-485F-BC1F-B7B10C05F339}"/>
    <cellStyle name="Millares 2 2 3 13" xfId="2320" xr:uid="{6512A2D8-6AB3-43E7-A06C-8FC7D8711A1E}"/>
    <cellStyle name="Millares 2 2 3 14" xfId="2409" xr:uid="{CC28860B-B86E-4AFA-B945-4C72C231325F}"/>
    <cellStyle name="Millares 2 2 3 15" xfId="2499" xr:uid="{A01F336A-0DAA-402E-9789-4C57D49C396A}"/>
    <cellStyle name="Millares 2 2 3 16" xfId="2588" xr:uid="{8C36C4B9-D88D-49A0-9F99-020047F5DE23}"/>
    <cellStyle name="Millares 2 2 3 17" xfId="2678" xr:uid="{77970AF4-B39D-4F7B-A087-ADF540F1896C}"/>
    <cellStyle name="Millares 2 2 3 18" xfId="2768" xr:uid="{DD0D0D02-06F0-483C-A4FE-6CCCEAC13F1B}"/>
    <cellStyle name="Millares 2 2 3 19" xfId="2858" xr:uid="{78BA2E58-EA01-4CD8-A191-C3AEB099BBC9}"/>
    <cellStyle name="Millares 2 2 3 2" xfId="1318" xr:uid="{00000000-0005-0000-0000-000062040000}"/>
    <cellStyle name="Millares 2 2 3 2 2" xfId="3483" xr:uid="{6EC0E2AA-9EF0-4C4A-9970-A664C0AE8CC8}"/>
    <cellStyle name="Millares 2 2 3 2 3" xfId="3695" xr:uid="{4120D161-18F3-4B37-919D-5947BD946E3B}"/>
    <cellStyle name="Millares 2 2 3 20" xfId="2951" xr:uid="{0005FF11-EA69-4EDE-A0D8-50D2587F1E87}"/>
    <cellStyle name="Millares 2 2 3 21" xfId="3045" xr:uid="{656287C2-EC26-4446-9451-7668E771A7DC}"/>
    <cellStyle name="Millares 2 2 3 22" xfId="3605" xr:uid="{A6C39FEE-60E8-4538-B5BC-FF90C95E3846}"/>
    <cellStyle name="Millares 2 2 3 3" xfId="1415" xr:uid="{00000000-0005-0000-0000-000063040000}"/>
    <cellStyle name="Millares 2 2 3 4" xfId="1505" xr:uid="{00000000-0005-0000-0000-000064040000}"/>
    <cellStyle name="Millares 2 2 3 5" xfId="1595" xr:uid="{00000000-0005-0000-0000-000065040000}"/>
    <cellStyle name="Millares 2 2 3 6" xfId="1686" xr:uid="{00000000-0005-0000-0000-000066040000}"/>
    <cellStyle name="Millares 2 2 3 7" xfId="1779" xr:uid="{00000000-0005-0000-0000-000067040000}"/>
    <cellStyle name="Millares 2 2 3 8" xfId="1870" xr:uid="{A605C820-DFC7-44EA-9171-ED7088BBC689}"/>
    <cellStyle name="Millares 2 2 3 9" xfId="1961" xr:uid="{526D2E52-8AC3-466F-BFF8-0ED0F7C28FEC}"/>
    <cellStyle name="Millares 2 2 30" xfId="1946" xr:uid="{24A501FA-81EF-48B4-B951-CA39B783E575}"/>
    <cellStyle name="Millares 2 2 31" xfId="2035" xr:uid="{70EBAF2F-9FDA-4179-A97B-44208D817453}"/>
    <cellStyle name="Millares 2 2 32" xfId="2126" xr:uid="{5111F2F8-3449-4B40-AA80-62AD070E762B}"/>
    <cellStyle name="Millares 2 2 33" xfId="2215" xr:uid="{D74F1F3E-CFC9-49BE-A794-F8EA666ED863}"/>
    <cellStyle name="Millares 2 2 34" xfId="2305" xr:uid="{82420328-E021-4154-8894-93AD128A2917}"/>
    <cellStyle name="Millares 2 2 35" xfId="2394" xr:uid="{76A079BF-9B2E-4636-97A7-EF0F0D9892F0}"/>
    <cellStyle name="Millares 2 2 36" xfId="2484" xr:uid="{5D377580-2081-4A61-AA2D-42EEF5046380}"/>
    <cellStyle name="Millares 2 2 37" xfId="2573" xr:uid="{89F3BE1F-903A-469F-BD5D-3EF9A7DD4C45}"/>
    <cellStyle name="Millares 2 2 38" xfId="2663" xr:uid="{F540FF7A-33BF-4BF6-87AB-4443653BAAD9}"/>
    <cellStyle name="Millares 2 2 39" xfId="2753" xr:uid="{B1F2F73D-2970-4F33-ABF1-6605889F7F5A}"/>
    <cellStyle name="Millares 2 2 4" xfId="1206" xr:uid="{00000000-0005-0000-0000-000068040000}"/>
    <cellStyle name="Millares 2 2 4 10" xfId="2051" xr:uid="{E2CD9D11-5740-4A2B-BD03-BC1415147920}"/>
    <cellStyle name="Millares 2 2 4 11" xfId="2142" xr:uid="{623FDB46-C344-4AA6-9296-450EBE1C485D}"/>
    <cellStyle name="Millares 2 2 4 12" xfId="2231" xr:uid="{A52D7FBC-43EF-4C37-AFA1-CA817613ADD0}"/>
    <cellStyle name="Millares 2 2 4 13" xfId="2321" xr:uid="{F39084AA-28F7-46D5-98C2-AF881E5BF832}"/>
    <cellStyle name="Millares 2 2 4 14" xfId="2410" xr:uid="{D29BFC79-3BC4-412A-B406-D600530C950F}"/>
    <cellStyle name="Millares 2 2 4 15" xfId="2500" xr:uid="{618C6AE4-7A21-45C2-B783-84D059BCF3EF}"/>
    <cellStyle name="Millares 2 2 4 16" xfId="2589" xr:uid="{9D0B8B78-1AB1-4857-9F62-B4170FB35084}"/>
    <cellStyle name="Millares 2 2 4 17" xfId="2679" xr:uid="{4B618CD9-D097-4CEA-8B8D-361E7EAD3D89}"/>
    <cellStyle name="Millares 2 2 4 18" xfId="2769" xr:uid="{19AE2E99-E71C-44DC-BCDB-B1942C50E131}"/>
    <cellStyle name="Millares 2 2 4 19" xfId="2859" xr:uid="{54BFE826-7A12-455C-A807-C04573099AB0}"/>
    <cellStyle name="Millares 2 2 4 2" xfId="1319" xr:uid="{00000000-0005-0000-0000-000069040000}"/>
    <cellStyle name="Millares 2 2 4 2 2" xfId="3484" xr:uid="{1BDF76CA-0632-46AE-AFA5-031DD0338F56}"/>
    <cellStyle name="Millares 2 2 4 2 3" xfId="3696" xr:uid="{82679F27-7521-44EF-AF10-2C89F2CEFE2F}"/>
    <cellStyle name="Millares 2 2 4 20" xfId="2952" xr:uid="{B30FAB9D-DEB9-4B14-B5A8-D69605F2E23B}"/>
    <cellStyle name="Millares 2 2 4 21" xfId="3046" xr:uid="{928F3D8E-E0E4-48D0-A91B-810CAD49A8F3}"/>
    <cellStyle name="Millares 2 2 4 22" xfId="3606" xr:uid="{F569B6D0-2C9C-48AA-82A4-F55E021167BA}"/>
    <cellStyle name="Millares 2 2 4 3" xfId="1416" xr:uid="{00000000-0005-0000-0000-00006A040000}"/>
    <cellStyle name="Millares 2 2 4 4" xfId="1506" xr:uid="{00000000-0005-0000-0000-00006B040000}"/>
    <cellStyle name="Millares 2 2 4 5" xfId="1596" xr:uid="{00000000-0005-0000-0000-00006C040000}"/>
    <cellStyle name="Millares 2 2 4 6" xfId="1687" xr:uid="{00000000-0005-0000-0000-00006D040000}"/>
    <cellStyle name="Millares 2 2 4 7" xfId="1780" xr:uid="{00000000-0005-0000-0000-00006E040000}"/>
    <cellStyle name="Millares 2 2 4 8" xfId="1871" xr:uid="{17ADDDA2-1D9C-413A-ADD8-FC291ED2F04C}"/>
    <cellStyle name="Millares 2 2 4 9" xfId="1962" xr:uid="{82F23980-D9C7-4C5A-8A06-6B73715C3580}"/>
    <cellStyle name="Millares 2 2 40" xfId="2843" xr:uid="{195D9B65-86EC-4985-AB3C-E6DE20CDF678}"/>
    <cellStyle name="Millares 2 2 41" xfId="2936" xr:uid="{A373A33F-BB89-4AEA-B69A-EC50BC742BDF}"/>
    <cellStyle name="Millares 2 2 42" xfId="3030" xr:uid="{089A6D5C-3B36-40BE-AA32-4A8B183EE83D}"/>
    <cellStyle name="Millares 2 2 43" xfId="3590" xr:uid="{AAF15BD2-2B32-49DB-A076-D7882CEDEBAE}"/>
    <cellStyle name="Millares 2 2 5" xfId="1210" xr:uid="{00000000-0005-0000-0000-00006F040000}"/>
    <cellStyle name="Millares 2 2 5 10" xfId="2052" xr:uid="{B8B45D47-E0CE-480A-9060-02C2D471BA2D}"/>
    <cellStyle name="Millares 2 2 5 11" xfId="2143" xr:uid="{87862B0C-08EC-4675-8A67-BA1EA05A7210}"/>
    <cellStyle name="Millares 2 2 5 12" xfId="2232" xr:uid="{DE2D6435-FF88-40EE-A16C-2A2DF06F597F}"/>
    <cellStyle name="Millares 2 2 5 13" xfId="2322" xr:uid="{B420EDD1-6076-4CC7-8991-6AD1EB64B187}"/>
    <cellStyle name="Millares 2 2 5 14" xfId="2411" xr:uid="{FA780CF6-BE89-485A-9943-A6F5352ECC91}"/>
    <cellStyle name="Millares 2 2 5 15" xfId="2501" xr:uid="{67667074-BE42-4DFF-93FF-93C9760AE9D7}"/>
    <cellStyle name="Millares 2 2 5 16" xfId="2590" xr:uid="{26E09625-04EE-45E2-87E7-59DEC7EAF171}"/>
    <cellStyle name="Millares 2 2 5 17" xfId="2680" xr:uid="{650E9140-CE67-45F7-926D-45457757FF52}"/>
    <cellStyle name="Millares 2 2 5 18" xfId="2770" xr:uid="{88F94B92-5351-4A86-B19E-9BC694BD8530}"/>
    <cellStyle name="Millares 2 2 5 19" xfId="2860" xr:uid="{33BCC278-1F51-45E2-8032-F420D61ACD56}"/>
    <cellStyle name="Millares 2 2 5 2" xfId="1320" xr:uid="{00000000-0005-0000-0000-000070040000}"/>
    <cellStyle name="Millares 2 2 5 2 2" xfId="3485" xr:uid="{E864AA60-5561-4E7E-B904-9B127D9DB75C}"/>
    <cellStyle name="Millares 2 2 5 2 3" xfId="3697" xr:uid="{554229DD-050D-4769-B897-0C6407A90B30}"/>
    <cellStyle name="Millares 2 2 5 20" xfId="2953" xr:uid="{CA6D63C2-05B2-44BC-BCC5-5C8BDD9EDAF1}"/>
    <cellStyle name="Millares 2 2 5 21" xfId="3047" xr:uid="{1C537201-6367-4C9A-93CB-0437DE3EC251}"/>
    <cellStyle name="Millares 2 2 5 22" xfId="3607" xr:uid="{A94AAE80-9211-44C1-9400-80F066A2AA67}"/>
    <cellStyle name="Millares 2 2 5 3" xfId="1417" xr:uid="{00000000-0005-0000-0000-000071040000}"/>
    <cellStyle name="Millares 2 2 5 4" xfId="1507" xr:uid="{00000000-0005-0000-0000-000072040000}"/>
    <cellStyle name="Millares 2 2 5 5" xfId="1597" xr:uid="{00000000-0005-0000-0000-000073040000}"/>
    <cellStyle name="Millares 2 2 5 6" xfId="1688" xr:uid="{00000000-0005-0000-0000-000074040000}"/>
    <cellStyle name="Millares 2 2 5 7" xfId="1781" xr:uid="{00000000-0005-0000-0000-000075040000}"/>
    <cellStyle name="Millares 2 2 5 8" xfId="1872" xr:uid="{9B7D5247-DA01-40B8-9A32-6A196D8FD984}"/>
    <cellStyle name="Millares 2 2 5 9" xfId="1963" xr:uid="{8DF630DD-8556-4D20-AEFF-0061B5AC5376}"/>
    <cellStyle name="Millares 2 2 6" xfId="1214" xr:uid="{00000000-0005-0000-0000-000076040000}"/>
    <cellStyle name="Millares 2 2 6 10" xfId="2053" xr:uid="{F61759B8-B60D-4DB6-A998-2B6AFBC7FA7F}"/>
    <cellStyle name="Millares 2 2 6 11" xfId="2144" xr:uid="{EDA2E6AA-DC49-461F-AE2F-53662C924947}"/>
    <cellStyle name="Millares 2 2 6 12" xfId="2233" xr:uid="{90318EA6-E2A5-41D3-8303-D9C3BAC91BE3}"/>
    <cellStyle name="Millares 2 2 6 13" xfId="2323" xr:uid="{DA71A7DB-5D78-4E2B-A262-61895D38A065}"/>
    <cellStyle name="Millares 2 2 6 14" xfId="2412" xr:uid="{72B93343-0D8E-4B66-91AC-B0F67495A7FF}"/>
    <cellStyle name="Millares 2 2 6 15" xfId="2502" xr:uid="{28CFB1E1-FC4B-42E3-84BB-C10673400D57}"/>
    <cellStyle name="Millares 2 2 6 16" xfId="2591" xr:uid="{FD0F444B-F959-4E90-AA0B-676CE957F97B}"/>
    <cellStyle name="Millares 2 2 6 17" xfId="2681" xr:uid="{E393B59C-656B-4884-A5FD-03C48E210105}"/>
    <cellStyle name="Millares 2 2 6 18" xfId="2771" xr:uid="{E2427C3E-DCA5-4D0B-8C4E-F369A42DBDA8}"/>
    <cellStyle name="Millares 2 2 6 19" xfId="2861" xr:uid="{7920A529-9EDB-49C1-ACFA-DD5B7B1A1309}"/>
    <cellStyle name="Millares 2 2 6 2" xfId="1321" xr:uid="{00000000-0005-0000-0000-000077040000}"/>
    <cellStyle name="Millares 2 2 6 2 2" xfId="3486" xr:uid="{5F1475D7-6B0F-4A85-A25C-D00B7F1BCB0E}"/>
    <cellStyle name="Millares 2 2 6 2 3" xfId="3698" xr:uid="{FD250905-B3D1-4D2F-AFC7-85810B4B83FA}"/>
    <cellStyle name="Millares 2 2 6 20" xfId="2954" xr:uid="{390ABF9F-E958-41E1-8934-D8CC54913296}"/>
    <cellStyle name="Millares 2 2 6 21" xfId="3048" xr:uid="{EFD3D1EB-20A9-4737-8162-B20FA08BDA47}"/>
    <cellStyle name="Millares 2 2 6 22" xfId="3608" xr:uid="{367EC54D-51FD-4D02-AA7E-B98BC096C3A1}"/>
    <cellStyle name="Millares 2 2 6 3" xfId="1418" xr:uid="{00000000-0005-0000-0000-000078040000}"/>
    <cellStyle name="Millares 2 2 6 4" xfId="1508" xr:uid="{00000000-0005-0000-0000-000079040000}"/>
    <cellStyle name="Millares 2 2 6 5" xfId="1598" xr:uid="{00000000-0005-0000-0000-00007A040000}"/>
    <cellStyle name="Millares 2 2 6 6" xfId="1689" xr:uid="{00000000-0005-0000-0000-00007B040000}"/>
    <cellStyle name="Millares 2 2 6 7" xfId="1782" xr:uid="{00000000-0005-0000-0000-00007C040000}"/>
    <cellStyle name="Millares 2 2 6 8" xfId="1873" xr:uid="{B1E043CF-C88E-4A03-B3B1-58D8E5367F76}"/>
    <cellStyle name="Millares 2 2 6 9" xfId="1964" xr:uid="{3C6DE352-4C7A-4911-9F33-464E7CA31B06}"/>
    <cellStyle name="Millares 2 2 7" xfId="1218" xr:uid="{00000000-0005-0000-0000-00007D040000}"/>
    <cellStyle name="Millares 2 2 7 10" xfId="2054" xr:uid="{3765E4FB-70EA-4CD1-B6D9-CDC8A1D522AD}"/>
    <cellStyle name="Millares 2 2 7 11" xfId="2145" xr:uid="{3981F9FB-654A-4E2C-A987-5DD0E01F3777}"/>
    <cellStyle name="Millares 2 2 7 12" xfId="2234" xr:uid="{D36FA325-E171-48E9-9B4D-B0255B837055}"/>
    <cellStyle name="Millares 2 2 7 13" xfId="2324" xr:uid="{8845D00E-B5AB-41AF-98BF-A8037BA55D14}"/>
    <cellStyle name="Millares 2 2 7 14" xfId="2413" xr:uid="{378C5DD8-7ADB-4EA4-9832-F4A39F37484D}"/>
    <cellStyle name="Millares 2 2 7 15" xfId="2503" xr:uid="{E2D28AF0-58EE-408A-B621-62CBEBF4377A}"/>
    <cellStyle name="Millares 2 2 7 16" xfId="2592" xr:uid="{057EB366-D30A-45F5-AFBF-399452FF9B3D}"/>
    <cellStyle name="Millares 2 2 7 17" xfId="2682" xr:uid="{391C2AD3-02D9-461C-A666-9563D3470016}"/>
    <cellStyle name="Millares 2 2 7 18" xfId="2772" xr:uid="{1038DDA2-67D1-46CA-8006-0B71E0E202CB}"/>
    <cellStyle name="Millares 2 2 7 19" xfId="2862" xr:uid="{EE40C070-78C2-4BF2-8583-EC2D35BB2DE4}"/>
    <cellStyle name="Millares 2 2 7 2" xfId="1322" xr:uid="{00000000-0005-0000-0000-00007E040000}"/>
    <cellStyle name="Millares 2 2 7 2 2" xfId="3487" xr:uid="{CAD2B92E-F14F-4560-848B-9B664197886A}"/>
    <cellStyle name="Millares 2 2 7 2 3" xfId="3699" xr:uid="{A1ED0C63-D2DD-46BC-ABF1-7CAF129AB89E}"/>
    <cellStyle name="Millares 2 2 7 20" xfId="2955" xr:uid="{5852B54E-F669-453C-A4E7-032FE5FB1E2A}"/>
    <cellStyle name="Millares 2 2 7 21" xfId="3049" xr:uid="{375A20E6-63C5-4519-B715-CA1530A9D7B4}"/>
    <cellStyle name="Millares 2 2 7 22" xfId="3609" xr:uid="{806A129F-8306-4912-8F93-0B708298E052}"/>
    <cellStyle name="Millares 2 2 7 3" xfId="1419" xr:uid="{00000000-0005-0000-0000-00007F040000}"/>
    <cellStyle name="Millares 2 2 7 4" xfId="1509" xr:uid="{00000000-0005-0000-0000-000080040000}"/>
    <cellStyle name="Millares 2 2 7 5" xfId="1599" xr:uid="{00000000-0005-0000-0000-000081040000}"/>
    <cellStyle name="Millares 2 2 7 6" xfId="1690" xr:uid="{00000000-0005-0000-0000-000082040000}"/>
    <cellStyle name="Millares 2 2 7 7" xfId="1783" xr:uid="{00000000-0005-0000-0000-000083040000}"/>
    <cellStyle name="Millares 2 2 7 8" xfId="1874" xr:uid="{C6CD33E0-1AE9-408D-B60C-2A8D32DB4685}"/>
    <cellStyle name="Millares 2 2 7 9" xfId="1965" xr:uid="{A5DE05DE-F16E-44FA-A3E8-C946CFB32F90}"/>
    <cellStyle name="Millares 2 2 8" xfId="1222" xr:uid="{00000000-0005-0000-0000-000084040000}"/>
    <cellStyle name="Millares 2 2 8 10" xfId="2055" xr:uid="{0FB57434-DAA0-4389-A59A-2D1594E9BDAA}"/>
    <cellStyle name="Millares 2 2 8 11" xfId="2146" xr:uid="{C401D793-801C-4354-9E76-A6FB96DFC07B}"/>
    <cellStyle name="Millares 2 2 8 12" xfId="2235" xr:uid="{22A7965E-723E-40CF-9458-CA0D5B38A381}"/>
    <cellStyle name="Millares 2 2 8 13" xfId="2325" xr:uid="{3CC51486-BC53-423D-A1CC-AB342997517F}"/>
    <cellStyle name="Millares 2 2 8 14" xfId="2414" xr:uid="{26FF63EC-7BCA-430C-8FBF-FDBD4BE872F6}"/>
    <cellStyle name="Millares 2 2 8 15" xfId="2504" xr:uid="{ECC60216-F98A-44C9-A839-2794653B2B0D}"/>
    <cellStyle name="Millares 2 2 8 16" xfId="2593" xr:uid="{C0C7EF52-60EA-4094-A0A7-B47C616D7481}"/>
    <cellStyle name="Millares 2 2 8 17" xfId="2683" xr:uid="{6CF64583-D600-4554-B646-E084656346CF}"/>
    <cellStyle name="Millares 2 2 8 18" xfId="2773" xr:uid="{E1756B69-BB8A-448D-9E32-18DBF06A8B3A}"/>
    <cellStyle name="Millares 2 2 8 19" xfId="2863" xr:uid="{E5E0C1BC-86F7-444C-B718-447FC72E6B69}"/>
    <cellStyle name="Millares 2 2 8 2" xfId="1323" xr:uid="{00000000-0005-0000-0000-000085040000}"/>
    <cellStyle name="Millares 2 2 8 2 2" xfId="3488" xr:uid="{897F018C-8C15-4523-964C-657B77924238}"/>
    <cellStyle name="Millares 2 2 8 2 3" xfId="3700" xr:uid="{C95911B7-FED9-46D0-81BA-D59C54E2CC6E}"/>
    <cellStyle name="Millares 2 2 8 20" xfId="2956" xr:uid="{9191F03E-C00B-4856-8A52-52E7699999C2}"/>
    <cellStyle name="Millares 2 2 8 21" xfId="3050" xr:uid="{810BD544-8A3A-4730-B77B-4BCB3DA1ED00}"/>
    <cellStyle name="Millares 2 2 8 22" xfId="3610" xr:uid="{E4C648BC-EAD0-41C6-96BA-2F39291CCDEA}"/>
    <cellStyle name="Millares 2 2 8 3" xfId="1420" xr:uid="{00000000-0005-0000-0000-000086040000}"/>
    <cellStyle name="Millares 2 2 8 4" xfId="1510" xr:uid="{00000000-0005-0000-0000-000087040000}"/>
    <cellStyle name="Millares 2 2 8 5" xfId="1600" xr:uid="{00000000-0005-0000-0000-000088040000}"/>
    <cellStyle name="Millares 2 2 8 6" xfId="1691" xr:uid="{00000000-0005-0000-0000-000089040000}"/>
    <cellStyle name="Millares 2 2 8 7" xfId="1784" xr:uid="{00000000-0005-0000-0000-00008A040000}"/>
    <cellStyle name="Millares 2 2 8 8" xfId="1875" xr:uid="{28438CF6-0B20-46B0-88FD-376B139B537F}"/>
    <cellStyle name="Millares 2 2 8 9" xfId="1966" xr:uid="{D58CECAD-73D8-4D94-B277-4D2D59439DD5}"/>
    <cellStyle name="Millares 2 2 9" xfId="1226" xr:uid="{00000000-0005-0000-0000-00008B040000}"/>
    <cellStyle name="Millares 2 2 9 10" xfId="2056" xr:uid="{2BE817ED-9C99-4645-87C3-FF3545494242}"/>
    <cellStyle name="Millares 2 2 9 11" xfId="2147" xr:uid="{2360B913-57A6-4762-A94E-5E33249315B4}"/>
    <cellStyle name="Millares 2 2 9 12" xfId="2236" xr:uid="{9117EBAA-C742-450F-80C7-C65D24832052}"/>
    <cellStyle name="Millares 2 2 9 13" xfId="2326" xr:uid="{3321A41F-5786-443B-B2BD-D696EBBEAF28}"/>
    <cellStyle name="Millares 2 2 9 14" xfId="2415" xr:uid="{97A06F15-9BF7-4D3F-BB75-516AF4C6CF50}"/>
    <cellStyle name="Millares 2 2 9 15" xfId="2505" xr:uid="{8A9A2265-44D3-4BB4-A35E-C17A4406935D}"/>
    <cellStyle name="Millares 2 2 9 16" xfId="2594" xr:uid="{C2C7798C-B948-43EC-AADD-192C39EE7405}"/>
    <cellStyle name="Millares 2 2 9 17" xfId="2684" xr:uid="{2FE0B095-B011-4746-9A27-55E57C0598E4}"/>
    <cellStyle name="Millares 2 2 9 18" xfId="2774" xr:uid="{ACD955A1-4F9C-4A21-85E7-C09E6A119FA8}"/>
    <cellStyle name="Millares 2 2 9 19" xfId="2864" xr:uid="{4C4FF143-2695-40A4-BED0-5F7B40ECBEFB}"/>
    <cellStyle name="Millares 2 2 9 2" xfId="1324" xr:uid="{00000000-0005-0000-0000-00008C040000}"/>
    <cellStyle name="Millares 2 2 9 2 2" xfId="3489" xr:uid="{8350C099-4F2E-461A-BD5B-B22993236A07}"/>
    <cellStyle name="Millares 2 2 9 2 3" xfId="3701" xr:uid="{E4800FFC-EF30-4851-818E-1430D70D8DAB}"/>
    <cellStyle name="Millares 2 2 9 20" xfId="2957" xr:uid="{06710E38-6C45-4B12-90F8-61A1E5AAE124}"/>
    <cellStyle name="Millares 2 2 9 21" xfId="3051" xr:uid="{A39A1A3C-99EA-4D7C-9462-DCBEA87E9E87}"/>
    <cellStyle name="Millares 2 2 9 22" xfId="3611" xr:uid="{444DD6C1-ABA3-4771-A59E-24FE60217A89}"/>
    <cellStyle name="Millares 2 2 9 3" xfId="1421" xr:uid="{00000000-0005-0000-0000-00008D040000}"/>
    <cellStyle name="Millares 2 2 9 4" xfId="1511" xr:uid="{00000000-0005-0000-0000-00008E040000}"/>
    <cellStyle name="Millares 2 2 9 5" xfId="1601" xr:uid="{00000000-0005-0000-0000-00008F040000}"/>
    <cellStyle name="Millares 2 2 9 6" xfId="1692" xr:uid="{00000000-0005-0000-0000-000090040000}"/>
    <cellStyle name="Millares 2 2 9 7" xfId="1785" xr:uid="{00000000-0005-0000-0000-000091040000}"/>
    <cellStyle name="Millares 2 2 9 8" xfId="1876" xr:uid="{A59C9730-1B51-4157-B7F7-F7F0B053114F}"/>
    <cellStyle name="Millares 2 2 9 9" xfId="1967" xr:uid="{A49E77F0-F032-4898-BBFE-86890C9D1C0F}"/>
    <cellStyle name="Millares 2 20" xfId="1270" xr:uid="{00000000-0005-0000-0000-000092040000}"/>
    <cellStyle name="Millares 2 20 10" xfId="2057" xr:uid="{80BCB718-52E6-402A-951D-61CA2A8293B2}"/>
    <cellStyle name="Millares 2 20 11" xfId="2148" xr:uid="{53234BFB-042A-4D82-9CED-54E424FB7754}"/>
    <cellStyle name="Millares 2 20 12" xfId="2237" xr:uid="{FFBA4B75-BB2B-49E2-AFC8-910A9F649533}"/>
    <cellStyle name="Millares 2 20 13" xfId="2327" xr:uid="{E4075BB2-83D0-4839-A732-38221C4BC861}"/>
    <cellStyle name="Millares 2 20 14" xfId="2416" xr:uid="{0EB8E254-044C-431D-8034-53F39DE27FC1}"/>
    <cellStyle name="Millares 2 20 15" xfId="2506" xr:uid="{AE8702BD-ED1F-491A-A876-07A2A5BC4095}"/>
    <cellStyle name="Millares 2 20 16" xfId="2595" xr:uid="{3EA9FEA1-852C-4552-AF83-513DAA80413A}"/>
    <cellStyle name="Millares 2 20 17" xfId="2685" xr:uid="{C8B2DEBC-E224-4031-B7B2-EF6955856439}"/>
    <cellStyle name="Millares 2 20 18" xfId="2775" xr:uid="{A393BF6A-7EF3-498F-BA94-F57B8636F3D2}"/>
    <cellStyle name="Millares 2 20 19" xfId="2865" xr:uid="{E7E7DCEF-8CB2-4611-B8F3-8F23336EC5A6}"/>
    <cellStyle name="Millares 2 20 2" xfId="1325" xr:uid="{00000000-0005-0000-0000-000093040000}"/>
    <cellStyle name="Millares 2 20 2 2" xfId="3490" xr:uid="{826C21E6-C3AA-43D1-A9D3-39F5872432C4}"/>
    <cellStyle name="Millares 2 20 2 3" xfId="3702" xr:uid="{81D4FDC3-3DB7-479E-91F8-8852801FEB16}"/>
    <cellStyle name="Millares 2 20 20" xfId="2958" xr:uid="{669BCB46-FA9B-448F-B987-3ABE95D9D7D3}"/>
    <cellStyle name="Millares 2 20 21" xfId="3052" xr:uid="{3299B826-72B4-4F3F-B2EC-4B6901C77A62}"/>
    <cellStyle name="Millares 2 20 22" xfId="3612" xr:uid="{AD6A6C51-C8CE-4DBB-9211-C87D7CFBA70E}"/>
    <cellStyle name="Millares 2 20 3" xfId="1422" xr:uid="{00000000-0005-0000-0000-000094040000}"/>
    <cellStyle name="Millares 2 20 4" xfId="1512" xr:uid="{00000000-0005-0000-0000-000095040000}"/>
    <cellStyle name="Millares 2 20 5" xfId="1602" xr:uid="{00000000-0005-0000-0000-000096040000}"/>
    <cellStyle name="Millares 2 20 6" xfId="1693" xr:uid="{00000000-0005-0000-0000-000097040000}"/>
    <cellStyle name="Millares 2 20 7" xfId="1786" xr:uid="{00000000-0005-0000-0000-000098040000}"/>
    <cellStyle name="Millares 2 20 8" xfId="1877" xr:uid="{DFF1AD05-70AF-4247-B100-1EBF5E9FCF42}"/>
    <cellStyle name="Millares 2 20 9" xfId="1968" xr:uid="{9EB5FD74-7E52-4320-9ED7-CCAEFE5A6095}"/>
    <cellStyle name="Millares 2 21" xfId="1274" xr:uid="{00000000-0005-0000-0000-000099040000}"/>
    <cellStyle name="Millares 2 21 10" xfId="2058" xr:uid="{5F136E0C-508A-464A-B78E-D064DE397BE5}"/>
    <cellStyle name="Millares 2 21 11" xfId="2149" xr:uid="{875C4E4D-5F26-4125-AC6B-28FE7AA6E2E8}"/>
    <cellStyle name="Millares 2 21 12" xfId="2238" xr:uid="{F47E473C-0503-4365-9E59-25FAB0D89E7C}"/>
    <cellStyle name="Millares 2 21 13" xfId="2328" xr:uid="{5D5C7264-B369-4E8E-8598-674DD619DD20}"/>
    <cellStyle name="Millares 2 21 14" xfId="2417" xr:uid="{DE278ECE-1725-489C-ADCC-0E41AADD4037}"/>
    <cellStyle name="Millares 2 21 15" xfId="2507" xr:uid="{72414800-D784-4FAF-9563-AAD4B0A08FA7}"/>
    <cellStyle name="Millares 2 21 16" xfId="2596" xr:uid="{376D1A6F-6096-438E-B7E3-46EB1288B570}"/>
    <cellStyle name="Millares 2 21 17" xfId="2686" xr:uid="{8EF62981-9132-42B5-82EF-DC15695FAEA9}"/>
    <cellStyle name="Millares 2 21 18" xfId="2776" xr:uid="{9C22BC1D-0BB4-4E61-A2AA-D22DFE020919}"/>
    <cellStyle name="Millares 2 21 19" xfId="2866" xr:uid="{90D2C281-9816-4834-B8D6-A4B9224057AC}"/>
    <cellStyle name="Millares 2 21 2" xfId="1326" xr:uid="{00000000-0005-0000-0000-00009A040000}"/>
    <cellStyle name="Millares 2 21 2 2" xfId="3491" xr:uid="{B4958528-EE32-4B83-B41D-4911F9E7B66F}"/>
    <cellStyle name="Millares 2 21 2 3" xfId="3703" xr:uid="{5064D1AC-F08B-4F68-9E00-FDC4DE8BB5F4}"/>
    <cellStyle name="Millares 2 21 20" xfId="2959" xr:uid="{32456B7E-07B9-4379-A5ED-44A97DBD6A5B}"/>
    <cellStyle name="Millares 2 21 21" xfId="3053" xr:uid="{EA86760A-7A3D-47E7-A3FE-31C877449722}"/>
    <cellStyle name="Millares 2 21 22" xfId="3613" xr:uid="{3229B2DE-1D4D-4B33-A254-C3465B98F712}"/>
    <cellStyle name="Millares 2 21 3" xfId="1423" xr:uid="{00000000-0005-0000-0000-00009B040000}"/>
    <cellStyle name="Millares 2 21 4" xfId="1513" xr:uid="{00000000-0005-0000-0000-00009C040000}"/>
    <cellStyle name="Millares 2 21 5" xfId="1603" xr:uid="{00000000-0005-0000-0000-00009D040000}"/>
    <cellStyle name="Millares 2 21 6" xfId="1694" xr:uid="{00000000-0005-0000-0000-00009E040000}"/>
    <cellStyle name="Millares 2 21 7" xfId="1787" xr:uid="{00000000-0005-0000-0000-00009F040000}"/>
    <cellStyle name="Millares 2 21 8" xfId="1878" xr:uid="{0ABBD9A1-71AB-4FD1-ABB3-E678C033A84E}"/>
    <cellStyle name="Millares 2 21 9" xfId="1969" xr:uid="{673AB09B-9896-41B2-8132-59C8F9559FB5}"/>
    <cellStyle name="Millares 2 22" xfId="1278" xr:uid="{00000000-0005-0000-0000-0000A0040000}"/>
    <cellStyle name="Millares 2 22 10" xfId="2059" xr:uid="{840EAAE2-4D47-40A5-BCB1-6E19AAF5E7F7}"/>
    <cellStyle name="Millares 2 22 11" xfId="2150" xr:uid="{6174B3B8-8A86-46E3-ACD3-26CDCE07667F}"/>
    <cellStyle name="Millares 2 22 12" xfId="2239" xr:uid="{E0B1CE5B-38CF-4619-A800-589EB6164CA3}"/>
    <cellStyle name="Millares 2 22 13" xfId="2329" xr:uid="{9ED51B77-060D-4A89-995D-CDB4BB351172}"/>
    <cellStyle name="Millares 2 22 14" xfId="2418" xr:uid="{8A9DA7EC-2ACB-4549-820A-E6AB8341730E}"/>
    <cellStyle name="Millares 2 22 15" xfId="2508" xr:uid="{FB352365-DC98-4B13-8BE3-BA172745FD4E}"/>
    <cellStyle name="Millares 2 22 16" xfId="2597" xr:uid="{AB48A565-E579-4471-BF0A-4F1BF3D9984F}"/>
    <cellStyle name="Millares 2 22 17" xfId="2687" xr:uid="{50722F4E-1C26-403C-BE35-1B11BDF496E4}"/>
    <cellStyle name="Millares 2 22 18" xfId="2777" xr:uid="{CB82ADA0-FBF1-4C48-B465-8AC0B6099AE1}"/>
    <cellStyle name="Millares 2 22 19" xfId="2867" xr:uid="{7A5A8FEB-058E-4A44-B866-F2E7BA028C94}"/>
    <cellStyle name="Millares 2 22 2" xfId="1327" xr:uid="{00000000-0005-0000-0000-0000A1040000}"/>
    <cellStyle name="Millares 2 22 2 2" xfId="3492" xr:uid="{159F704B-C2FF-45F9-B8E5-8448BA249846}"/>
    <cellStyle name="Millares 2 22 2 3" xfId="3704" xr:uid="{061776F6-C2AE-49BB-B0DB-129EBF98DADB}"/>
    <cellStyle name="Millares 2 22 20" xfId="2960" xr:uid="{D3B4A59A-81A1-4ECF-B46F-E02DA428E63C}"/>
    <cellStyle name="Millares 2 22 21" xfId="3054" xr:uid="{8554A5B5-666A-4151-8811-6D6FBD7C76C4}"/>
    <cellStyle name="Millares 2 22 22" xfId="3614" xr:uid="{DE3CBD0B-F924-48B7-8ACA-5232FC3182A0}"/>
    <cellStyle name="Millares 2 22 3" xfId="1424" xr:uid="{00000000-0005-0000-0000-0000A2040000}"/>
    <cellStyle name="Millares 2 22 4" xfId="1514" xr:uid="{00000000-0005-0000-0000-0000A3040000}"/>
    <cellStyle name="Millares 2 22 5" xfId="1604" xr:uid="{00000000-0005-0000-0000-0000A4040000}"/>
    <cellStyle name="Millares 2 22 6" xfId="1695" xr:uid="{00000000-0005-0000-0000-0000A5040000}"/>
    <cellStyle name="Millares 2 22 7" xfId="1788" xr:uid="{00000000-0005-0000-0000-0000A6040000}"/>
    <cellStyle name="Millares 2 22 8" xfId="1879" xr:uid="{295B73BE-83F4-4112-99B2-2ACAA544BCD6}"/>
    <cellStyle name="Millares 2 22 9" xfId="1970" xr:uid="{DE31F7F3-A2BE-4D42-9050-4C6337A3C13A}"/>
    <cellStyle name="Millares 2 23" xfId="1328" xr:uid="{00000000-0005-0000-0000-0000A7040000}"/>
    <cellStyle name="Millares 2 23 10" xfId="2151" xr:uid="{2A850C05-FDBD-4C01-B0F4-3CF6673581DC}"/>
    <cellStyle name="Millares 2 23 11" xfId="2240" xr:uid="{F0C18C30-1104-4C05-97AE-F6D771D68631}"/>
    <cellStyle name="Millares 2 23 12" xfId="2330" xr:uid="{C5F92AB9-B3A5-4AE7-8FA8-8CEEE17F4B3D}"/>
    <cellStyle name="Millares 2 23 13" xfId="2419" xr:uid="{CD99A6F8-B6E9-4080-8243-E3581899050A}"/>
    <cellStyle name="Millares 2 23 14" xfId="2509" xr:uid="{5724B0B3-E74F-4E26-B959-C32AF5CDAB5C}"/>
    <cellStyle name="Millares 2 23 15" xfId="2598" xr:uid="{67945855-4A55-4E81-B482-C7EAE8D54711}"/>
    <cellStyle name="Millares 2 23 16" xfId="2688" xr:uid="{BC483CC6-CE24-4CA7-A5A4-491E9CD7F757}"/>
    <cellStyle name="Millares 2 23 17" xfId="2778" xr:uid="{524023F5-633A-4BF7-921F-3EFF16CF7D87}"/>
    <cellStyle name="Millares 2 23 18" xfId="2868" xr:uid="{574AFD19-3CD9-4C6F-B846-8CB233993DDB}"/>
    <cellStyle name="Millares 2 23 19" xfId="2961" xr:uid="{2A7D9E47-6C4C-4BE9-828B-2681F3D56E41}"/>
    <cellStyle name="Millares 2 23 2" xfId="1425" xr:uid="{00000000-0005-0000-0000-0000A8040000}"/>
    <cellStyle name="Millares 2 23 2 2" xfId="3493" xr:uid="{F4ED3A9F-CE79-4BB6-86FB-3C4B48250462}"/>
    <cellStyle name="Millares 2 23 2 3" xfId="3705" xr:uid="{914F8897-91D6-437F-A9B0-9FB358D27C6D}"/>
    <cellStyle name="Millares 2 23 20" xfId="3055" xr:uid="{50554EBD-37F2-4EAF-80C7-1020126F3253}"/>
    <cellStyle name="Millares 2 23 21" xfId="3615" xr:uid="{F42C85DD-55CB-4E65-963A-1FFEC97AEACD}"/>
    <cellStyle name="Millares 2 23 3" xfId="1515" xr:uid="{00000000-0005-0000-0000-0000A9040000}"/>
    <cellStyle name="Millares 2 23 4" xfId="1605" xr:uid="{00000000-0005-0000-0000-0000AA040000}"/>
    <cellStyle name="Millares 2 23 5" xfId="1696" xr:uid="{00000000-0005-0000-0000-0000AB040000}"/>
    <cellStyle name="Millares 2 23 6" xfId="1789" xr:uid="{00000000-0005-0000-0000-0000AC040000}"/>
    <cellStyle name="Millares 2 23 7" xfId="1880" xr:uid="{53128DB9-7599-4307-A551-0C659D1BFFE4}"/>
    <cellStyle name="Millares 2 23 8" xfId="1971" xr:uid="{4731E13A-5597-42AD-AA06-59130C008A46}"/>
    <cellStyle name="Millares 2 23 9" xfId="2060" xr:uid="{77C6339F-8D0B-4968-99CE-99D6ECE845F5}"/>
    <cellStyle name="Millares 2 24" xfId="1292" xr:uid="{00000000-0005-0000-0000-0000AD040000}"/>
    <cellStyle name="Millares 2 24 2" xfId="3457" xr:uid="{1147AC51-6817-4284-92C6-CAA00764909D}"/>
    <cellStyle name="Millares 2 24 3" xfId="3669" xr:uid="{DAB0D6E3-7ADE-4FDE-9FCC-228F7D4131CD}"/>
    <cellStyle name="Millares 2 25" xfId="1389" xr:uid="{00000000-0005-0000-0000-0000AE040000}"/>
    <cellStyle name="Millares 2 26" xfId="1479" xr:uid="{00000000-0005-0000-0000-0000AF040000}"/>
    <cellStyle name="Millares 2 27" xfId="1569" xr:uid="{00000000-0005-0000-0000-0000B0040000}"/>
    <cellStyle name="Millares 2 28" xfId="1660" xr:uid="{00000000-0005-0000-0000-0000B1040000}"/>
    <cellStyle name="Millares 2 29" xfId="1753" xr:uid="{00000000-0005-0000-0000-0000B2040000}"/>
    <cellStyle name="Millares 2 3" xfId="1195" xr:uid="{00000000-0005-0000-0000-0000B3040000}"/>
    <cellStyle name="Millares 2 3 10" xfId="2061" xr:uid="{C816CC9E-B9C6-4BF8-8D7B-B0632EA2914C}"/>
    <cellStyle name="Millares 2 3 11" xfId="2152" xr:uid="{2EAE2B19-20DD-404F-846F-9D83A8B1BD82}"/>
    <cellStyle name="Millares 2 3 12" xfId="2241" xr:uid="{A65F34F4-0DCE-410D-A3AA-A2FBCD15C6F1}"/>
    <cellStyle name="Millares 2 3 13" xfId="2331" xr:uid="{BBAEDFF4-202C-41B6-B893-BD21D8D158AC}"/>
    <cellStyle name="Millares 2 3 14" xfId="2420" xr:uid="{AA42613B-4A7C-45D8-878A-37F20C201797}"/>
    <cellStyle name="Millares 2 3 15" xfId="2510" xr:uid="{EA49DF9B-0DDD-48D3-83A4-2FFAD3580D72}"/>
    <cellStyle name="Millares 2 3 16" xfId="2599" xr:uid="{9B3B5739-4BE7-4928-BF9B-2FFD8D32BA6D}"/>
    <cellStyle name="Millares 2 3 17" xfId="2689" xr:uid="{C7BB226B-2867-4690-8435-0AAAA9C19D49}"/>
    <cellStyle name="Millares 2 3 18" xfId="2779" xr:uid="{5C596B20-E7A9-4FCB-B3EF-E030D502AB97}"/>
    <cellStyle name="Millares 2 3 19" xfId="2869" xr:uid="{8751FE97-0D61-473F-9CDA-C232F067CC44}"/>
    <cellStyle name="Millares 2 3 2" xfId="1329" xr:uid="{00000000-0005-0000-0000-0000B4040000}"/>
    <cellStyle name="Millares 2 3 2 2" xfId="3494" xr:uid="{909E0139-9012-4135-9ED3-375C5156ED72}"/>
    <cellStyle name="Millares 2 3 2 3" xfId="3706" xr:uid="{2163427F-EE0B-4320-BEFF-AAA202AB9AC7}"/>
    <cellStyle name="Millares 2 3 20" xfId="2962" xr:uid="{42A1131C-2FF9-4969-8C2B-C1DB5AB66F71}"/>
    <cellStyle name="Millares 2 3 21" xfId="3056" xr:uid="{23FBF2FC-BD20-49ED-8354-47331D958854}"/>
    <cellStyle name="Millares 2 3 22" xfId="3616" xr:uid="{5E2B642B-A335-480E-9BFE-DE64FB7A425A}"/>
    <cellStyle name="Millares 2 3 3" xfId="1426" xr:uid="{00000000-0005-0000-0000-0000B5040000}"/>
    <cellStyle name="Millares 2 3 4" xfId="1516" xr:uid="{00000000-0005-0000-0000-0000B6040000}"/>
    <cellStyle name="Millares 2 3 5" xfId="1606" xr:uid="{00000000-0005-0000-0000-0000B7040000}"/>
    <cellStyle name="Millares 2 3 6" xfId="1697" xr:uid="{00000000-0005-0000-0000-0000B8040000}"/>
    <cellStyle name="Millares 2 3 7" xfId="1790" xr:uid="{00000000-0005-0000-0000-0000B9040000}"/>
    <cellStyle name="Millares 2 3 8" xfId="1881" xr:uid="{05336152-08BE-406B-85EF-293F73CD8478}"/>
    <cellStyle name="Millares 2 3 9" xfId="1972" xr:uid="{0B14E419-8A4D-4D65-BF2D-BE3CE77AD9C2}"/>
    <cellStyle name="Millares 2 30" xfId="1844" xr:uid="{0C55257F-E9C0-490F-9BE1-32EEA6533B20}"/>
    <cellStyle name="Millares 2 31" xfId="1935" xr:uid="{02DC58C1-A377-4844-A4DC-BA09BA017113}"/>
    <cellStyle name="Millares 2 32" xfId="2024" xr:uid="{ACB87BCB-FAE9-45D7-BC86-95053262EFE5}"/>
    <cellStyle name="Millares 2 33" xfId="2115" xr:uid="{698ED4D2-847E-4797-806F-ECE1E32CA9FD}"/>
    <cellStyle name="Millares 2 34" xfId="2204" xr:uid="{655461A1-FE13-429D-B1B3-BA567652F677}"/>
    <cellStyle name="Millares 2 35" xfId="2294" xr:uid="{489E7B16-9E94-4897-9EC1-AE1D26F2329E}"/>
    <cellStyle name="Millares 2 36" xfId="2383" xr:uid="{1946E7F0-B5B8-4776-B7C3-8AFA1568F9D0}"/>
    <cellStyle name="Millares 2 37" xfId="2473" xr:uid="{F4A2B82F-12AD-4C35-89E8-82B3A69EC51C}"/>
    <cellStyle name="Millares 2 38" xfId="2562" xr:uid="{B136F68F-D3E8-4911-96AC-C541593E4B88}"/>
    <cellStyle name="Millares 2 39" xfId="2652" xr:uid="{34EEB4A8-90A1-4510-B021-3865CA48CB48}"/>
    <cellStyle name="Millares 2 4" xfId="1200" xr:uid="{00000000-0005-0000-0000-0000BA040000}"/>
    <cellStyle name="Millares 2 4 10" xfId="2062" xr:uid="{4AF25E02-84DE-4364-9564-326E5B498524}"/>
    <cellStyle name="Millares 2 4 11" xfId="2153" xr:uid="{B960BCE3-8957-43A1-981B-CD4A5857BFC9}"/>
    <cellStyle name="Millares 2 4 12" xfId="2242" xr:uid="{E9DBA295-FBF5-4DC9-9813-0B2E60B4BF55}"/>
    <cellStyle name="Millares 2 4 13" xfId="2332" xr:uid="{43BC64FA-2C4D-4AA0-871C-0A29EBB1604B}"/>
    <cellStyle name="Millares 2 4 14" xfId="2421" xr:uid="{3C736E72-E784-4CCC-B71B-4BB2F9C903B2}"/>
    <cellStyle name="Millares 2 4 15" xfId="2511" xr:uid="{B5A42836-EAAB-4182-A5E8-46D4202ADB24}"/>
    <cellStyle name="Millares 2 4 16" xfId="2600" xr:uid="{5B08CEC9-A349-423E-997D-293350EAACAB}"/>
    <cellStyle name="Millares 2 4 17" xfId="2690" xr:uid="{72CCD667-4C73-4218-B31D-9E10C621CCB6}"/>
    <cellStyle name="Millares 2 4 18" xfId="2780" xr:uid="{B2E9DB86-1095-418B-BB5C-FDC9A598581F}"/>
    <cellStyle name="Millares 2 4 19" xfId="2870" xr:uid="{A894DDF0-CE4B-4E1D-9FC1-B74A369A4E1E}"/>
    <cellStyle name="Millares 2 4 2" xfId="1330" xr:uid="{00000000-0005-0000-0000-0000BB040000}"/>
    <cellStyle name="Millares 2 4 2 2" xfId="3495" xr:uid="{1D87C045-E7E4-492B-B936-0E895D6E397B}"/>
    <cellStyle name="Millares 2 4 2 3" xfId="3707" xr:uid="{1CB7E9C0-430F-4E70-9F9A-6DA1F526FB1B}"/>
    <cellStyle name="Millares 2 4 20" xfId="2963" xr:uid="{66E7D674-B8CD-44D0-A853-D8AA6D7E2D9B}"/>
    <cellStyle name="Millares 2 4 21" xfId="3057" xr:uid="{CF26A29E-848D-43C2-9999-136D58B0ABF3}"/>
    <cellStyle name="Millares 2 4 22" xfId="3617" xr:uid="{F48759CD-A186-4709-BC72-5C40919210F3}"/>
    <cellStyle name="Millares 2 4 3" xfId="1427" xr:uid="{00000000-0005-0000-0000-0000BC040000}"/>
    <cellStyle name="Millares 2 4 4" xfId="1517" xr:uid="{00000000-0005-0000-0000-0000BD040000}"/>
    <cellStyle name="Millares 2 4 5" xfId="1607" xr:uid="{00000000-0005-0000-0000-0000BE040000}"/>
    <cellStyle name="Millares 2 4 6" xfId="1698" xr:uid="{00000000-0005-0000-0000-0000BF040000}"/>
    <cellStyle name="Millares 2 4 7" xfId="1791" xr:uid="{00000000-0005-0000-0000-0000C0040000}"/>
    <cellStyle name="Millares 2 4 8" xfId="1882" xr:uid="{66275DB5-C254-4406-806D-035B0CA17065}"/>
    <cellStyle name="Millares 2 4 9" xfId="1973" xr:uid="{F9F04940-1261-4754-B91F-EC41A625791A}"/>
    <cellStyle name="Millares 2 40" xfId="2742" xr:uid="{19A06542-DE40-46BB-B92E-855E1D37F097}"/>
    <cellStyle name="Millares 2 41" xfId="2832" xr:uid="{A86D7CAD-0073-4C4A-AB92-E00B715A5FFE}"/>
    <cellStyle name="Millares 2 42" xfId="2925" xr:uid="{17C90D60-4CDC-47F5-A9A3-C13DF6F17D5D}"/>
    <cellStyle name="Millares 2 43" xfId="3019" xr:uid="{0DB39825-9C64-42ED-BB24-D8EE1C3626F7}"/>
    <cellStyle name="Millares 2 44" xfId="3579" xr:uid="{A5325C17-2B05-4555-8352-6C3B3EA851CA}"/>
    <cellStyle name="Millares 2 5" xfId="1205" xr:uid="{00000000-0005-0000-0000-0000C1040000}"/>
    <cellStyle name="Millares 2 5 10" xfId="2063" xr:uid="{DF54CC7B-6166-4CFE-B196-3B1DEB2C192C}"/>
    <cellStyle name="Millares 2 5 11" xfId="2154" xr:uid="{9C09CCAD-570B-4998-BB65-24C9284AFE10}"/>
    <cellStyle name="Millares 2 5 12" xfId="2243" xr:uid="{EC02A398-BE78-403E-9591-2CD4BF9FE1C3}"/>
    <cellStyle name="Millares 2 5 13" xfId="2333" xr:uid="{49DA9B14-8858-4500-A6DA-5AD20A0E8DE8}"/>
    <cellStyle name="Millares 2 5 14" xfId="2422" xr:uid="{D7AD7BD5-F467-4032-AFA2-DF58F7469BB1}"/>
    <cellStyle name="Millares 2 5 15" xfId="2512" xr:uid="{4D306378-26AD-484B-8EFA-E226DE97BED5}"/>
    <cellStyle name="Millares 2 5 16" xfId="2601" xr:uid="{C3134846-83BE-4FB7-BC25-1B52BE77108B}"/>
    <cellStyle name="Millares 2 5 17" xfId="2691" xr:uid="{9EA074C3-B90C-4B2E-9FA8-AFDC66CCE8FC}"/>
    <cellStyle name="Millares 2 5 18" xfId="2781" xr:uid="{1880A0F4-0577-4116-8BD1-8347769EAA6F}"/>
    <cellStyle name="Millares 2 5 19" xfId="2871" xr:uid="{7089C9C3-351A-4006-BA51-C8757922AA2C}"/>
    <cellStyle name="Millares 2 5 2" xfId="1331" xr:uid="{00000000-0005-0000-0000-0000C2040000}"/>
    <cellStyle name="Millares 2 5 2 2" xfId="3496" xr:uid="{FAECFDBA-7885-4FD0-8EFC-3F9F20B92932}"/>
    <cellStyle name="Millares 2 5 2 3" xfId="3708" xr:uid="{D06204FC-0128-4821-B6AA-4844752BA257}"/>
    <cellStyle name="Millares 2 5 20" xfId="2964" xr:uid="{76F4F122-5255-4631-B368-6B930321FD79}"/>
    <cellStyle name="Millares 2 5 21" xfId="3058" xr:uid="{9E74AB3A-6646-4985-BAF8-8DAADDEFA7DC}"/>
    <cellStyle name="Millares 2 5 22" xfId="3618" xr:uid="{70828C7A-0A4C-4429-9CFD-F0EAE724200F}"/>
    <cellStyle name="Millares 2 5 3" xfId="1428" xr:uid="{00000000-0005-0000-0000-0000C3040000}"/>
    <cellStyle name="Millares 2 5 4" xfId="1518" xr:uid="{00000000-0005-0000-0000-0000C4040000}"/>
    <cellStyle name="Millares 2 5 5" xfId="1608" xr:uid="{00000000-0005-0000-0000-0000C5040000}"/>
    <cellStyle name="Millares 2 5 6" xfId="1699" xr:uid="{00000000-0005-0000-0000-0000C6040000}"/>
    <cellStyle name="Millares 2 5 7" xfId="1792" xr:uid="{00000000-0005-0000-0000-0000C7040000}"/>
    <cellStyle name="Millares 2 5 8" xfId="1883" xr:uid="{CDD04858-8034-4083-AD9E-10D680C6CDA2}"/>
    <cellStyle name="Millares 2 5 9" xfId="1974" xr:uid="{592403F1-4D81-406D-8F25-0A49DD7E7921}"/>
    <cellStyle name="Millares 2 6" xfId="1209" xr:uid="{00000000-0005-0000-0000-0000C8040000}"/>
    <cellStyle name="Millares 2 6 10" xfId="2064" xr:uid="{E3B95FC6-0402-4F15-A2B7-9EAD263CA25A}"/>
    <cellStyle name="Millares 2 6 11" xfId="2155" xr:uid="{C8289CF7-A66B-460B-A481-F1EA6C5C3BFD}"/>
    <cellStyle name="Millares 2 6 12" xfId="2244" xr:uid="{62E15026-4CA0-4C35-84B0-924DAA9871F6}"/>
    <cellStyle name="Millares 2 6 13" xfId="2334" xr:uid="{BA4B985A-F6A5-47B1-AC2F-AEC65289E01B}"/>
    <cellStyle name="Millares 2 6 14" xfId="2423" xr:uid="{79D50ED9-1C81-4BD2-A0A1-A1F2A9044B95}"/>
    <cellStyle name="Millares 2 6 15" xfId="2513" xr:uid="{0612295E-046D-4315-87E0-551F9A05494A}"/>
    <cellStyle name="Millares 2 6 16" xfId="2602" xr:uid="{27AAB578-02A3-4C58-AC2B-858E032C93EB}"/>
    <cellStyle name="Millares 2 6 17" xfId="2692" xr:uid="{5AB459A1-2E27-43BD-AB81-ED549E7DC741}"/>
    <cellStyle name="Millares 2 6 18" xfId="2782" xr:uid="{86D9BD37-1910-4932-8043-E5C83050E3BD}"/>
    <cellStyle name="Millares 2 6 19" xfId="2872" xr:uid="{60B73A90-153C-4DED-A313-5E3E7E1A567B}"/>
    <cellStyle name="Millares 2 6 2" xfId="1332" xr:uid="{00000000-0005-0000-0000-0000C9040000}"/>
    <cellStyle name="Millares 2 6 2 2" xfId="3497" xr:uid="{21503104-F695-4EFC-A205-ABCE99DD1A71}"/>
    <cellStyle name="Millares 2 6 2 3" xfId="3709" xr:uid="{168DD77C-B907-404E-A67F-E68102C1C149}"/>
    <cellStyle name="Millares 2 6 20" xfId="2965" xr:uid="{34AF9851-E597-4959-885D-4B49E2AD5E13}"/>
    <cellStyle name="Millares 2 6 21" xfId="3059" xr:uid="{EAE87C71-A07E-4627-99D6-33DB89E075C8}"/>
    <cellStyle name="Millares 2 6 22" xfId="3619" xr:uid="{186BFF9C-D29E-4366-AA05-F1305C96FEE2}"/>
    <cellStyle name="Millares 2 6 3" xfId="1429" xr:uid="{00000000-0005-0000-0000-0000CA040000}"/>
    <cellStyle name="Millares 2 6 4" xfId="1519" xr:uid="{00000000-0005-0000-0000-0000CB040000}"/>
    <cellStyle name="Millares 2 6 5" xfId="1609" xr:uid="{00000000-0005-0000-0000-0000CC040000}"/>
    <cellStyle name="Millares 2 6 6" xfId="1700" xr:uid="{00000000-0005-0000-0000-0000CD040000}"/>
    <cellStyle name="Millares 2 6 7" xfId="1793" xr:uid="{00000000-0005-0000-0000-0000CE040000}"/>
    <cellStyle name="Millares 2 6 8" xfId="1884" xr:uid="{D1874A21-9DF1-4422-AA87-70C0AB738AFB}"/>
    <cellStyle name="Millares 2 6 9" xfId="1975" xr:uid="{2C09A551-4270-4444-9883-2AF4EEB0B4BE}"/>
    <cellStyle name="Millares 2 7" xfId="1213" xr:uid="{00000000-0005-0000-0000-0000CF040000}"/>
    <cellStyle name="Millares 2 7 10" xfId="2065" xr:uid="{B042E863-BE70-4D90-A681-91958CB1F92C}"/>
    <cellStyle name="Millares 2 7 11" xfId="2156" xr:uid="{35F25ABF-45A9-4215-BE44-CB61EC4B4A7D}"/>
    <cellStyle name="Millares 2 7 12" xfId="2245" xr:uid="{0C17037D-1E18-46AA-BBA3-671778A8C920}"/>
    <cellStyle name="Millares 2 7 13" xfId="2335" xr:uid="{C3504752-8AAC-4C82-A0EC-364F989564A6}"/>
    <cellStyle name="Millares 2 7 14" xfId="2424" xr:uid="{F391C8F9-2718-4936-9078-F3318D538DEA}"/>
    <cellStyle name="Millares 2 7 15" xfId="2514" xr:uid="{89D53919-575F-4A55-BB76-CA29CA61C5EA}"/>
    <cellStyle name="Millares 2 7 16" xfId="2603" xr:uid="{7A4B938F-204A-4563-8AAA-90A6A3BC576E}"/>
    <cellStyle name="Millares 2 7 17" xfId="2693" xr:uid="{67B2B7CC-EF03-468B-B122-A1F0127E422C}"/>
    <cellStyle name="Millares 2 7 18" xfId="2783" xr:uid="{60C61C00-6EBE-4AA7-8181-195FAEADC294}"/>
    <cellStyle name="Millares 2 7 19" xfId="2873" xr:uid="{706133DB-C5DA-4795-9A1C-05860F929E62}"/>
    <cellStyle name="Millares 2 7 2" xfId="1333" xr:uid="{00000000-0005-0000-0000-0000D0040000}"/>
    <cellStyle name="Millares 2 7 2 2" xfId="3498" xr:uid="{3FFAC934-2694-44FC-B581-B27CB7606DCF}"/>
    <cellStyle name="Millares 2 7 2 3" xfId="3710" xr:uid="{A19AFE8A-7DB8-46CF-BD44-5E1101008354}"/>
    <cellStyle name="Millares 2 7 20" xfId="2966" xr:uid="{D4C077FE-B7FE-4331-ADD7-9277212F3651}"/>
    <cellStyle name="Millares 2 7 21" xfId="3060" xr:uid="{99068A5A-7954-457E-AFAA-1A75F41A91BB}"/>
    <cellStyle name="Millares 2 7 22" xfId="3620" xr:uid="{D3A911E4-09D0-4D96-BEC4-D67FE0C1D78D}"/>
    <cellStyle name="Millares 2 7 3" xfId="1430" xr:uid="{00000000-0005-0000-0000-0000D1040000}"/>
    <cellStyle name="Millares 2 7 4" xfId="1520" xr:uid="{00000000-0005-0000-0000-0000D2040000}"/>
    <cellStyle name="Millares 2 7 5" xfId="1610" xr:uid="{00000000-0005-0000-0000-0000D3040000}"/>
    <cellStyle name="Millares 2 7 6" xfId="1701" xr:uid="{00000000-0005-0000-0000-0000D4040000}"/>
    <cellStyle name="Millares 2 7 7" xfId="1794" xr:uid="{00000000-0005-0000-0000-0000D5040000}"/>
    <cellStyle name="Millares 2 7 8" xfId="1885" xr:uid="{A0CFBFBA-DB1C-4868-BD5D-D55C8F4FE41F}"/>
    <cellStyle name="Millares 2 7 9" xfId="1976" xr:uid="{EC7E0160-AE1C-4542-8851-2BEC49A1D71D}"/>
    <cellStyle name="Millares 2 8" xfId="1217" xr:uid="{00000000-0005-0000-0000-0000D6040000}"/>
    <cellStyle name="Millares 2 8 10" xfId="2066" xr:uid="{B976F0E9-E782-405E-9132-271A650B600A}"/>
    <cellStyle name="Millares 2 8 11" xfId="2157" xr:uid="{05AD2762-C5DF-4031-A1C9-A281C60E3AB6}"/>
    <cellStyle name="Millares 2 8 12" xfId="2246" xr:uid="{AD442C96-CC39-4789-98CF-B464E6CE177B}"/>
    <cellStyle name="Millares 2 8 13" xfId="2336" xr:uid="{4DA305B5-6ADB-447A-A2BB-4FC18F50B408}"/>
    <cellStyle name="Millares 2 8 14" xfId="2425" xr:uid="{0243EFEE-5FF1-4658-A855-347F065713A0}"/>
    <cellStyle name="Millares 2 8 15" xfId="2515" xr:uid="{97675343-BADA-4D05-A51F-2F88A7996299}"/>
    <cellStyle name="Millares 2 8 16" xfId="2604" xr:uid="{8CE659D1-7FA1-46BA-9D02-9C467AD043F0}"/>
    <cellStyle name="Millares 2 8 17" xfId="2694" xr:uid="{48C32059-EBD8-446F-A39F-51062DB01A06}"/>
    <cellStyle name="Millares 2 8 18" xfId="2784" xr:uid="{4FC2B58D-684A-4988-8164-35B6CCCA9ECA}"/>
    <cellStyle name="Millares 2 8 19" xfId="2874" xr:uid="{EDEF2783-FC84-4A61-A34D-D01C3E256886}"/>
    <cellStyle name="Millares 2 8 2" xfId="1334" xr:uid="{00000000-0005-0000-0000-0000D7040000}"/>
    <cellStyle name="Millares 2 8 2 2" xfId="3499" xr:uid="{A9173123-964B-479C-A5E7-458FCA1DC751}"/>
    <cellStyle name="Millares 2 8 2 3" xfId="3711" xr:uid="{2EAC03AA-6567-4221-9382-F0E75D15E124}"/>
    <cellStyle name="Millares 2 8 20" xfId="2967" xr:uid="{13700231-2C8B-4C92-832F-7D8CC91ABB69}"/>
    <cellStyle name="Millares 2 8 21" xfId="3061" xr:uid="{D7131E09-3AE2-40B3-AF61-D6AD58C1C815}"/>
    <cellStyle name="Millares 2 8 22" xfId="3621" xr:uid="{16B2D776-BE75-403C-BFE6-E974FE0041AA}"/>
    <cellStyle name="Millares 2 8 3" xfId="1431" xr:uid="{00000000-0005-0000-0000-0000D8040000}"/>
    <cellStyle name="Millares 2 8 4" xfId="1521" xr:uid="{00000000-0005-0000-0000-0000D9040000}"/>
    <cellStyle name="Millares 2 8 5" xfId="1611" xr:uid="{00000000-0005-0000-0000-0000DA040000}"/>
    <cellStyle name="Millares 2 8 6" xfId="1702" xr:uid="{00000000-0005-0000-0000-0000DB040000}"/>
    <cellStyle name="Millares 2 8 7" xfId="1795" xr:uid="{00000000-0005-0000-0000-0000DC040000}"/>
    <cellStyle name="Millares 2 8 8" xfId="1886" xr:uid="{56B41793-7624-43D2-B789-C4B48E621F96}"/>
    <cellStyle name="Millares 2 8 9" xfId="1977" xr:uid="{D2C3BB02-FE0C-456A-BA71-BDAE16A05E93}"/>
    <cellStyle name="Millares 2 9" xfId="1221" xr:uid="{00000000-0005-0000-0000-0000DD040000}"/>
    <cellStyle name="Millares 2 9 10" xfId="2067" xr:uid="{82754A1A-27E3-4663-B947-97D740F1CA85}"/>
    <cellStyle name="Millares 2 9 11" xfId="2158" xr:uid="{167E900A-145F-4B7F-BF0F-0CC2D10608DC}"/>
    <cellStyle name="Millares 2 9 12" xfId="2247" xr:uid="{41760B6C-49C5-496F-B7A1-C1D08B26FC4D}"/>
    <cellStyle name="Millares 2 9 13" xfId="2337" xr:uid="{9B8777D3-66B6-4718-9DBA-1553F8873F86}"/>
    <cellStyle name="Millares 2 9 14" xfId="2426" xr:uid="{EA91BC80-AE39-445B-A4E0-309749355D77}"/>
    <cellStyle name="Millares 2 9 15" xfId="2516" xr:uid="{6E25434A-4694-49A9-9181-85006AFD8C43}"/>
    <cellStyle name="Millares 2 9 16" xfId="2605" xr:uid="{ECDCEE04-FEF4-4928-8384-1700A252C58E}"/>
    <cellStyle name="Millares 2 9 17" xfId="2695" xr:uid="{0EF9D947-7FBF-4FBF-BBCA-393EBAF5EF7F}"/>
    <cellStyle name="Millares 2 9 18" xfId="2785" xr:uid="{ED1C5674-06F2-4C9A-B5AF-974E64B04A58}"/>
    <cellStyle name="Millares 2 9 19" xfId="2875" xr:uid="{EC8ED9AD-B0EF-48FB-8EC7-01347AC1930F}"/>
    <cellStyle name="Millares 2 9 2" xfId="1335" xr:uid="{00000000-0005-0000-0000-0000DE040000}"/>
    <cellStyle name="Millares 2 9 2 2" xfId="3500" xr:uid="{AB3D4A94-AEE7-4457-840D-A16C03510C16}"/>
    <cellStyle name="Millares 2 9 2 3" xfId="3712" xr:uid="{CD12259F-F243-479C-BDF4-398F28AF0DED}"/>
    <cellStyle name="Millares 2 9 20" xfId="2968" xr:uid="{74E95996-75DD-4E96-876B-75E6D1700B09}"/>
    <cellStyle name="Millares 2 9 21" xfId="3062" xr:uid="{B115082E-1F3B-43E9-AD36-6FA3CDA2CC15}"/>
    <cellStyle name="Millares 2 9 22" xfId="3622" xr:uid="{44296A74-9ED1-49C8-8C62-5B1FFC59F90C}"/>
    <cellStyle name="Millares 2 9 3" xfId="1432" xr:uid="{00000000-0005-0000-0000-0000DF040000}"/>
    <cellStyle name="Millares 2 9 4" xfId="1522" xr:uid="{00000000-0005-0000-0000-0000E0040000}"/>
    <cellStyle name="Millares 2 9 5" xfId="1612" xr:uid="{00000000-0005-0000-0000-0000E1040000}"/>
    <cellStyle name="Millares 2 9 6" xfId="1703" xr:uid="{00000000-0005-0000-0000-0000E2040000}"/>
    <cellStyle name="Millares 2 9 7" xfId="1796" xr:uid="{00000000-0005-0000-0000-0000E3040000}"/>
    <cellStyle name="Millares 2 9 8" xfId="1887" xr:uid="{45770F78-1E72-4A04-97BF-F8600559FB60}"/>
    <cellStyle name="Millares 2 9 9" xfId="1978" xr:uid="{661B4BD7-7F50-4262-97D8-CB0922AEAED4}"/>
    <cellStyle name="Millares 20" xfId="1260" xr:uid="{00000000-0005-0000-0000-0000E4040000}"/>
    <cellStyle name="Millares 20 10" xfId="2068" xr:uid="{F7D97139-E861-48C7-857F-D10A8D28B06F}"/>
    <cellStyle name="Millares 20 11" xfId="2159" xr:uid="{B8392DDA-FF72-403A-9CF7-AD95A57267DB}"/>
    <cellStyle name="Millares 20 12" xfId="2248" xr:uid="{B9D0B3D6-9680-44A5-BB36-390EDFB45664}"/>
    <cellStyle name="Millares 20 13" xfId="2338" xr:uid="{F9F5C6ED-E2D3-476D-9AAD-9DD1B09A0F3B}"/>
    <cellStyle name="Millares 20 14" xfId="2427" xr:uid="{D4874382-C66D-4067-A8B0-8802FB8FF2B8}"/>
    <cellStyle name="Millares 20 15" xfId="2517" xr:uid="{8AC4AD20-965F-4145-A9FB-8B3A13B201DD}"/>
    <cellStyle name="Millares 20 16" xfId="2606" xr:uid="{DD396A01-9EA4-4BE5-819C-4330149DF5FB}"/>
    <cellStyle name="Millares 20 17" xfId="2696" xr:uid="{DA2389D0-FA77-4AF5-BAD2-0919F48F9D65}"/>
    <cellStyle name="Millares 20 18" xfId="2786" xr:uid="{A3E3A772-9BDE-4BB4-9AC1-B2E575351CD6}"/>
    <cellStyle name="Millares 20 19" xfId="2876" xr:uid="{832D92D1-0B8B-4917-9C9E-77AA521F868C}"/>
    <cellStyle name="Millares 20 2" xfId="1336" xr:uid="{00000000-0005-0000-0000-0000E5040000}"/>
    <cellStyle name="Millares 20 2 2" xfId="3501" xr:uid="{B5E4BE3E-73B8-4DE8-9F8A-12866242EF27}"/>
    <cellStyle name="Millares 20 2 3" xfId="3713" xr:uid="{D21C5143-16A2-4102-86B1-33B644A85C82}"/>
    <cellStyle name="Millares 20 20" xfId="2969" xr:uid="{B196C91C-2E66-41E6-92AE-7D0C23207BBE}"/>
    <cellStyle name="Millares 20 21" xfId="3063" xr:uid="{55754E6B-F5D4-47F3-B651-96B2F4D149F0}"/>
    <cellStyle name="Millares 20 22" xfId="3623" xr:uid="{F8FB4314-0CDC-4147-A460-26C49F725551}"/>
    <cellStyle name="Millares 20 3" xfId="1433" xr:uid="{00000000-0005-0000-0000-0000E6040000}"/>
    <cellStyle name="Millares 20 4" xfId="1523" xr:uid="{00000000-0005-0000-0000-0000E7040000}"/>
    <cellStyle name="Millares 20 5" xfId="1613" xr:uid="{00000000-0005-0000-0000-0000E8040000}"/>
    <cellStyle name="Millares 20 6" xfId="1704" xr:uid="{00000000-0005-0000-0000-0000E9040000}"/>
    <cellStyle name="Millares 20 7" xfId="1797" xr:uid="{00000000-0005-0000-0000-0000EA040000}"/>
    <cellStyle name="Millares 20 8" xfId="1888" xr:uid="{88247505-1778-4670-88BA-EAC4679DE3F3}"/>
    <cellStyle name="Millares 20 9" xfId="1979" xr:uid="{A670F867-3396-4EEA-973F-5954B84E3635}"/>
    <cellStyle name="Millares 21" xfId="1264" xr:uid="{00000000-0005-0000-0000-0000EB040000}"/>
    <cellStyle name="Millares 21 10" xfId="2069" xr:uid="{A7D2DE42-FBA9-4C0C-A1B0-B0695F9157A3}"/>
    <cellStyle name="Millares 21 11" xfId="2160" xr:uid="{156B7976-CE50-43F7-91BC-DF0CEA8C31F9}"/>
    <cellStyle name="Millares 21 12" xfId="2249" xr:uid="{73AFADB0-26C8-4A2B-8332-2EC25E52353F}"/>
    <cellStyle name="Millares 21 13" xfId="2339" xr:uid="{B1F57ACB-A4B6-4F71-964A-3E7176FE9371}"/>
    <cellStyle name="Millares 21 14" xfId="2428" xr:uid="{75831D1A-FE92-4CC2-AE44-8B9A617D930D}"/>
    <cellStyle name="Millares 21 15" xfId="2518" xr:uid="{94118293-648C-4FCA-87CD-0368D4877217}"/>
    <cellStyle name="Millares 21 16" xfId="2607" xr:uid="{2ACD1289-38FB-4E54-92C2-04166E0FE181}"/>
    <cellStyle name="Millares 21 17" xfId="2697" xr:uid="{B924BDEA-FCBB-4A8F-B352-74310A2C77E2}"/>
    <cellStyle name="Millares 21 18" xfId="2787" xr:uid="{E7932496-B2B0-463C-BA0D-EC349BA1B85A}"/>
    <cellStyle name="Millares 21 19" xfId="2877" xr:uid="{9A677CC4-688C-4EA5-B7D7-57B813CC284D}"/>
    <cellStyle name="Millares 21 2" xfId="1337" xr:uid="{00000000-0005-0000-0000-0000EC040000}"/>
    <cellStyle name="Millares 21 2 2" xfId="3502" xr:uid="{91438BF7-110C-4B90-BB47-B3EE44424795}"/>
    <cellStyle name="Millares 21 2 3" xfId="3714" xr:uid="{67982D9B-2D51-459A-B66F-910B8608FE54}"/>
    <cellStyle name="Millares 21 20" xfId="2970" xr:uid="{4975AABD-3FA1-4518-9624-99335CD67068}"/>
    <cellStyle name="Millares 21 21" xfId="3064" xr:uid="{46F5F98C-50C3-4994-B946-27DBDBC5C12E}"/>
    <cellStyle name="Millares 21 22" xfId="3624" xr:uid="{187787A3-34A9-460D-ACF2-5540DA1A3E52}"/>
    <cellStyle name="Millares 21 3" xfId="1434" xr:uid="{00000000-0005-0000-0000-0000ED040000}"/>
    <cellStyle name="Millares 21 4" xfId="1524" xr:uid="{00000000-0005-0000-0000-0000EE040000}"/>
    <cellStyle name="Millares 21 5" xfId="1614" xr:uid="{00000000-0005-0000-0000-0000EF040000}"/>
    <cellStyle name="Millares 21 6" xfId="1705" xr:uid="{00000000-0005-0000-0000-0000F0040000}"/>
    <cellStyle name="Millares 21 7" xfId="1798" xr:uid="{00000000-0005-0000-0000-0000F1040000}"/>
    <cellStyle name="Millares 21 8" xfId="1889" xr:uid="{7975C405-E0CC-49B2-9A74-CF66DA205EF7}"/>
    <cellStyle name="Millares 21 9" xfId="1980" xr:uid="{34D4D1DC-D029-490C-9F98-84EC6776C5F9}"/>
    <cellStyle name="Millares 22" xfId="1269" xr:uid="{00000000-0005-0000-0000-0000F2040000}"/>
    <cellStyle name="Millares 22 10" xfId="2070" xr:uid="{34FD28A0-D29E-4856-A3D8-030AF53D264F}"/>
    <cellStyle name="Millares 22 11" xfId="2161" xr:uid="{8A0E62B7-4A86-4162-8B4A-5EBCDD2C54B3}"/>
    <cellStyle name="Millares 22 12" xfId="2250" xr:uid="{B8BBCAD0-C091-4004-A680-C0F9E39BDC9A}"/>
    <cellStyle name="Millares 22 13" xfId="2340" xr:uid="{53025C83-24F1-420F-9509-3546BA590B25}"/>
    <cellStyle name="Millares 22 14" xfId="2429" xr:uid="{028E53AC-C580-4722-BE59-E262158CFD04}"/>
    <cellStyle name="Millares 22 15" xfId="2519" xr:uid="{FF09DCCB-C0E8-4B6E-B264-D32C20EA877C}"/>
    <cellStyle name="Millares 22 16" xfId="2608" xr:uid="{0B3F09BA-9E71-4685-AEC0-BAF4A9F3C9B6}"/>
    <cellStyle name="Millares 22 17" xfId="2698" xr:uid="{41F175D5-D9D3-479F-886C-282CA9E66692}"/>
    <cellStyle name="Millares 22 18" xfId="2788" xr:uid="{5C80D760-F8B7-464E-A1AA-A1B93A2A47FE}"/>
    <cellStyle name="Millares 22 19" xfId="2878" xr:uid="{8E35C5BD-66CC-46C7-89DA-DC815A71C531}"/>
    <cellStyle name="Millares 22 2" xfId="1338" xr:uid="{00000000-0005-0000-0000-0000F3040000}"/>
    <cellStyle name="Millares 22 2 2" xfId="3503" xr:uid="{8A76F15E-0F18-4C6C-8084-F3ED374A9FEE}"/>
    <cellStyle name="Millares 22 2 3" xfId="3715" xr:uid="{139E079A-66E4-4C8E-9AEC-7511529301B0}"/>
    <cellStyle name="Millares 22 20" xfId="2971" xr:uid="{CB57D14C-366D-4A57-AE03-8389066DCB03}"/>
    <cellStyle name="Millares 22 21" xfId="3065" xr:uid="{05D80887-56F0-4C83-B5B6-0F2A71D67916}"/>
    <cellStyle name="Millares 22 22" xfId="3625" xr:uid="{D25943C4-D05E-4CAB-BB49-534C9C251253}"/>
    <cellStyle name="Millares 22 3" xfId="1435" xr:uid="{00000000-0005-0000-0000-0000F4040000}"/>
    <cellStyle name="Millares 22 4" xfId="1525" xr:uid="{00000000-0005-0000-0000-0000F5040000}"/>
    <cellStyle name="Millares 22 5" xfId="1615" xr:uid="{00000000-0005-0000-0000-0000F6040000}"/>
    <cellStyle name="Millares 22 6" xfId="1706" xr:uid="{00000000-0005-0000-0000-0000F7040000}"/>
    <cellStyle name="Millares 22 7" xfId="1799" xr:uid="{00000000-0005-0000-0000-0000F8040000}"/>
    <cellStyle name="Millares 22 8" xfId="1890" xr:uid="{D89C4CE7-D7F6-498E-98DA-51D8CA847FF1}"/>
    <cellStyle name="Millares 22 9" xfId="1981" xr:uid="{7F88AB5E-84A9-4EFD-AE7B-57A4E1773D69}"/>
    <cellStyle name="Millares 23" xfId="1273" xr:uid="{00000000-0005-0000-0000-0000F9040000}"/>
    <cellStyle name="Millares 23 10" xfId="2071" xr:uid="{49CAB9BF-CEBD-4987-A13B-252FD10AE51C}"/>
    <cellStyle name="Millares 23 11" xfId="2162" xr:uid="{BFCACE47-C0CA-42CC-80D6-C018D121693B}"/>
    <cellStyle name="Millares 23 12" xfId="2251" xr:uid="{B4968561-EAC0-489A-A1C1-F819505BB61E}"/>
    <cellStyle name="Millares 23 13" xfId="2341" xr:uid="{AF4073D2-760E-4CE2-BB45-3E99710CD7DA}"/>
    <cellStyle name="Millares 23 14" xfId="2430" xr:uid="{0E5DB70A-670E-4CFE-8B50-0D5483F999C0}"/>
    <cellStyle name="Millares 23 15" xfId="2520" xr:uid="{58214A04-95E2-44C4-B45A-459F864DF941}"/>
    <cellStyle name="Millares 23 16" xfId="2609" xr:uid="{263490C5-9F1B-454B-9D34-212713C76AE6}"/>
    <cellStyle name="Millares 23 17" xfId="2699" xr:uid="{3E117659-303F-4328-A8D6-75E3E4FDA2A5}"/>
    <cellStyle name="Millares 23 18" xfId="2789" xr:uid="{F5FBB53F-A2D3-49F3-92BB-D70B9DE798AF}"/>
    <cellStyle name="Millares 23 19" xfId="2879" xr:uid="{B0830957-7067-4301-B692-10224ECEA8D1}"/>
    <cellStyle name="Millares 23 2" xfId="1339" xr:uid="{00000000-0005-0000-0000-0000FA040000}"/>
    <cellStyle name="Millares 23 2 2" xfId="3504" xr:uid="{D20087D1-61E8-48F0-BA93-958CCE6ABF91}"/>
    <cellStyle name="Millares 23 2 3" xfId="3716" xr:uid="{854186E0-C934-4242-8E69-23B5A9864A6A}"/>
    <cellStyle name="Millares 23 20" xfId="2972" xr:uid="{D0A81366-7877-4B89-A341-23443CF668D6}"/>
    <cellStyle name="Millares 23 21" xfId="3066" xr:uid="{EC0150CE-81BC-487C-B738-CBAAE2D6388E}"/>
    <cellStyle name="Millares 23 22" xfId="3626" xr:uid="{707179A1-396D-4FEC-B8E1-CF5B6BA541CF}"/>
    <cellStyle name="Millares 23 3" xfId="1436" xr:uid="{00000000-0005-0000-0000-0000FB040000}"/>
    <cellStyle name="Millares 23 4" xfId="1526" xr:uid="{00000000-0005-0000-0000-0000FC040000}"/>
    <cellStyle name="Millares 23 5" xfId="1616" xr:uid="{00000000-0005-0000-0000-0000FD040000}"/>
    <cellStyle name="Millares 23 6" xfId="1707" xr:uid="{00000000-0005-0000-0000-0000FE040000}"/>
    <cellStyle name="Millares 23 7" xfId="1800" xr:uid="{00000000-0005-0000-0000-0000FF040000}"/>
    <cellStyle name="Millares 23 8" xfId="1891" xr:uid="{9E650ABE-9895-4D70-A729-2F336747ADE1}"/>
    <cellStyle name="Millares 23 9" xfId="1982" xr:uid="{E4A63727-066B-4067-8421-B365D3881F59}"/>
    <cellStyle name="Millares 24" xfId="1277" xr:uid="{00000000-0005-0000-0000-000000050000}"/>
    <cellStyle name="Millares 24 10" xfId="2072" xr:uid="{FCF35D7A-5F01-4653-999F-E7B660E6196C}"/>
    <cellStyle name="Millares 24 11" xfId="2163" xr:uid="{FC9FCFC5-4B9E-4BE2-B07D-438633DB3E95}"/>
    <cellStyle name="Millares 24 12" xfId="2252" xr:uid="{03334E9E-36DE-47AC-A511-59E2F79C7C05}"/>
    <cellStyle name="Millares 24 13" xfId="2342" xr:uid="{6057BAFC-E9C5-4B61-8A63-FD5DEA736950}"/>
    <cellStyle name="Millares 24 14" xfId="2431" xr:uid="{12469396-EACA-4654-B5EC-07A433E4F1BF}"/>
    <cellStyle name="Millares 24 15" xfId="2521" xr:uid="{E380A4E8-BDBB-4B8A-A7DE-0B20BAB2B5E8}"/>
    <cellStyle name="Millares 24 16" xfId="2610" xr:uid="{E30F75E4-BF10-4D70-8130-1F774DF94325}"/>
    <cellStyle name="Millares 24 17" xfId="2700" xr:uid="{CBC1BE3B-C837-4FD6-BCFB-64896EC6D5D9}"/>
    <cellStyle name="Millares 24 18" xfId="2790" xr:uid="{3C07E754-0CB3-4832-9D76-E500AD639551}"/>
    <cellStyle name="Millares 24 19" xfId="2880" xr:uid="{A56B1080-AC6F-4694-8C0D-5DEA72E64EEB}"/>
    <cellStyle name="Millares 24 2" xfId="1340" xr:uid="{00000000-0005-0000-0000-000001050000}"/>
    <cellStyle name="Millares 24 2 2" xfId="3505" xr:uid="{46F59133-4344-4471-8B68-A473FCDDC032}"/>
    <cellStyle name="Millares 24 2 3" xfId="3717" xr:uid="{99C502FE-3764-4091-947D-D0EC0E7CE160}"/>
    <cellStyle name="Millares 24 20" xfId="2973" xr:uid="{18F96114-85E5-4F67-A8F7-3AC53DD89150}"/>
    <cellStyle name="Millares 24 21" xfId="3067" xr:uid="{9878D445-800C-4F5B-8C50-CDB6445B2577}"/>
    <cellStyle name="Millares 24 22" xfId="3627" xr:uid="{7D5FE0F5-8FD2-4E42-AFF5-00F2CBAF715F}"/>
    <cellStyle name="Millares 24 3" xfId="1437" xr:uid="{00000000-0005-0000-0000-000002050000}"/>
    <cellStyle name="Millares 24 4" xfId="1527" xr:uid="{00000000-0005-0000-0000-000003050000}"/>
    <cellStyle name="Millares 24 5" xfId="1617" xr:uid="{00000000-0005-0000-0000-000004050000}"/>
    <cellStyle name="Millares 24 6" xfId="1708" xr:uid="{00000000-0005-0000-0000-000005050000}"/>
    <cellStyle name="Millares 24 7" xfId="1801" xr:uid="{00000000-0005-0000-0000-000006050000}"/>
    <cellStyle name="Millares 24 8" xfId="1892" xr:uid="{D47501C3-6CC3-4ACD-AA96-836D5398BAC7}"/>
    <cellStyle name="Millares 24 9" xfId="1983" xr:uid="{087C8C3B-6B49-4349-B794-01267AFEB48F}"/>
    <cellStyle name="Millares 25" xfId="1341" xr:uid="{00000000-0005-0000-0000-000007050000}"/>
    <cellStyle name="Millares 25 10" xfId="2164" xr:uid="{4AFEB01F-B199-4193-8BE8-4EFCD26D8EC0}"/>
    <cellStyle name="Millares 25 11" xfId="2253" xr:uid="{6640AECD-C134-423C-95DC-DBA3B671B1E1}"/>
    <cellStyle name="Millares 25 12" xfId="2343" xr:uid="{9D426735-8E5A-4DAB-917E-302143F4CD05}"/>
    <cellStyle name="Millares 25 13" xfId="2432" xr:uid="{04358BCE-3331-45EC-9910-27FEB468406B}"/>
    <cellStyle name="Millares 25 14" xfId="2522" xr:uid="{06DFE92B-93E5-4728-BF66-6EB818F65A6D}"/>
    <cellStyle name="Millares 25 15" xfId="2611" xr:uid="{6C4EEBD3-1C5A-4188-B93A-D73067704DC7}"/>
    <cellStyle name="Millares 25 16" xfId="2701" xr:uid="{56FB66C6-7227-4466-9D64-6FA93AF04D71}"/>
    <cellStyle name="Millares 25 17" xfId="2791" xr:uid="{31CB9CC7-EEEC-40B0-927E-CE45CDD2F416}"/>
    <cellStyle name="Millares 25 18" xfId="2881" xr:uid="{7C8805BC-9E3A-47E1-B655-79549F8BAD60}"/>
    <cellStyle name="Millares 25 19" xfId="2974" xr:uid="{AEA1DDAA-68D9-45B4-AD54-25657DC9D3EF}"/>
    <cellStyle name="Millares 25 2" xfId="1438" xr:uid="{00000000-0005-0000-0000-000008050000}"/>
    <cellStyle name="Millares 25 2 2" xfId="3506" xr:uid="{6C76C73C-5FB8-4041-8C34-ACD47BA59049}"/>
    <cellStyle name="Millares 25 2 3" xfId="3718" xr:uid="{6071B712-280B-4823-A45E-A384BC15F50C}"/>
    <cellStyle name="Millares 25 20" xfId="3068" xr:uid="{8083C10E-F105-4477-A750-3979E150AD6F}"/>
    <cellStyle name="Millares 25 21" xfId="3628" xr:uid="{FD6B3741-B8C4-47F4-9DFD-4082F8DF7D5B}"/>
    <cellStyle name="Millares 25 3" xfId="1528" xr:uid="{00000000-0005-0000-0000-000009050000}"/>
    <cellStyle name="Millares 25 4" xfId="1618" xr:uid="{00000000-0005-0000-0000-00000A050000}"/>
    <cellStyle name="Millares 25 5" xfId="1709" xr:uid="{00000000-0005-0000-0000-00000B050000}"/>
    <cellStyle name="Millares 25 6" xfId="1802" xr:uid="{00000000-0005-0000-0000-00000C050000}"/>
    <cellStyle name="Millares 25 7" xfId="1893" xr:uid="{16814079-0294-4480-89CA-55B9A60B0270}"/>
    <cellStyle name="Millares 25 8" xfId="1984" xr:uid="{6D65E1E6-7AB8-42CB-98E1-92371095CDCF}"/>
    <cellStyle name="Millares 25 9" xfId="2073" xr:uid="{9716A169-17B9-483C-A75B-27019CF1B94F}"/>
    <cellStyle name="Millares 26" xfId="1281" xr:uid="{00000000-0005-0000-0000-00000D050000}"/>
    <cellStyle name="Millares 27" xfId="1378" xr:uid="{00000000-0005-0000-0000-00000E050000}"/>
    <cellStyle name="Millares 28" xfId="1468" xr:uid="{00000000-0005-0000-0000-00000F050000}"/>
    <cellStyle name="Millares 3" xfId="881" xr:uid="{00000000-0005-0000-0000-000010050000}"/>
    <cellStyle name="Millares 3 10" xfId="1231" xr:uid="{00000000-0005-0000-0000-000011050000}"/>
    <cellStyle name="Millares 3 10 10" xfId="2075" xr:uid="{EF89A4A1-AFBA-4028-81E2-2DD2A22BF0CC}"/>
    <cellStyle name="Millares 3 10 11" xfId="2166" xr:uid="{F2C706E9-84A7-4882-8D05-099BFED6C180}"/>
    <cellStyle name="Millares 3 10 12" xfId="2255" xr:uid="{DE1D1B28-B81B-4D27-8063-ECA3F9409A64}"/>
    <cellStyle name="Millares 3 10 13" xfId="2345" xr:uid="{F5D9AFDE-0AB7-4937-8230-BDC8F15FC990}"/>
    <cellStyle name="Millares 3 10 14" xfId="2434" xr:uid="{2C76A01B-F225-4BB8-AF31-F8BB28AF617F}"/>
    <cellStyle name="Millares 3 10 15" xfId="2524" xr:uid="{F3D9416B-EA0B-4616-B381-A1AE7F04DD7E}"/>
    <cellStyle name="Millares 3 10 16" xfId="2613" xr:uid="{26611AD6-6C9F-49C4-9CE4-790E6F4C773B}"/>
    <cellStyle name="Millares 3 10 17" xfId="2703" xr:uid="{96FD99F6-89A3-4714-B88C-F7D0F6A6AA5D}"/>
    <cellStyle name="Millares 3 10 18" xfId="2793" xr:uid="{D6D3A8AC-1FA9-48CF-8FD7-27F6694CD37C}"/>
    <cellStyle name="Millares 3 10 19" xfId="2883" xr:uid="{B9EBAD0A-9A1E-45EA-ACCD-E30A07EC64C0}"/>
    <cellStyle name="Millares 3 10 2" xfId="1343" xr:uid="{00000000-0005-0000-0000-000012050000}"/>
    <cellStyle name="Millares 3 10 2 2" xfId="3508" xr:uid="{22232535-9761-454A-9B1C-C6C78A3370C9}"/>
    <cellStyle name="Millares 3 10 2 3" xfId="3720" xr:uid="{A9A3B8F8-3317-4AF3-914B-48A72EE9E848}"/>
    <cellStyle name="Millares 3 10 20" xfId="2976" xr:uid="{92E19CA5-229D-4568-8A6C-CA10625BF5B1}"/>
    <cellStyle name="Millares 3 10 21" xfId="3070" xr:uid="{66D89B50-3EB7-4E2B-9A76-405031862FE7}"/>
    <cellStyle name="Millares 3 10 22" xfId="3630" xr:uid="{6EF1F219-E3E3-400E-9D8E-1FC352865703}"/>
    <cellStyle name="Millares 3 10 3" xfId="1440" xr:uid="{00000000-0005-0000-0000-000013050000}"/>
    <cellStyle name="Millares 3 10 4" xfId="1530" xr:uid="{00000000-0005-0000-0000-000014050000}"/>
    <cellStyle name="Millares 3 10 5" xfId="1620" xr:uid="{00000000-0005-0000-0000-000015050000}"/>
    <cellStyle name="Millares 3 10 6" xfId="1711" xr:uid="{00000000-0005-0000-0000-000016050000}"/>
    <cellStyle name="Millares 3 10 7" xfId="1804" xr:uid="{00000000-0005-0000-0000-000017050000}"/>
    <cellStyle name="Millares 3 10 8" xfId="1895" xr:uid="{07FE7395-74D8-4B8A-8FD3-EF8C8B513408}"/>
    <cellStyle name="Millares 3 10 9" xfId="1986" xr:uid="{C656A113-BF88-495D-B814-7735659F5439}"/>
    <cellStyle name="Millares 3 11" xfId="1235" xr:uid="{00000000-0005-0000-0000-000018050000}"/>
    <cellStyle name="Millares 3 11 10" xfId="2076" xr:uid="{7874EEFD-7A04-4432-818E-6F230FC6D4DE}"/>
    <cellStyle name="Millares 3 11 11" xfId="2167" xr:uid="{653C134E-1449-44A3-97D5-88B0FBCD075A}"/>
    <cellStyle name="Millares 3 11 12" xfId="2256" xr:uid="{B4470A38-8168-43ED-8460-7571AEFFF6C4}"/>
    <cellStyle name="Millares 3 11 13" xfId="2346" xr:uid="{2BB509FD-B968-406E-A482-ED5FD06582B4}"/>
    <cellStyle name="Millares 3 11 14" xfId="2435" xr:uid="{89C40F0E-A13F-4119-91A7-B0EFFB4DACCC}"/>
    <cellStyle name="Millares 3 11 15" xfId="2525" xr:uid="{2A07644D-11C9-4352-A171-0E9CEB0B322B}"/>
    <cellStyle name="Millares 3 11 16" xfId="2614" xr:uid="{F6520673-BD41-457D-B723-6936298EAF9E}"/>
    <cellStyle name="Millares 3 11 17" xfId="2704" xr:uid="{9A0B980E-C4BE-4358-90D7-966B2042B67C}"/>
    <cellStyle name="Millares 3 11 18" xfId="2794" xr:uid="{1A96104F-C85C-447D-9994-19D5CB99DB04}"/>
    <cellStyle name="Millares 3 11 19" xfId="2884" xr:uid="{E599CD3F-4EEA-4033-BFAC-549A6D923E68}"/>
    <cellStyle name="Millares 3 11 2" xfId="1344" xr:uid="{00000000-0005-0000-0000-000019050000}"/>
    <cellStyle name="Millares 3 11 2 2" xfId="3509" xr:uid="{9C169859-1EF7-4B30-B5A1-260EB64E55D4}"/>
    <cellStyle name="Millares 3 11 2 3" xfId="3721" xr:uid="{75015DC6-3E38-48E3-A3C7-6E705FFD36D7}"/>
    <cellStyle name="Millares 3 11 20" xfId="2977" xr:uid="{A0C9AFDA-1CBC-45B1-827A-61D8F9BB468D}"/>
    <cellStyle name="Millares 3 11 21" xfId="3071" xr:uid="{8A4E08BA-81FB-4D86-A167-E198FC22D328}"/>
    <cellStyle name="Millares 3 11 22" xfId="3631" xr:uid="{7C891106-1F3B-44E9-BE4C-5BC591400042}"/>
    <cellStyle name="Millares 3 11 3" xfId="1441" xr:uid="{00000000-0005-0000-0000-00001A050000}"/>
    <cellStyle name="Millares 3 11 4" xfId="1531" xr:uid="{00000000-0005-0000-0000-00001B050000}"/>
    <cellStyle name="Millares 3 11 5" xfId="1621" xr:uid="{00000000-0005-0000-0000-00001C050000}"/>
    <cellStyle name="Millares 3 11 6" xfId="1712" xr:uid="{00000000-0005-0000-0000-00001D050000}"/>
    <cellStyle name="Millares 3 11 7" xfId="1805" xr:uid="{00000000-0005-0000-0000-00001E050000}"/>
    <cellStyle name="Millares 3 11 8" xfId="1896" xr:uid="{49699FC8-5A8B-4E9B-9C7B-17370D9986CE}"/>
    <cellStyle name="Millares 3 11 9" xfId="1987" xr:uid="{358C9A81-C725-43C6-9964-0F9C9B9D54D2}"/>
    <cellStyle name="Millares 3 12" xfId="1239" xr:uid="{00000000-0005-0000-0000-00001F050000}"/>
    <cellStyle name="Millares 3 12 10" xfId="2077" xr:uid="{557B1FA6-E90E-4553-B036-BF1BEA3B809F}"/>
    <cellStyle name="Millares 3 12 11" xfId="2168" xr:uid="{A7222702-0598-4FD4-9EC3-BC9F9C1CBAE3}"/>
    <cellStyle name="Millares 3 12 12" xfId="2257" xr:uid="{4DC60E7A-0A65-42B4-B9D6-D6018DBEC017}"/>
    <cellStyle name="Millares 3 12 13" xfId="2347" xr:uid="{34030344-4EEF-48EC-B170-9C2BEE3FA201}"/>
    <cellStyle name="Millares 3 12 14" xfId="2436" xr:uid="{180A7306-2865-4843-813E-26EDF9A56855}"/>
    <cellStyle name="Millares 3 12 15" xfId="2526" xr:uid="{A05AE33E-9ED4-4EDB-88CA-620E5516FCC5}"/>
    <cellStyle name="Millares 3 12 16" xfId="2615" xr:uid="{1EEC4A2A-5641-46BE-BC7F-138FAA0BC56A}"/>
    <cellStyle name="Millares 3 12 17" xfId="2705" xr:uid="{BC1E52AA-D1F1-492B-AA9B-36D51BE9E97A}"/>
    <cellStyle name="Millares 3 12 18" xfId="2795" xr:uid="{103E297C-2D46-4234-9C02-29429F4AC82C}"/>
    <cellStyle name="Millares 3 12 19" xfId="2885" xr:uid="{0C361457-9D54-4E63-B928-08C8EBB365C4}"/>
    <cellStyle name="Millares 3 12 2" xfId="1345" xr:uid="{00000000-0005-0000-0000-000020050000}"/>
    <cellStyle name="Millares 3 12 2 2" xfId="3510" xr:uid="{F173344D-8A87-40EB-B1BE-6F45C91E12C6}"/>
    <cellStyle name="Millares 3 12 2 3" xfId="3722" xr:uid="{904D6A56-9E0E-4B42-BA58-DE3CD527ADF9}"/>
    <cellStyle name="Millares 3 12 20" xfId="2978" xr:uid="{569541A8-C48B-466B-955A-DF596F006332}"/>
    <cellStyle name="Millares 3 12 21" xfId="3072" xr:uid="{B13BD016-3CBB-4E0C-AD03-FCB79261DB64}"/>
    <cellStyle name="Millares 3 12 22" xfId="3632" xr:uid="{1FB056B2-981A-4EF9-A2C2-21735C68CED4}"/>
    <cellStyle name="Millares 3 12 3" xfId="1442" xr:uid="{00000000-0005-0000-0000-000021050000}"/>
    <cellStyle name="Millares 3 12 4" xfId="1532" xr:uid="{00000000-0005-0000-0000-000022050000}"/>
    <cellStyle name="Millares 3 12 5" xfId="1622" xr:uid="{00000000-0005-0000-0000-000023050000}"/>
    <cellStyle name="Millares 3 12 6" xfId="1713" xr:uid="{00000000-0005-0000-0000-000024050000}"/>
    <cellStyle name="Millares 3 12 7" xfId="1806" xr:uid="{00000000-0005-0000-0000-000025050000}"/>
    <cellStyle name="Millares 3 12 8" xfId="1897" xr:uid="{BB10E47D-1D96-4B26-A395-CFB0E88DAA90}"/>
    <cellStyle name="Millares 3 12 9" xfId="1988" xr:uid="{E418F3E4-B917-4A9A-889D-A680E95D5D34}"/>
    <cellStyle name="Millares 3 13" xfId="1244" xr:uid="{00000000-0005-0000-0000-000026050000}"/>
    <cellStyle name="Millares 3 13 10" xfId="2078" xr:uid="{2775471A-A6F3-4BB5-A6F6-660980C69EE4}"/>
    <cellStyle name="Millares 3 13 11" xfId="2169" xr:uid="{4006BC55-3158-4212-B6C0-0E08E305C04F}"/>
    <cellStyle name="Millares 3 13 12" xfId="2258" xr:uid="{7A75C99F-4E58-4F53-9046-04CC99626B60}"/>
    <cellStyle name="Millares 3 13 13" xfId="2348" xr:uid="{FAD03DEF-338E-4085-BF5E-03272AD86FD2}"/>
    <cellStyle name="Millares 3 13 14" xfId="2437" xr:uid="{A6A3C166-F4BB-4530-A69F-4A86B9A46564}"/>
    <cellStyle name="Millares 3 13 15" xfId="2527" xr:uid="{FFE72087-7C23-4875-BDDE-35D6BC1DA3A5}"/>
    <cellStyle name="Millares 3 13 16" xfId="2616" xr:uid="{549ECE6E-959B-476A-A420-67D25386EE31}"/>
    <cellStyle name="Millares 3 13 17" xfId="2706" xr:uid="{96B3E0B5-BD6C-44A6-852F-43F98DC1705E}"/>
    <cellStyle name="Millares 3 13 18" xfId="2796" xr:uid="{1846C68E-F23A-4DE9-B88D-CD1DE3E43F7E}"/>
    <cellStyle name="Millares 3 13 19" xfId="2886" xr:uid="{12198EAD-4F7C-4AB8-8775-F9CF8C2756FD}"/>
    <cellStyle name="Millares 3 13 2" xfId="1346" xr:uid="{00000000-0005-0000-0000-000027050000}"/>
    <cellStyle name="Millares 3 13 2 2" xfId="3511" xr:uid="{A064E147-5949-4369-B5BB-3594153E7D16}"/>
    <cellStyle name="Millares 3 13 2 3" xfId="3723" xr:uid="{EC28C795-C0EB-47B1-8C11-C89DBF5B0DFD}"/>
    <cellStyle name="Millares 3 13 20" xfId="2979" xr:uid="{45855CAE-FF16-4694-8680-DD204AAC55CE}"/>
    <cellStyle name="Millares 3 13 21" xfId="3073" xr:uid="{B1E27756-98B3-4E48-BB6F-09915BC595AF}"/>
    <cellStyle name="Millares 3 13 22" xfId="3633" xr:uid="{6EAC6E8F-468A-4777-9E2F-719BCC7C9A06}"/>
    <cellStyle name="Millares 3 13 3" xfId="1443" xr:uid="{00000000-0005-0000-0000-000028050000}"/>
    <cellStyle name="Millares 3 13 4" xfId="1533" xr:uid="{00000000-0005-0000-0000-000029050000}"/>
    <cellStyle name="Millares 3 13 5" xfId="1623" xr:uid="{00000000-0005-0000-0000-00002A050000}"/>
    <cellStyle name="Millares 3 13 6" xfId="1714" xr:uid="{00000000-0005-0000-0000-00002B050000}"/>
    <cellStyle name="Millares 3 13 7" xfId="1807" xr:uid="{00000000-0005-0000-0000-00002C050000}"/>
    <cellStyle name="Millares 3 13 8" xfId="1898" xr:uid="{6B064132-2151-4107-8735-7D5AAB04756C}"/>
    <cellStyle name="Millares 3 13 9" xfId="1989" xr:uid="{8F0ED0CD-3F5C-443B-A3F7-8CA6548A5C2F}"/>
    <cellStyle name="Millares 3 14" xfId="1249" xr:uid="{00000000-0005-0000-0000-00002D050000}"/>
    <cellStyle name="Millares 3 14 10" xfId="2079" xr:uid="{B7837B38-A3D3-41E3-A9FB-FF10CE65329D}"/>
    <cellStyle name="Millares 3 14 11" xfId="2170" xr:uid="{4FF4AE18-DE98-4C63-816A-0F1C8C7FEF3D}"/>
    <cellStyle name="Millares 3 14 12" xfId="2259" xr:uid="{F2ED4B93-CFD3-476F-9279-EAC9429FE7DD}"/>
    <cellStyle name="Millares 3 14 13" xfId="2349" xr:uid="{6C3F69DD-27BC-4F93-B860-224AA4C9E208}"/>
    <cellStyle name="Millares 3 14 14" xfId="2438" xr:uid="{DC314B86-5C65-4C59-9370-1640CCC26D20}"/>
    <cellStyle name="Millares 3 14 15" xfId="2528" xr:uid="{FE0A3708-0BB2-44D0-9786-21AC9F1DFFEF}"/>
    <cellStyle name="Millares 3 14 16" xfId="2617" xr:uid="{75429B1F-DA91-4600-881A-D6BEDB2E6B3D}"/>
    <cellStyle name="Millares 3 14 17" xfId="2707" xr:uid="{659C5BA0-70DC-4916-BBC7-443DCB4EFFD4}"/>
    <cellStyle name="Millares 3 14 18" xfId="2797" xr:uid="{340E8FF9-52FC-4021-BADA-E89C383C5897}"/>
    <cellStyle name="Millares 3 14 19" xfId="2887" xr:uid="{D9B61BB8-2345-4BD4-B9F2-4E152E71B7AD}"/>
    <cellStyle name="Millares 3 14 2" xfId="1347" xr:uid="{00000000-0005-0000-0000-00002E050000}"/>
    <cellStyle name="Millares 3 14 2 2" xfId="3512" xr:uid="{FAAF14B2-1775-45A3-8526-67598EFBB32F}"/>
    <cellStyle name="Millares 3 14 2 3" xfId="3724" xr:uid="{46D2A5ED-CE66-4934-BE1D-658307C8B13E}"/>
    <cellStyle name="Millares 3 14 20" xfId="2980" xr:uid="{27A9735F-E3A0-4C17-BC17-139529CE818F}"/>
    <cellStyle name="Millares 3 14 21" xfId="3074" xr:uid="{15255AE3-BABC-4BB8-94B1-F0876FE023E2}"/>
    <cellStyle name="Millares 3 14 22" xfId="3634" xr:uid="{83F6FFBF-CF2B-4899-B3DA-4FEBE0683A7B}"/>
    <cellStyle name="Millares 3 14 3" xfId="1444" xr:uid="{00000000-0005-0000-0000-00002F050000}"/>
    <cellStyle name="Millares 3 14 4" xfId="1534" xr:uid="{00000000-0005-0000-0000-000030050000}"/>
    <cellStyle name="Millares 3 14 5" xfId="1624" xr:uid="{00000000-0005-0000-0000-000031050000}"/>
    <cellStyle name="Millares 3 14 6" xfId="1715" xr:uid="{00000000-0005-0000-0000-000032050000}"/>
    <cellStyle name="Millares 3 14 7" xfId="1808" xr:uid="{00000000-0005-0000-0000-000033050000}"/>
    <cellStyle name="Millares 3 14 8" xfId="1899" xr:uid="{00D44AEF-2E43-4629-A33E-BD9792388089}"/>
    <cellStyle name="Millares 3 14 9" xfId="1990" xr:uid="{CEC74E9D-2B0E-4012-8069-3A0F3156AE54}"/>
    <cellStyle name="Millares 3 15" xfId="1254" xr:uid="{00000000-0005-0000-0000-000034050000}"/>
    <cellStyle name="Millares 3 15 10" xfId="2080" xr:uid="{47AB296C-EAE6-4B59-A672-755465BE8D75}"/>
    <cellStyle name="Millares 3 15 11" xfId="2171" xr:uid="{0FAE85E3-0BC9-4283-8390-A4076DF03C46}"/>
    <cellStyle name="Millares 3 15 12" xfId="2260" xr:uid="{68C788B8-68EC-4518-8407-A414BF32F2BB}"/>
    <cellStyle name="Millares 3 15 13" xfId="2350" xr:uid="{EB2B0D4D-1E93-4909-BF1E-F8113D0335EB}"/>
    <cellStyle name="Millares 3 15 14" xfId="2439" xr:uid="{1DC88457-8B1B-4814-A6B7-CA2D95338D1B}"/>
    <cellStyle name="Millares 3 15 15" xfId="2529" xr:uid="{F4BEBA89-0B27-40F5-888F-4311FCA4D7AF}"/>
    <cellStyle name="Millares 3 15 16" xfId="2618" xr:uid="{37EAD68C-2A36-4A3A-A54E-4CE1D38C5ECF}"/>
    <cellStyle name="Millares 3 15 17" xfId="2708" xr:uid="{B8424F40-C580-4B5C-9CFE-C024B00487D3}"/>
    <cellStyle name="Millares 3 15 18" xfId="2798" xr:uid="{159FD95F-411E-4C39-9D80-6AA4A463DE9B}"/>
    <cellStyle name="Millares 3 15 19" xfId="2888" xr:uid="{F1AA8FF4-2B0C-4E7E-9AFB-81C253997F67}"/>
    <cellStyle name="Millares 3 15 2" xfId="1348" xr:uid="{00000000-0005-0000-0000-000035050000}"/>
    <cellStyle name="Millares 3 15 2 2" xfId="3513" xr:uid="{DE355F8C-D5C6-4BA2-B75D-F806825E49F6}"/>
    <cellStyle name="Millares 3 15 2 3" xfId="3725" xr:uid="{BAEBAF1E-BFC2-4F78-A6C7-DA1047760284}"/>
    <cellStyle name="Millares 3 15 20" xfId="2981" xr:uid="{FB43AAE6-2ADC-4805-A9DD-192841B30A94}"/>
    <cellStyle name="Millares 3 15 21" xfId="3075" xr:uid="{F5AF6467-335E-4131-934F-D00F081F9F48}"/>
    <cellStyle name="Millares 3 15 22" xfId="3635" xr:uid="{3F8F4F9D-B300-432B-A894-381AEEFD1891}"/>
    <cellStyle name="Millares 3 15 3" xfId="1445" xr:uid="{00000000-0005-0000-0000-000036050000}"/>
    <cellStyle name="Millares 3 15 4" xfId="1535" xr:uid="{00000000-0005-0000-0000-000037050000}"/>
    <cellStyle name="Millares 3 15 5" xfId="1625" xr:uid="{00000000-0005-0000-0000-000038050000}"/>
    <cellStyle name="Millares 3 15 6" xfId="1716" xr:uid="{00000000-0005-0000-0000-000039050000}"/>
    <cellStyle name="Millares 3 15 7" xfId="1809" xr:uid="{00000000-0005-0000-0000-00003A050000}"/>
    <cellStyle name="Millares 3 15 8" xfId="1900" xr:uid="{5FAC3D2D-BA78-46A1-BE1A-9305CAD00322}"/>
    <cellStyle name="Millares 3 15 9" xfId="1991" xr:uid="{F6616309-2E6B-4431-A532-55339990C181}"/>
    <cellStyle name="Millares 3 16" xfId="1259" xr:uid="{00000000-0005-0000-0000-00003B050000}"/>
    <cellStyle name="Millares 3 16 10" xfId="2081" xr:uid="{288CA801-6E20-41B2-AE26-CE36727651BC}"/>
    <cellStyle name="Millares 3 16 11" xfId="2172" xr:uid="{75425737-45C2-4F2B-8D2D-49FE0944FB6D}"/>
    <cellStyle name="Millares 3 16 12" xfId="2261" xr:uid="{333BE876-CDD4-4322-80F5-88F819E4A497}"/>
    <cellStyle name="Millares 3 16 13" xfId="2351" xr:uid="{60100602-091A-48FC-BAED-3786E8B85803}"/>
    <cellStyle name="Millares 3 16 14" xfId="2440" xr:uid="{AE3A173B-83EA-4344-8277-2F53E8DA896E}"/>
    <cellStyle name="Millares 3 16 15" xfId="2530" xr:uid="{2E05443C-4D3E-4A84-8443-E26496199742}"/>
    <cellStyle name="Millares 3 16 16" xfId="2619" xr:uid="{56DC6B3B-8BD3-48AA-9CB3-B8FC202393CC}"/>
    <cellStyle name="Millares 3 16 17" xfId="2709" xr:uid="{D1766655-6348-42F7-BFB2-8954A257C4C6}"/>
    <cellStyle name="Millares 3 16 18" xfId="2799" xr:uid="{03D9AFFC-BEEB-45F9-B4FE-5C1DA88D54D1}"/>
    <cellStyle name="Millares 3 16 19" xfId="2889" xr:uid="{5D855D7B-7916-4C92-835F-9A1A298D6EC7}"/>
    <cellStyle name="Millares 3 16 2" xfId="1349" xr:uid="{00000000-0005-0000-0000-00003C050000}"/>
    <cellStyle name="Millares 3 16 2 2" xfId="3514" xr:uid="{D81900A7-8BCE-4502-9439-5F094C73D389}"/>
    <cellStyle name="Millares 3 16 2 3" xfId="3726" xr:uid="{2E998099-C773-46BF-A983-EDDC6A33B9EA}"/>
    <cellStyle name="Millares 3 16 20" xfId="2982" xr:uid="{415F23F6-A453-42FF-B392-9D49A0AB73CA}"/>
    <cellStyle name="Millares 3 16 21" xfId="3076" xr:uid="{80886D41-9754-4E9C-8F0C-E322BE0BE9B1}"/>
    <cellStyle name="Millares 3 16 22" xfId="3636" xr:uid="{16AD6B5D-CA09-41B3-BACC-2ADBE6299049}"/>
    <cellStyle name="Millares 3 16 3" xfId="1446" xr:uid="{00000000-0005-0000-0000-00003D050000}"/>
    <cellStyle name="Millares 3 16 4" xfId="1536" xr:uid="{00000000-0005-0000-0000-00003E050000}"/>
    <cellStyle name="Millares 3 16 5" xfId="1626" xr:uid="{00000000-0005-0000-0000-00003F050000}"/>
    <cellStyle name="Millares 3 16 6" xfId="1717" xr:uid="{00000000-0005-0000-0000-000040050000}"/>
    <cellStyle name="Millares 3 16 7" xfId="1810" xr:uid="{00000000-0005-0000-0000-000041050000}"/>
    <cellStyle name="Millares 3 16 8" xfId="1901" xr:uid="{30E84C90-2719-4A4F-88E2-C3EF236CAB48}"/>
    <cellStyle name="Millares 3 16 9" xfId="1992" xr:uid="{03463E37-8D8A-4262-9F8B-C0E396F26DA8}"/>
    <cellStyle name="Millares 3 17" xfId="1263" xr:uid="{00000000-0005-0000-0000-000042050000}"/>
    <cellStyle name="Millares 3 17 10" xfId="2082" xr:uid="{7AF38563-2E2B-46F5-ADBC-0ED8ECA92ABE}"/>
    <cellStyle name="Millares 3 17 11" xfId="2173" xr:uid="{3DFDE720-E399-4DF0-B163-D4A6C4053A9C}"/>
    <cellStyle name="Millares 3 17 12" xfId="2262" xr:uid="{7F2B8D5E-D907-4F3E-857D-E7063D749101}"/>
    <cellStyle name="Millares 3 17 13" xfId="2352" xr:uid="{01C8B7EC-8271-4723-8656-2F4DC48AC761}"/>
    <cellStyle name="Millares 3 17 14" xfId="2441" xr:uid="{CB4FAB68-0B61-4CB8-8BA2-EFCC4F84E5A8}"/>
    <cellStyle name="Millares 3 17 15" xfId="2531" xr:uid="{EC9770B6-00DE-43BA-987C-A3F89AC7A4D0}"/>
    <cellStyle name="Millares 3 17 16" xfId="2620" xr:uid="{F4365116-479B-4A06-B4CF-0C55519AF5D6}"/>
    <cellStyle name="Millares 3 17 17" xfId="2710" xr:uid="{A07A3237-CD2B-45FB-BE6F-49C9DE6F063C}"/>
    <cellStyle name="Millares 3 17 18" xfId="2800" xr:uid="{B43A41A8-4EE0-4F9A-929D-D9C21B02644B}"/>
    <cellStyle name="Millares 3 17 19" xfId="2890" xr:uid="{B47C192D-BCDF-4146-8F52-D6786CE30702}"/>
    <cellStyle name="Millares 3 17 2" xfId="1350" xr:uid="{00000000-0005-0000-0000-000043050000}"/>
    <cellStyle name="Millares 3 17 2 2" xfId="3515" xr:uid="{6490123B-E0DB-4263-805F-FCC2535EBEFD}"/>
    <cellStyle name="Millares 3 17 2 3" xfId="3727" xr:uid="{8C77156C-B615-4B78-A112-50B631F50DEA}"/>
    <cellStyle name="Millares 3 17 20" xfId="2983" xr:uid="{92414C84-74CC-4B48-8801-FC86D0FA31C0}"/>
    <cellStyle name="Millares 3 17 21" xfId="3077" xr:uid="{CD6E70BB-ACE6-4895-BB01-AC805CA58419}"/>
    <cellStyle name="Millares 3 17 22" xfId="3637" xr:uid="{2F607201-CE41-4994-9ABF-D0B24D41A70C}"/>
    <cellStyle name="Millares 3 17 3" xfId="1447" xr:uid="{00000000-0005-0000-0000-000044050000}"/>
    <cellStyle name="Millares 3 17 4" xfId="1537" xr:uid="{00000000-0005-0000-0000-000045050000}"/>
    <cellStyle name="Millares 3 17 5" xfId="1627" xr:uid="{00000000-0005-0000-0000-000046050000}"/>
    <cellStyle name="Millares 3 17 6" xfId="1718" xr:uid="{00000000-0005-0000-0000-000047050000}"/>
    <cellStyle name="Millares 3 17 7" xfId="1811" xr:uid="{00000000-0005-0000-0000-000048050000}"/>
    <cellStyle name="Millares 3 17 8" xfId="1902" xr:uid="{9F3A57C1-15C8-4AA7-AB20-40C02956E4A6}"/>
    <cellStyle name="Millares 3 17 9" xfId="1993" xr:uid="{1891EAB3-1916-4345-98E2-B6C5BCDD8D0E}"/>
    <cellStyle name="Millares 3 18" xfId="1267" xr:uid="{00000000-0005-0000-0000-000049050000}"/>
    <cellStyle name="Millares 3 18 10" xfId="2083" xr:uid="{991EF981-B94A-406E-A847-1D4B3D7CCAA6}"/>
    <cellStyle name="Millares 3 18 11" xfId="2174" xr:uid="{D6B4373A-F6F4-4F10-AE39-5E75D6129BD8}"/>
    <cellStyle name="Millares 3 18 12" xfId="2263" xr:uid="{6767A313-DC32-41EC-BCEC-A458C461C50E}"/>
    <cellStyle name="Millares 3 18 13" xfId="2353" xr:uid="{7A74E11C-374D-4D4D-8628-6F4B647096C3}"/>
    <cellStyle name="Millares 3 18 14" xfId="2442" xr:uid="{792B98DD-A971-476A-B480-EFD8A5A242E4}"/>
    <cellStyle name="Millares 3 18 15" xfId="2532" xr:uid="{C72E2517-7746-4090-8C64-8E689CEE7C8C}"/>
    <cellStyle name="Millares 3 18 16" xfId="2621" xr:uid="{7232306C-6856-49F1-B17A-EE87C1C8E1A8}"/>
    <cellStyle name="Millares 3 18 17" xfId="2711" xr:uid="{0C1A64FF-24E3-48FE-B0D4-17F9B878D241}"/>
    <cellStyle name="Millares 3 18 18" xfId="2801" xr:uid="{B5B57AA6-FCD4-499E-A858-EDA240BD75AE}"/>
    <cellStyle name="Millares 3 18 19" xfId="2891" xr:uid="{214FB609-42C3-4DBD-B9F4-1E77F35A27EB}"/>
    <cellStyle name="Millares 3 18 2" xfId="1351" xr:uid="{00000000-0005-0000-0000-00004A050000}"/>
    <cellStyle name="Millares 3 18 2 2" xfId="3516" xr:uid="{52D60B27-4DB5-4E59-B363-BAD4A6DD3BF1}"/>
    <cellStyle name="Millares 3 18 2 3" xfId="3728" xr:uid="{6162F03F-3EF5-47F7-9B48-AC1F97BE2F1A}"/>
    <cellStyle name="Millares 3 18 20" xfId="2984" xr:uid="{93B63145-DDD2-46E9-921B-7853B575CAD6}"/>
    <cellStyle name="Millares 3 18 21" xfId="3078" xr:uid="{1BED0CA0-04E2-4640-8888-D94EBBA39877}"/>
    <cellStyle name="Millares 3 18 22" xfId="3638" xr:uid="{0C1F00E4-FB7D-4A43-B545-D2854F7303D5}"/>
    <cellStyle name="Millares 3 18 3" xfId="1448" xr:uid="{00000000-0005-0000-0000-00004B050000}"/>
    <cellStyle name="Millares 3 18 4" xfId="1538" xr:uid="{00000000-0005-0000-0000-00004C050000}"/>
    <cellStyle name="Millares 3 18 5" xfId="1628" xr:uid="{00000000-0005-0000-0000-00004D050000}"/>
    <cellStyle name="Millares 3 18 6" xfId="1719" xr:uid="{00000000-0005-0000-0000-00004E050000}"/>
    <cellStyle name="Millares 3 18 7" xfId="1812" xr:uid="{00000000-0005-0000-0000-00004F050000}"/>
    <cellStyle name="Millares 3 18 8" xfId="1903" xr:uid="{35AEC411-9121-4E46-A0D7-F24DF50F6C09}"/>
    <cellStyle name="Millares 3 18 9" xfId="1994" xr:uid="{1798F76E-A0C8-4861-9CF1-5D07721FC7E2}"/>
    <cellStyle name="Millares 3 19" xfId="1272" xr:uid="{00000000-0005-0000-0000-000050050000}"/>
    <cellStyle name="Millares 3 19 10" xfId="2084" xr:uid="{20D7FAD8-07A6-4CF8-8660-BFF47F21D495}"/>
    <cellStyle name="Millares 3 19 11" xfId="2175" xr:uid="{2D5F3FD8-C5BD-4FE5-9174-189E73E33C0B}"/>
    <cellStyle name="Millares 3 19 12" xfId="2264" xr:uid="{8230536E-0093-4B0A-B6DE-DC744C48A0FE}"/>
    <cellStyle name="Millares 3 19 13" xfId="2354" xr:uid="{005301A8-F39A-4970-B03E-4EC2145C280A}"/>
    <cellStyle name="Millares 3 19 14" xfId="2443" xr:uid="{45831AA3-AC0D-42D2-900A-D4783873217A}"/>
    <cellStyle name="Millares 3 19 15" xfId="2533" xr:uid="{9F2B9824-A390-4092-A363-351C12B10172}"/>
    <cellStyle name="Millares 3 19 16" xfId="2622" xr:uid="{FFAF245E-6DE0-4985-800E-FE3623AA11AF}"/>
    <cellStyle name="Millares 3 19 17" xfId="2712" xr:uid="{88C91C3E-5244-4405-A920-AB73F36D820E}"/>
    <cellStyle name="Millares 3 19 18" xfId="2802" xr:uid="{D71FDE61-5D97-4EE9-9BE0-5AC988515613}"/>
    <cellStyle name="Millares 3 19 19" xfId="2892" xr:uid="{46499F04-0917-44B0-979B-13C957522BAF}"/>
    <cellStyle name="Millares 3 19 2" xfId="1352" xr:uid="{00000000-0005-0000-0000-000051050000}"/>
    <cellStyle name="Millares 3 19 2 2" xfId="3517" xr:uid="{7B718C92-DD74-4001-B64E-5503EB9B19CA}"/>
    <cellStyle name="Millares 3 19 2 3" xfId="3729" xr:uid="{14CE5F80-0D7B-40BA-B304-B8A7439213C8}"/>
    <cellStyle name="Millares 3 19 20" xfId="2985" xr:uid="{017E6116-F715-4FE4-94FD-1612F7B5B05E}"/>
    <cellStyle name="Millares 3 19 21" xfId="3079" xr:uid="{D27A8664-7FDE-40D6-959C-EA89472D4CBC}"/>
    <cellStyle name="Millares 3 19 22" xfId="3639" xr:uid="{3D134122-D221-4D9F-B1A0-09BC8D963C01}"/>
    <cellStyle name="Millares 3 19 3" xfId="1449" xr:uid="{00000000-0005-0000-0000-000052050000}"/>
    <cellStyle name="Millares 3 19 4" xfId="1539" xr:uid="{00000000-0005-0000-0000-000053050000}"/>
    <cellStyle name="Millares 3 19 5" xfId="1629" xr:uid="{00000000-0005-0000-0000-000054050000}"/>
    <cellStyle name="Millares 3 19 6" xfId="1720" xr:uid="{00000000-0005-0000-0000-000055050000}"/>
    <cellStyle name="Millares 3 19 7" xfId="1813" xr:uid="{00000000-0005-0000-0000-000056050000}"/>
    <cellStyle name="Millares 3 19 8" xfId="1904" xr:uid="{2A8693BA-485A-476C-A6FC-1E147DAC7307}"/>
    <cellStyle name="Millares 3 19 9" xfId="1995" xr:uid="{7144C1D8-3B12-4D6B-8B86-AA15490D246B}"/>
    <cellStyle name="Millares 3 2" xfId="1197" xr:uid="{00000000-0005-0000-0000-000057050000}"/>
    <cellStyle name="Millares 3 2 10" xfId="2085" xr:uid="{420F974C-5364-4B2B-B2AE-5D5098F0BB71}"/>
    <cellStyle name="Millares 3 2 11" xfId="2176" xr:uid="{1A96D685-35F0-472C-9F98-EFE43CA1C51E}"/>
    <cellStyle name="Millares 3 2 12" xfId="2265" xr:uid="{8B2DE320-527C-450F-8C63-E949663FA1B2}"/>
    <cellStyle name="Millares 3 2 13" xfId="2355" xr:uid="{5A598599-8738-4B56-9299-10B3CF8A6EA3}"/>
    <cellStyle name="Millares 3 2 14" xfId="2444" xr:uid="{E7A5EC13-247A-4757-8DDE-27E5ACF8E3D6}"/>
    <cellStyle name="Millares 3 2 15" xfId="2534" xr:uid="{86E55A3A-58A5-4C9C-8F0D-5951F35DAA75}"/>
    <cellStyle name="Millares 3 2 16" xfId="2623" xr:uid="{5E61E079-FDF1-475A-8BB4-2DBDE154758E}"/>
    <cellStyle name="Millares 3 2 17" xfId="2713" xr:uid="{CC41A9EF-100F-4670-8FF9-362FCBBA92F2}"/>
    <cellStyle name="Millares 3 2 18" xfId="2803" xr:uid="{32E5FC80-08A2-44B3-9FF5-7E6AC5EA8E1F}"/>
    <cellStyle name="Millares 3 2 19" xfId="2893" xr:uid="{C67E9AC0-7DCB-41C1-8B3E-FE517AB2F4F1}"/>
    <cellStyle name="Millares 3 2 2" xfId="1353" xr:uid="{00000000-0005-0000-0000-000058050000}"/>
    <cellStyle name="Millares 3 2 2 2" xfId="3518" xr:uid="{5F5ECEC0-0022-498E-AB8F-65C7A5BFBD47}"/>
    <cellStyle name="Millares 3 2 2 3" xfId="3730" xr:uid="{BE0DE892-E737-4404-ADFF-2C1F6D3C1E4C}"/>
    <cellStyle name="Millares 3 2 20" xfId="2986" xr:uid="{4C5A376A-3234-4B3E-BE52-54361200E9DC}"/>
    <cellStyle name="Millares 3 2 21" xfId="3080" xr:uid="{7E986732-AA46-4E37-9F04-4F93FEA9CCD5}"/>
    <cellStyle name="Millares 3 2 22" xfId="3640" xr:uid="{2C85D67D-45B6-4BCC-99F2-F63432814FFB}"/>
    <cellStyle name="Millares 3 2 3" xfId="1450" xr:uid="{00000000-0005-0000-0000-000059050000}"/>
    <cellStyle name="Millares 3 2 4" xfId="1540" xr:uid="{00000000-0005-0000-0000-00005A050000}"/>
    <cellStyle name="Millares 3 2 5" xfId="1630" xr:uid="{00000000-0005-0000-0000-00005B050000}"/>
    <cellStyle name="Millares 3 2 6" xfId="1721" xr:uid="{00000000-0005-0000-0000-00005C050000}"/>
    <cellStyle name="Millares 3 2 7" xfId="1814" xr:uid="{00000000-0005-0000-0000-00005D050000}"/>
    <cellStyle name="Millares 3 2 8" xfId="1905" xr:uid="{E505335F-157D-4768-9A01-3210521A7621}"/>
    <cellStyle name="Millares 3 2 9" xfId="1996" xr:uid="{63B32AB3-B2EE-4D34-A8F4-B90A1AF08C6F}"/>
    <cellStyle name="Millares 3 20" xfId="1276" xr:uid="{00000000-0005-0000-0000-00005E050000}"/>
    <cellStyle name="Millares 3 20 10" xfId="2086" xr:uid="{DE233CCD-66E9-43E3-8FD8-A5D7A71336EF}"/>
    <cellStyle name="Millares 3 20 11" xfId="2177" xr:uid="{CE96D8E9-2771-41B6-BE51-E30C8328BE98}"/>
    <cellStyle name="Millares 3 20 12" xfId="2266" xr:uid="{011A8581-4342-4C1F-AE17-B2D8E13585A8}"/>
    <cellStyle name="Millares 3 20 13" xfId="2356" xr:uid="{FCB5A801-A50E-4B99-9AD7-3C9E03812B7F}"/>
    <cellStyle name="Millares 3 20 14" xfId="2445" xr:uid="{99F37D62-9F03-4813-A721-5D086F77BEEF}"/>
    <cellStyle name="Millares 3 20 15" xfId="2535" xr:uid="{C6569F0A-B7D9-4D79-B723-C3BD80EDFA28}"/>
    <cellStyle name="Millares 3 20 16" xfId="2624" xr:uid="{84C74B38-AEC7-4450-9EBE-08601CE9E1C8}"/>
    <cellStyle name="Millares 3 20 17" xfId="2714" xr:uid="{E718B76E-AA11-4AAD-8865-5D99CAEBEB43}"/>
    <cellStyle name="Millares 3 20 18" xfId="2804" xr:uid="{DE670356-4C54-4E6B-BCAE-9E1023FD48AF}"/>
    <cellStyle name="Millares 3 20 19" xfId="2894" xr:uid="{885D8474-9A3D-4F72-8965-7BA1EC050C4C}"/>
    <cellStyle name="Millares 3 20 2" xfId="1354" xr:uid="{00000000-0005-0000-0000-00005F050000}"/>
    <cellStyle name="Millares 3 20 2 2" xfId="3519" xr:uid="{733E0CA4-4A3D-4445-A1D3-C95140D6D867}"/>
    <cellStyle name="Millares 3 20 2 3" xfId="3731" xr:uid="{076710C4-5D74-4DC3-B08F-05CBC38856F6}"/>
    <cellStyle name="Millares 3 20 20" xfId="2987" xr:uid="{A64169F6-180C-4D03-9C96-FA9A5851F77A}"/>
    <cellStyle name="Millares 3 20 21" xfId="3081" xr:uid="{04D04CA1-0A54-4E74-AFF8-A6838F0BC95F}"/>
    <cellStyle name="Millares 3 20 22" xfId="3641" xr:uid="{AB8EE38A-EBDE-4304-8EF7-68DB7C4899DF}"/>
    <cellStyle name="Millares 3 20 3" xfId="1451" xr:uid="{00000000-0005-0000-0000-000060050000}"/>
    <cellStyle name="Millares 3 20 4" xfId="1541" xr:uid="{00000000-0005-0000-0000-000061050000}"/>
    <cellStyle name="Millares 3 20 5" xfId="1631" xr:uid="{00000000-0005-0000-0000-000062050000}"/>
    <cellStyle name="Millares 3 20 6" xfId="1722" xr:uid="{00000000-0005-0000-0000-000063050000}"/>
    <cellStyle name="Millares 3 20 7" xfId="1815" xr:uid="{00000000-0005-0000-0000-000064050000}"/>
    <cellStyle name="Millares 3 20 8" xfId="1906" xr:uid="{BBCD30C6-7869-404C-82F4-BCC42614F8E9}"/>
    <cellStyle name="Millares 3 20 9" xfId="1997" xr:uid="{1E05B35D-AA15-4428-873E-AA35E3056578}"/>
    <cellStyle name="Millares 3 21" xfId="1280" xr:uid="{00000000-0005-0000-0000-000065050000}"/>
    <cellStyle name="Millares 3 21 10" xfId="2087" xr:uid="{9DBB186B-56B4-4D53-908E-7CBABBDE567D}"/>
    <cellStyle name="Millares 3 21 11" xfId="2178" xr:uid="{84A0C8F3-92F8-4C4B-BA7D-5EF71B93DEEC}"/>
    <cellStyle name="Millares 3 21 12" xfId="2267" xr:uid="{5C617DD2-F4BF-46BC-AEC0-ACF805E2D4DC}"/>
    <cellStyle name="Millares 3 21 13" xfId="2357" xr:uid="{53752816-B3E8-487D-86DC-7E3120E7EEA4}"/>
    <cellStyle name="Millares 3 21 14" xfId="2446" xr:uid="{46EEE750-7C7B-4A49-AC9D-42FA721DC000}"/>
    <cellStyle name="Millares 3 21 15" xfId="2536" xr:uid="{822A891D-17D8-4841-ADEE-3ACCDD5B444F}"/>
    <cellStyle name="Millares 3 21 16" xfId="2625" xr:uid="{C6A6F9A8-3636-4433-80B6-0BC9C961D440}"/>
    <cellStyle name="Millares 3 21 17" xfId="2715" xr:uid="{AD84E7E0-800C-4949-B05C-6906F03A1A47}"/>
    <cellStyle name="Millares 3 21 18" xfId="2805" xr:uid="{B545DF53-9DBE-4B7D-9BFD-79372BBE924A}"/>
    <cellStyle name="Millares 3 21 19" xfId="2895" xr:uid="{83CAE4C3-CBE8-4E5B-B0B0-C09A26DEE582}"/>
    <cellStyle name="Millares 3 21 2" xfId="1355" xr:uid="{00000000-0005-0000-0000-000066050000}"/>
    <cellStyle name="Millares 3 21 2 2" xfId="3520" xr:uid="{5F8E9B16-FDE8-4FB5-87CE-DBD3E2EAD464}"/>
    <cellStyle name="Millares 3 21 2 3" xfId="3732" xr:uid="{71FBAB84-11B2-43DC-9E42-445C3D0F0FDB}"/>
    <cellStyle name="Millares 3 21 20" xfId="2988" xr:uid="{A5813799-DCD6-4A6C-862E-56A901E29957}"/>
    <cellStyle name="Millares 3 21 21" xfId="3082" xr:uid="{65FCAF33-5595-46B3-8778-AA817B1748AF}"/>
    <cellStyle name="Millares 3 21 22" xfId="3642" xr:uid="{7690B4D2-12B0-47DB-B738-E82982853FAB}"/>
    <cellStyle name="Millares 3 21 3" xfId="1452" xr:uid="{00000000-0005-0000-0000-000067050000}"/>
    <cellStyle name="Millares 3 21 4" xfId="1542" xr:uid="{00000000-0005-0000-0000-000068050000}"/>
    <cellStyle name="Millares 3 21 5" xfId="1632" xr:uid="{00000000-0005-0000-0000-000069050000}"/>
    <cellStyle name="Millares 3 21 6" xfId="1723" xr:uid="{00000000-0005-0000-0000-00006A050000}"/>
    <cellStyle name="Millares 3 21 7" xfId="1816" xr:uid="{00000000-0005-0000-0000-00006B050000}"/>
    <cellStyle name="Millares 3 21 8" xfId="1907" xr:uid="{B728ACAA-1D1C-456E-A00A-202FE4C74ACE}"/>
    <cellStyle name="Millares 3 21 9" xfId="1998" xr:uid="{D070909A-2C3F-480D-A78F-6283376A1CCC}"/>
    <cellStyle name="Millares 3 22" xfId="1356" xr:uid="{00000000-0005-0000-0000-00006C050000}"/>
    <cellStyle name="Millares 3 22 10" xfId="2179" xr:uid="{355D7150-DD6F-4762-AF77-3042336853EF}"/>
    <cellStyle name="Millares 3 22 11" xfId="2268" xr:uid="{D1D110F2-6E92-4F3F-B8C6-1C16BB9C0BDD}"/>
    <cellStyle name="Millares 3 22 12" xfId="2358" xr:uid="{732FD240-6A25-4ACF-9A2D-F27DC54A86CF}"/>
    <cellStyle name="Millares 3 22 13" xfId="2447" xr:uid="{DC6FB0E4-D20A-4FEB-86FA-09EF23EB7082}"/>
    <cellStyle name="Millares 3 22 14" xfId="2537" xr:uid="{102BD26E-01ED-47F7-B073-02EF1DB131AE}"/>
    <cellStyle name="Millares 3 22 15" xfId="2626" xr:uid="{0085F593-D53A-422D-A5F5-BE9B5DF1C83D}"/>
    <cellStyle name="Millares 3 22 16" xfId="2716" xr:uid="{4ED24322-5DD8-4D8D-9B57-9C0F801D11F0}"/>
    <cellStyle name="Millares 3 22 17" xfId="2806" xr:uid="{46726615-95B4-4D3A-BB50-E029B391B491}"/>
    <cellStyle name="Millares 3 22 18" xfId="2896" xr:uid="{40103FEE-6728-4C79-9CE7-0800494D281B}"/>
    <cellStyle name="Millares 3 22 19" xfId="2989" xr:uid="{DAF50E97-D860-4A4E-9A10-2D73C0566BDB}"/>
    <cellStyle name="Millares 3 22 2" xfId="1453" xr:uid="{00000000-0005-0000-0000-00006D050000}"/>
    <cellStyle name="Millares 3 22 2 2" xfId="3521" xr:uid="{977C2289-70D9-470B-94C0-32B183860DCD}"/>
    <cellStyle name="Millares 3 22 2 3" xfId="3733" xr:uid="{293E03D8-5E51-451C-A924-63A3C0FB4FC6}"/>
    <cellStyle name="Millares 3 22 20" xfId="3083" xr:uid="{53E9EC77-40B9-4A16-BA44-BA89815D098C}"/>
    <cellStyle name="Millares 3 22 21" xfId="3643" xr:uid="{1DC6F57B-46E3-4FAA-B510-D1FD70CA60F1}"/>
    <cellStyle name="Millares 3 22 3" xfId="1543" xr:uid="{00000000-0005-0000-0000-00006E050000}"/>
    <cellStyle name="Millares 3 22 4" xfId="1633" xr:uid="{00000000-0005-0000-0000-00006F050000}"/>
    <cellStyle name="Millares 3 22 5" xfId="1724" xr:uid="{00000000-0005-0000-0000-000070050000}"/>
    <cellStyle name="Millares 3 22 6" xfId="1817" xr:uid="{00000000-0005-0000-0000-000071050000}"/>
    <cellStyle name="Millares 3 22 7" xfId="1908" xr:uid="{2F8A67FF-9F85-4B80-A892-BD53417F3B07}"/>
    <cellStyle name="Millares 3 22 8" xfId="1999" xr:uid="{EB09353C-D978-4510-8464-D29A2D22A3DF}"/>
    <cellStyle name="Millares 3 22 9" xfId="2088" xr:uid="{E5E49327-F1F0-4EE2-A5A4-B3160E8E2036}"/>
    <cellStyle name="Millares 3 23" xfId="1342" xr:uid="{00000000-0005-0000-0000-000072050000}"/>
    <cellStyle name="Millares 3 23 2" xfId="3507" xr:uid="{F79DEF01-DDCC-4750-A9D8-7AA490B34999}"/>
    <cellStyle name="Millares 3 23 3" xfId="3719" xr:uid="{68A855B3-BDF6-4F35-B555-0FE15ECBB7F5}"/>
    <cellStyle name="Millares 3 24" xfId="1439" xr:uid="{00000000-0005-0000-0000-000073050000}"/>
    <cellStyle name="Millares 3 25" xfId="1529" xr:uid="{00000000-0005-0000-0000-000074050000}"/>
    <cellStyle name="Millares 3 26" xfId="1619" xr:uid="{00000000-0005-0000-0000-000075050000}"/>
    <cellStyle name="Millares 3 27" xfId="1710" xr:uid="{00000000-0005-0000-0000-000076050000}"/>
    <cellStyle name="Millares 3 28" xfId="1803" xr:uid="{00000000-0005-0000-0000-000077050000}"/>
    <cellStyle name="Millares 3 29" xfId="1894" xr:uid="{4CEA6988-6844-4DB9-B947-4CE1D77B1187}"/>
    <cellStyle name="Millares 3 3" xfId="1202" xr:uid="{00000000-0005-0000-0000-000078050000}"/>
    <cellStyle name="Millares 3 3 10" xfId="2089" xr:uid="{81EA8C15-A9F0-477C-B8BD-7A189F72BADF}"/>
    <cellStyle name="Millares 3 3 11" xfId="2180" xr:uid="{65B19E6C-63F5-4376-8815-227BE6DFF83C}"/>
    <cellStyle name="Millares 3 3 12" xfId="2269" xr:uid="{F65F3D5F-0B75-4FF0-9616-AEDB08757F14}"/>
    <cellStyle name="Millares 3 3 13" xfId="2359" xr:uid="{18CD27A6-5152-415A-B92D-C136C27827E8}"/>
    <cellStyle name="Millares 3 3 14" xfId="2448" xr:uid="{6FB772A1-4072-437B-AE2C-A49298B0DAA2}"/>
    <cellStyle name="Millares 3 3 15" xfId="2538" xr:uid="{EF43F6A7-297D-434B-A738-3A2EA93191A1}"/>
    <cellStyle name="Millares 3 3 16" xfId="2627" xr:uid="{F4A8E57C-C53E-4F0E-84DA-F2341ED2036C}"/>
    <cellStyle name="Millares 3 3 17" xfId="2717" xr:uid="{06DB3823-92A1-4461-903F-67D64D59D1C9}"/>
    <cellStyle name="Millares 3 3 18" xfId="2807" xr:uid="{B7E549D8-B5F9-4B14-8A32-326BF1AA9033}"/>
    <cellStyle name="Millares 3 3 19" xfId="2897" xr:uid="{CFDF9E08-EA58-4BD2-BC91-AC109EAF451E}"/>
    <cellStyle name="Millares 3 3 2" xfId="1357" xr:uid="{00000000-0005-0000-0000-000079050000}"/>
    <cellStyle name="Millares 3 3 2 2" xfId="3522" xr:uid="{2D205318-D928-4FBC-BF9B-36C4EF10F482}"/>
    <cellStyle name="Millares 3 3 2 3" xfId="3734" xr:uid="{ABF6C6DB-1851-4AF2-AFB2-52AFE72E5BF8}"/>
    <cellStyle name="Millares 3 3 20" xfId="2990" xr:uid="{5041C413-28BF-4E47-BB7D-8AB11404D54B}"/>
    <cellStyle name="Millares 3 3 21" xfId="3084" xr:uid="{9DF50DC0-3CD1-4598-9321-ED140D60BEB3}"/>
    <cellStyle name="Millares 3 3 22" xfId="3644" xr:uid="{95F5DFF7-C7FC-445E-AE70-80332FD855D9}"/>
    <cellStyle name="Millares 3 3 3" xfId="1454" xr:uid="{00000000-0005-0000-0000-00007A050000}"/>
    <cellStyle name="Millares 3 3 4" xfId="1544" xr:uid="{00000000-0005-0000-0000-00007B050000}"/>
    <cellStyle name="Millares 3 3 5" xfId="1634" xr:uid="{00000000-0005-0000-0000-00007C050000}"/>
    <cellStyle name="Millares 3 3 6" xfId="1725" xr:uid="{00000000-0005-0000-0000-00007D050000}"/>
    <cellStyle name="Millares 3 3 7" xfId="1818" xr:uid="{00000000-0005-0000-0000-00007E050000}"/>
    <cellStyle name="Millares 3 3 8" xfId="1909" xr:uid="{547D8CF0-4DF3-4186-A657-E475DEB4750D}"/>
    <cellStyle name="Millares 3 3 9" xfId="2000" xr:uid="{1FD77CA2-6B1F-4732-8019-62CCAFC71494}"/>
    <cellStyle name="Millares 3 30" xfId="1985" xr:uid="{C185E042-1613-4F16-9853-061410D4CE34}"/>
    <cellStyle name="Millares 3 31" xfId="2074" xr:uid="{E81C5E15-52A9-47A4-8042-A6B0961E72CD}"/>
    <cellStyle name="Millares 3 32" xfId="2165" xr:uid="{D27BEBBF-1F58-47E3-B7DC-EAEAB3885AE8}"/>
    <cellStyle name="Millares 3 33" xfId="2254" xr:uid="{7B73BA45-2329-42C7-86A3-56A207CF0437}"/>
    <cellStyle name="Millares 3 34" xfId="2344" xr:uid="{8FDAD471-50F9-4278-A25D-8D309CE229FF}"/>
    <cellStyle name="Millares 3 35" xfId="2433" xr:uid="{2AF319C3-FFED-4473-97BC-A2A58124CE29}"/>
    <cellStyle name="Millares 3 36" xfId="2523" xr:uid="{D1AD3199-8E1B-418D-8480-5CD0FCAE5EC3}"/>
    <cellStyle name="Millares 3 37" xfId="2612" xr:uid="{26CA0E42-98AE-4C57-9454-6AA74B0857B0}"/>
    <cellStyle name="Millares 3 38" xfId="2702" xr:uid="{D1A62CD0-599B-4F10-817C-022CFEBCDC4B}"/>
    <cellStyle name="Millares 3 39" xfId="2792" xr:uid="{66BC8E77-F728-40F9-85E1-65BB03DF5868}"/>
    <cellStyle name="Millares 3 4" xfId="1207" xr:uid="{00000000-0005-0000-0000-00007F050000}"/>
    <cellStyle name="Millares 3 4 10" xfId="2090" xr:uid="{0412F955-6100-40A0-90D7-7D8BF6AE197B}"/>
    <cellStyle name="Millares 3 4 11" xfId="2181" xr:uid="{04C0C258-1DA7-4035-A702-79AE05DD4AE4}"/>
    <cellStyle name="Millares 3 4 12" xfId="2270" xr:uid="{D58B6AFB-F6FC-4B68-82E6-DEA4AAB501CE}"/>
    <cellStyle name="Millares 3 4 13" xfId="2360" xr:uid="{9F878852-D505-46A9-AD96-BDA8D529BBDB}"/>
    <cellStyle name="Millares 3 4 14" xfId="2449" xr:uid="{17DE524E-E0D6-48AF-AD8F-9892A79C8832}"/>
    <cellStyle name="Millares 3 4 15" xfId="2539" xr:uid="{6DDCAC48-A216-4679-A359-56C49BD9EBBB}"/>
    <cellStyle name="Millares 3 4 16" xfId="2628" xr:uid="{C7370308-43A2-47FE-B50B-B74D189F5F35}"/>
    <cellStyle name="Millares 3 4 17" xfId="2718" xr:uid="{2908C877-23CF-49D3-9EF9-A7B90395F8F5}"/>
    <cellStyle name="Millares 3 4 18" xfId="2808" xr:uid="{C561E5E1-4BC3-4847-BBAA-5D324535F236}"/>
    <cellStyle name="Millares 3 4 19" xfId="2898" xr:uid="{7F67C996-5E1D-47F0-9E50-43C00C711E53}"/>
    <cellStyle name="Millares 3 4 2" xfId="1358" xr:uid="{00000000-0005-0000-0000-000080050000}"/>
    <cellStyle name="Millares 3 4 2 2" xfId="3523" xr:uid="{0ADD1531-520E-46E2-A064-A8F194F26DB2}"/>
    <cellStyle name="Millares 3 4 2 3" xfId="3735" xr:uid="{E4DCD62B-FA0A-4F87-806E-A4C16A7D6A43}"/>
    <cellStyle name="Millares 3 4 20" xfId="2991" xr:uid="{C1AE1039-E755-4C2D-83E1-D945AD0DFFE8}"/>
    <cellStyle name="Millares 3 4 21" xfId="3085" xr:uid="{5141CC0B-BA2F-4D3C-BDAF-DC31D471AB50}"/>
    <cellStyle name="Millares 3 4 22" xfId="3645" xr:uid="{DAA86A79-F542-4B1A-937B-6910D22FD97D}"/>
    <cellStyle name="Millares 3 4 3" xfId="1455" xr:uid="{00000000-0005-0000-0000-000081050000}"/>
    <cellStyle name="Millares 3 4 4" xfId="1545" xr:uid="{00000000-0005-0000-0000-000082050000}"/>
    <cellStyle name="Millares 3 4 5" xfId="1635" xr:uid="{00000000-0005-0000-0000-000083050000}"/>
    <cellStyle name="Millares 3 4 6" xfId="1726" xr:uid="{00000000-0005-0000-0000-000084050000}"/>
    <cellStyle name="Millares 3 4 7" xfId="1819" xr:uid="{00000000-0005-0000-0000-000085050000}"/>
    <cellStyle name="Millares 3 4 8" xfId="1910" xr:uid="{30D3A51F-E35E-49F6-8E0B-EDA224D5D554}"/>
    <cellStyle name="Millares 3 4 9" xfId="2001" xr:uid="{8BB55011-C21E-460B-BDA2-0BA0BA7817ED}"/>
    <cellStyle name="Millares 3 40" xfId="2882" xr:uid="{8C0C6763-ADB1-4166-987E-245DD44048D6}"/>
    <cellStyle name="Millares 3 41" xfId="2975" xr:uid="{340622D9-F165-4DC2-B7D7-7393D19824F0}"/>
    <cellStyle name="Millares 3 42" xfId="3069" xr:uid="{FA4134AF-9F54-44AD-998B-780BACB85E8F}"/>
    <cellStyle name="Millares 3 43" xfId="3629" xr:uid="{3A6C344A-1D14-46BC-8E57-A4E1445BBC33}"/>
    <cellStyle name="Millares 3 5" xfId="1211" xr:uid="{00000000-0005-0000-0000-000086050000}"/>
    <cellStyle name="Millares 3 5 10" xfId="2091" xr:uid="{84A02537-DF7E-4844-A99F-0639EE4B4B66}"/>
    <cellStyle name="Millares 3 5 11" xfId="2182" xr:uid="{4032463C-7B8D-4D33-9A0C-ECD8C137E210}"/>
    <cellStyle name="Millares 3 5 12" xfId="2271" xr:uid="{4E1C59A9-55FB-4807-8554-2C3E5A601EF1}"/>
    <cellStyle name="Millares 3 5 13" xfId="2361" xr:uid="{C37C9074-1548-4A00-9F6A-34449C8A317C}"/>
    <cellStyle name="Millares 3 5 14" xfId="2450" xr:uid="{FB9405A8-D173-4542-94CF-CDC67C1C3230}"/>
    <cellStyle name="Millares 3 5 15" xfId="2540" xr:uid="{6E7585A6-8450-4A9E-A193-B1C5C3B4A50A}"/>
    <cellStyle name="Millares 3 5 16" xfId="2629" xr:uid="{A3F75FEF-FF37-4E6D-9DC3-DEC83848DCCC}"/>
    <cellStyle name="Millares 3 5 17" xfId="2719" xr:uid="{788BC59A-8E9A-4722-B799-B6BEC097C84C}"/>
    <cellStyle name="Millares 3 5 18" xfId="2809" xr:uid="{6003EA1A-41DB-45FF-B745-3B6F062DB078}"/>
    <cellStyle name="Millares 3 5 19" xfId="2899" xr:uid="{F6B1D531-6584-4B9B-A481-B920E12108A4}"/>
    <cellStyle name="Millares 3 5 2" xfId="1359" xr:uid="{00000000-0005-0000-0000-000087050000}"/>
    <cellStyle name="Millares 3 5 2 2" xfId="3524" xr:uid="{151AC96A-A727-4539-AD5D-A6C26EB91FE4}"/>
    <cellStyle name="Millares 3 5 2 3" xfId="3736" xr:uid="{9C00D947-661B-4C2B-B8FB-A08AB71CE1AB}"/>
    <cellStyle name="Millares 3 5 20" xfId="2992" xr:uid="{4A24EFB4-E0CE-4C6E-96B6-570398427B0C}"/>
    <cellStyle name="Millares 3 5 21" xfId="3086" xr:uid="{7494F474-E0A3-4DB9-8919-E00E38CB3B5B}"/>
    <cellStyle name="Millares 3 5 22" xfId="3646" xr:uid="{168AD132-02AB-4B24-85B4-B175E9E23D53}"/>
    <cellStyle name="Millares 3 5 3" xfId="1456" xr:uid="{00000000-0005-0000-0000-000088050000}"/>
    <cellStyle name="Millares 3 5 4" xfId="1546" xr:uid="{00000000-0005-0000-0000-000089050000}"/>
    <cellStyle name="Millares 3 5 5" xfId="1636" xr:uid="{00000000-0005-0000-0000-00008A050000}"/>
    <cellStyle name="Millares 3 5 6" xfId="1727" xr:uid="{00000000-0005-0000-0000-00008B050000}"/>
    <cellStyle name="Millares 3 5 7" xfId="1820" xr:uid="{00000000-0005-0000-0000-00008C050000}"/>
    <cellStyle name="Millares 3 5 8" xfId="1911" xr:uid="{6C527B31-35FD-4FC3-96F5-76164855CB5B}"/>
    <cellStyle name="Millares 3 5 9" xfId="2002" xr:uid="{E2B3119B-2A74-4277-9890-E36F284AC323}"/>
    <cellStyle name="Millares 3 6" xfId="1215" xr:uid="{00000000-0005-0000-0000-00008D050000}"/>
    <cellStyle name="Millares 3 6 10" xfId="2092" xr:uid="{8494F522-1BCB-4D2C-A44A-F6913CC52608}"/>
    <cellStyle name="Millares 3 6 11" xfId="2183" xr:uid="{E8D22BA2-0146-40DD-BC60-96E2DF3414C7}"/>
    <cellStyle name="Millares 3 6 12" xfId="2272" xr:uid="{7F2636DB-DA84-4C4F-8C9E-753675720562}"/>
    <cellStyle name="Millares 3 6 13" xfId="2362" xr:uid="{7B8323E2-D48D-48DE-ABDE-EBED639E948D}"/>
    <cellStyle name="Millares 3 6 14" xfId="2451" xr:uid="{A3982968-AE90-4B21-9ECB-7319EA62A54F}"/>
    <cellStyle name="Millares 3 6 15" xfId="2541" xr:uid="{24B662E8-A100-4196-9CF4-6D5ACF8BEE75}"/>
    <cellStyle name="Millares 3 6 16" xfId="2630" xr:uid="{33CFD0F3-8A5E-4BBD-93C3-CCEE644C847A}"/>
    <cellStyle name="Millares 3 6 17" xfId="2720" xr:uid="{864A17F2-A506-406B-8B26-C2E249115EA7}"/>
    <cellStyle name="Millares 3 6 18" xfId="2810" xr:uid="{EB932016-2F78-4F94-91C2-AB2A2C57C351}"/>
    <cellStyle name="Millares 3 6 19" xfId="2900" xr:uid="{07DF1442-2CA3-4FB0-8F98-CBEC420C99A5}"/>
    <cellStyle name="Millares 3 6 2" xfId="1360" xr:uid="{00000000-0005-0000-0000-00008E050000}"/>
    <cellStyle name="Millares 3 6 2 2" xfId="3525" xr:uid="{513CDC09-9363-4E61-912D-8ED0D4064144}"/>
    <cellStyle name="Millares 3 6 2 3" xfId="3737" xr:uid="{B660A1CB-B075-4CEB-8287-C8096967DFD3}"/>
    <cellStyle name="Millares 3 6 20" xfId="2993" xr:uid="{860D7CBD-5E64-444D-868F-F79E626B8F28}"/>
    <cellStyle name="Millares 3 6 21" xfId="3087" xr:uid="{C1E70E4A-1A4F-465B-BADD-F0FFC2022C47}"/>
    <cellStyle name="Millares 3 6 22" xfId="3647" xr:uid="{DD34B6C0-14F4-48AE-BF42-C74B23401561}"/>
    <cellStyle name="Millares 3 6 3" xfId="1457" xr:uid="{00000000-0005-0000-0000-00008F050000}"/>
    <cellStyle name="Millares 3 6 4" xfId="1547" xr:uid="{00000000-0005-0000-0000-000090050000}"/>
    <cellStyle name="Millares 3 6 5" xfId="1637" xr:uid="{00000000-0005-0000-0000-000091050000}"/>
    <cellStyle name="Millares 3 6 6" xfId="1728" xr:uid="{00000000-0005-0000-0000-000092050000}"/>
    <cellStyle name="Millares 3 6 7" xfId="1821" xr:uid="{00000000-0005-0000-0000-000093050000}"/>
    <cellStyle name="Millares 3 6 8" xfId="1912" xr:uid="{C41848CB-9837-4107-AF73-A9FC0D6B70DB}"/>
    <cellStyle name="Millares 3 6 9" xfId="2003" xr:uid="{31EE3513-9279-4DDD-B54A-3E9527F87536}"/>
    <cellStyle name="Millares 3 7" xfId="1219" xr:uid="{00000000-0005-0000-0000-000094050000}"/>
    <cellStyle name="Millares 3 7 10" xfId="2093" xr:uid="{7F53B373-D73E-4CC4-9F43-B8C806EB39AD}"/>
    <cellStyle name="Millares 3 7 11" xfId="2184" xr:uid="{8ADCFE2A-D20B-4ACB-8F95-E6233581D61A}"/>
    <cellStyle name="Millares 3 7 12" xfId="2273" xr:uid="{992ADD42-DABE-4794-9263-552EED761F98}"/>
    <cellStyle name="Millares 3 7 13" xfId="2363" xr:uid="{24633DB2-4B92-44C3-9EC2-213F0C5C0A25}"/>
    <cellStyle name="Millares 3 7 14" xfId="2452" xr:uid="{265A75E6-5805-4402-A326-58ACAFCA2A58}"/>
    <cellStyle name="Millares 3 7 15" xfId="2542" xr:uid="{E3A7713E-3930-4683-98BE-53219FF920F4}"/>
    <cellStyle name="Millares 3 7 16" xfId="2631" xr:uid="{4040D8CC-EAA6-4F51-AC4E-ADB125843E6C}"/>
    <cellStyle name="Millares 3 7 17" xfId="2721" xr:uid="{BC0E7AB9-2764-4453-9582-D0353F4180DA}"/>
    <cellStyle name="Millares 3 7 18" xfId="2811" xr:uid="{9C14FF83-3CAB-4048-B90E-48805E6BC33E}"/>
    <cellStyle name="Millares 3 7 19" xfId="2901" xr:uid="{0FF1C2A5-ABC4-4621-80DB-5ECE658B38DF}"/>
    <cellStyle name="Millares 3 7 2" xfId="1361" xr:uid="{00000000-0005-0000-0000-000095050000}"/>
    <cellStyle name="Millares 3 7 2 2" xfId="3526" xr:uid="{7851D65D-00D8-4222-9C6D-63F7EC76567D}"/>
    <cellStyle name="Millares 3 7 2 3" xfId="3738" xr:uid="{B046ABAE-F465-4557-AB64-84D2C98B5019}"/>
    <cellStyle name="Millares 3 7 20" xfId="2994" xr:uid="{AF2C094B-EC88-43E8-9B8F-13307D0727CC}"/>
    <cellStyle name="Millares 3 7 21" xfId="3088" xr:uid="{540EB0D0-A76A-4215-975E-E6CBD10C109E}"/>
    <cellStyle name="Millares 3 7 22" xfId="3648" xr:uid="{BBDC13C3-A6D9-40BA-A5FF-DF4305D8CA70}"/>
    <cellStyle name="Millares 3 7 3" xfId="1458" xr:uid="{00000000-0005-0000-0000-000096050000}"/>
    <cellStyle name="Millares 3 7 4" xfId="1548" xr:uid="{00000000-0005-0000-0000-000097050000}"/>
    <cellStyle name="Millares 3 7 5" xfId="1638" xr:uid="{00000000-0005-0000-0000-000098050000}"/>
    <cellStyle name="Millares 3 7 6" xfId="1729" xr:uid="{00000000-0005-0000-0000-000099050000}"/>
    <cellStyle name="Millares 3 7 7" xfId="1822" xr:uid="{00000000-0005-0000-0000-00009A050000}"/>
    <cellStyle name="Millares 3 7 8" xfId="1913" xr:uid="{7023A7FD-5EA3-4CA1-ABC7-1FA55AA44A11}"/>
    <cellStyle name="Millares 3 7 9" xfId="2004" xr:uid="{CEFA593D-A406-4101-B14D-C4591228F7C8}"/>
    <cellStyle name="Millares 3 8" xfId="1223" xr:uid="{00000000-0005-0000-0000-00009B050000}"/>
    <cellStyle name="Millares 3 8 10" xfId="2094" xr:uid="{1E710747-1DF8-4EBD-93A7-1EAEE58C7F26}"/>
    <cellStyle name="Millares 3 8 11" xfId="2185" xr:uid="{F937A8A1-19DC-472A-B5EB-7FF1EE8C1FB6}"/>
    <cellStyle name="Millares 3 8 12" xfId="2274" xr:uid="{0332FD30-179F-40E8-9AC6-E7ED517EF505}"/>
    <cellStyle name="Millares 3 8 13" xfId="2364" xr:uid="{559F1581-8B81-4CE9-81E0-AC236B05616E}"/>
    <cellStyle name="Millares 3 8 14" xfId="2453" xr:uid="{28D28630-E443-4324-8F46-78F315D500EF}"/>
    <cellStyle name="Millares 3 8 15" xfId="2543" xr:uid="{124E2BBF-59FB-48F7-BA52-CE1DD41DF945}"/>
    <cellStyle name="Millares 3 8 16" xfId="2632" xr:uid="{6325C03D-AB21-4E6A-8777-9A6C62D558C9}"/>
    <cellStyle name="Millares 3 8 17" xfId="2722" xr:uid="{2128E77B-FC0B-4999-92A6-846883EBF744}"/>
    <cellStyle name="Millares 3 8 18" xfId="2812" xr:uid="{60A5D751-F84A-40F1-9E92-E9B44F55F9A3}"/>
    <cellStyle name="Millares 3 8 19" xfId="2902" xr:uid="{D648EFC4-2DED-4248-8A6E-787EFFB9DD0F}"/>
    <cellStyle name="Millares 3 8 2" xfId="1362" xr:uid="{00000000-0005-0000-0000-00009C050000}"/>
    <cellStyle name="Millares 3 8 2 2" xfId="3527" xr:uid="{7EC92FD5-D543-4682-9FFD-5844E0F30FB7}"/>
    <cellStyle name="Millares 3 8 2 3" xfId="3739" xr:uid="{1D40CB9B-BC08-431D-98A1-3F39229A41B3}"/>
    <cellStyle name="Millares 3 8 20" xfId="2995" xr:uid="{64D130F4-C361-4B54-868A-FF3270292BAC}"/>
    <cellStyle name="Millares 3 8 21" xfId="3089" xr:uid="{9C309C41-4E08-4C47-AEBF-555A4E089255}"/>
    <cellStyle name="Millares 3 8 22" xfId="3649" xr:uid="{2161C691-91ED-484C-A0C1-097DCC550574}"/>
    <cellStyle name="Millares 3 8 3" xfId="1459" xr:uid="{00000000-0005-0000-0000-00009D050000}"/>
    <cellStyle name="Millares 3 8 4" xfId="1549" xr:uid="{00000000-0005-0000-0000-00009E050000}"/>
    <cellStyle name="Millares 3 8 5" xfId="1639" xr:uid="{00000000-0005-0000-0000-00009F050000}"/>
    <cellStyle name="Millares 3 8 6" xfId="1730" xr:uid="{00000000-0005-0000-0000-0000A0050000}"/>
    <cellStyle name="Millares 3 8 7" xfId="1823" xr:uid="{00000000-0005-0000-0000-0000A1050000}"/>
    <cellStyle name="Millares 3 8 8" xfId="1914" xr:uid="{70BBE836-E9DF-48FB-89FD-0CDB2DB1A29B}"/>
    <cellStyle name="Millares 3 8 9" xfId="2005" xr:uid="{B578AB80-7F4A-484A-BD2C-395DDE963AFE}"/>
    <cellStyle name="Millares 3 9" xfId="1227" xr:uid="{00000000-0005-0000-0000-0000A2050000}"/>
    <cellStyle name="Millares 3 9 10" xfId="2095" xr:uid="{C07834B0-9712-4249-8A88-FD161D3C6048}"/>
    <cellStyle name="Millares 3 9 11" xfId="2186" xr:uid="{68849543-6E09-4C14-9691-1FBC9DE0341F}"/>
    <cellStyle name="Millares 3 9 12" xfId="2275" xr:uid="{45393149-8A05-450F-A0F8-F54E36FD362B}"/>
    <cellStyle name="Millares 3 9 13" xfId="2365" xr:uid="{58770AA8-CEE5-4D7B-B679-4553D1DCD7C3}"/>
    <cellStyle name="Millares 3 9 14" xfId="2454" xr:uid="{CA632E44-DC27-450D-A664-D16E2FE1E125}"/>
    <cellStyle name="Millares 3 9 15" xfId="2544" xr:uid="{C8153829-F7F3-461E-B5D4-17B8ADEA3B0E}"/>
    <cellStyle name="Millares 3 9 16" xfId="2633" xr:uid="{2BBF47DF-1F49-45A0-9F60-326688D3CB9B}"/>
    <cellStyle name="Millares 3 9 17" xfId="2723" xr:uid="{0ED03457-54E9-4E72-BF79-7193E8ECAB96}"/>
    <cellStyle name="Millares 3 9 18" xfId="2813" xr:uid="{0C479598-1732-45B2-ACC2-9CCCE464B094}"/>
    <cellStyle name="Millares 3 9 19" xfId="2903" xr:uid="{EA111454-9DB0-436E-B953-7AE50A9B369D}"/>
    <cellStyle name="Millares 3 9 2" xfId="1363" xr:uid="{00000000-0005-0000-0000-0000A3050000}"/>
    <cellStyle name="Millares 3 9 2 2" xfId="3528" xr:uid="{6A22E414-64BF-4FCB-9454-0E5D606C1F64}"/>
    <cellStyle name="Millares 3 9 2 3" xfId="3740" xr:uid="{07C01EE3-12D6-4DF4-9D6B-4A81676E09EA}"/>
    <cellStyle name="Millares 3 9 20" xfId="2996" xr:uid="{CC57D707-4C10-4568-9790-DD0A8BD57351}"/>
    <cellStyle name="Millares 3 9 21" xfId="3090" xr:uid="{8248BD12-E133-4F4E-BDAD-9AB71C299E4F}"/>
    <cellStyle name="Millares 3 9 22" xfId="3650" xr:uid="{1A661BE1-C639-4D6D-BE27-F0117CA13636}"/>
    <cellStyle name="Millares 3 9 3" xfId="1460" xr:uid="{00000000-0005-0000-0000-0000A4050000}"/>
    <cellStyle name="Millares 3 9 4" xfId="1550" xr:uid="{00000000-0005-0000-0000-0000A5050000}"/>
    <cellStyle name="Millares 3 9 5" xfId="1640" xr:uid="{00000000-0005-0000-0000-0000A6050000}"/>
    <cellStyle name="Millares 3 9 6" xfId="1731" xr:uid="{00000000-0005-0000-0000-0000A7050000}"/>
    <cellStyle name="Millares 3 9 7" xfId="1824" xr:uid="{00000000-0005-0000-0000-0000A8050000}"/>
    <cellStyle name="Millares 3 9 8" xfId="1915" xr:uid="{5FFF1373-0F1B-45EC-93F8-419FC9437E01}"/>
    <cellStyle name="Millares 3 9 9" xfId="2006" xr:uid="{A2372DC1-12FF-4133-A812-A420E9C10E9A}"/>
    <cellStyle name="Millares 4" xfId="878" xr:uid="{00000000-0005-0000-0000-0000A9050000}"/>
    <cellStyle name="Millares 4 10" xfId="2096" xr:uid="{19F55990-4342-4883-8D14-D75B4F091810}"/>
    <cellStyle name="Millares 4 11" xfId="2187" xr:uid="{232BFF55-63C2-44EA-B898-A2EBB2CED8DD}"/>
    <cellStyle name="Millares 4 12" xfId="2276" xr:uid="{7092A943-4758-42EA-A09B-1C4744D6483B}"/>
    <cellStyle name="Millares 4 13" xfId="2366" xr:uid="{4BE1D9B3-FFD5-405A-81FE-5925C0BDD0AD}"/>
    <cellStyle name="Millares 4 14" xfId="2455" xr:uid="{C3CA4399-7E1A-468F-8CEF-9D21EB5E0990}"/>
    <cellStyle name="Millares 4 15" xfId="2545" xr:uid="{4B53D56B-2C76-4223-885B-316145D954FF}"/>
    <cellStyle name="Millares 4 16" xfId="2634" xr:uid="{92EDC5B1-825B-438C-9C60-8932954353C1}"/>
    <cellStyle name="Millares 4 17" xfId="2724" xr:uid="{38D012C0-9997-47B8-ADFB-D4FF152D61E9}"/>
    <cellStyle name="Millares 4 18" xfId="2814" xr:uid="{1634636D-2A0B-4FDA-A65A-BD38C3474264}"/>
    <cellStyle name="Millares 4 19" xfId="2904" xr:uid="{5893A9E0-CCA7-4E73-840B-8EF801C70687}"/>
    <cellStyle name="Millares 4 2" xfId="1364" xr:uid="{00000000-0005-0000-0000-0000AA050000}"/>
    <cellStyle name="Millares 4 2 2" xfId="3529" xr:uid="{639BBC00-CCB3-4F97-B3F5-E3F3F5B40B24}"/>
    <cellStyle name="Millares 4 2 3" xfId="3741" xr:uid="{349F56DF-62C2-4BB9-B6B2-80B35B147116}"/>
    <cellStyle name="Millares 4 20" xfId="2997" xr:uid="{390C1A6C-67B8-442B-85E5-80234E2CD45C}"/>
    <cellStyle name="Millares 4 21" xfId="3091" xr:uid="{36A783B1-6EB9-4CA1-8F7D-9A185BC45656}"/>
    <cellStyle name="Millares 4 22" xfId="3651" xr:uid="{A2427B4A-297B-4F29-9FEA-829C37091909}"/>
    <cellStyle name="Millares 4 3" xfId="1461" xr:uid="{00000000-0005-0000-0000-0000AB050000}"/>
    <cellStyle name="Millares 4 4" xfId="1551" xr:uid="{00000000-0005-0000-0000-0000AC050000}"/>
    <cellStyle name="Millares 4 5" xfId="1641" xr:uid="{00000000-0005-0000-0000-0000AD050000}"/>
    <cellStyle name="Millares 4 6" xfId="1732" xr:uid="{00000000-0005-0000-0000-0000AE050000}"/>
    <cellStyle name="Millares 4 7" xfId="1825" xr:uid="{00000000-0005-0000-0000-0000AF050000}"/>
    <cellStyle name="Millares 4 8" xfId="1916" xr:uid="{13174BF1-E437-453D-8DA1-9C145DC06CE8}"/>
    <cellStyle name="Millares 4 9" xfId="2007" xr:uid="{A43608CD-0416-4575-BCA1-3D2108BDFA5E}"/>
    <cellStyle name="Millares 5" xfId="1194" xr:uid="{00000000-0005-0000-0000-0000B0050000}"/>
    <cellStyle name="Millares 5 10" xfId="2097" xr:uid="{14C33394-26CA-4BF7-B0D9-F2DE6CD70C9C}"/>
    <cellStyle name="Millares 5 11" xfId="2188" xr:uid="{3565CA42-A99A-44DA-B919-DFD184555350}"/>
    <cellStyle name="Millares 5 12" xfId="2277" xr:uid="{764B829B-521E-423A-8E97-051D3AAA6A13}"/>
    <cellStyle name="Millares 5 13" xfId="2367" xr:uid="{4F8E1A77-96B3-46DD-8CA5-DE616AB8FAD8}"/>
    <cellStyle name="Millares 5 14" xfId="2456" xr:uid="{410B3C94-E125-48EC-932D-CD319F056211}"/>
    <cellStyle name="Millares 5 15" xfId="2546" xr:uid="{58B301C1-0BDE-45CB-8E70-9017BEE55851}"/>
    <cellStyle name="Millares 5 16" xfId="2635" xr:uid="{AB551BA1-AE63-4A2D-B0B9-0D174B0CF711}"/>
    <cellStyle name="Millares 5 17" xfId="2725" xr:uid="{5110FFB2-611B-4504-B82F-78B838E18954}"/>
    <cellStyle name="Millares 5 18" xfId="2815" xr:uid="{3ED84C92-EC2C-4573-BB9F-45C515EDAF5B}"/>
    <cellStyle name="Millares 5 19" xfId="2905" xr:uid="{287248B7-0C93-4499-A7C2-812E25B4C29C}"/>
    <cellStyle name="Millares 5 2" xfId="1365" xr:uid="{00000000-0005-0000-0000-0000B1050000}"/>
    <cellStyle name="Millares 5 2 2" xfId="3530" xr:uid="{2485C3F4-B3EE-4797-96CD-AF37C85CDD0F}"/>
    <cellStyle name="Millares 5 2 3" xfId="3742" xr:uid="{B2C85D53-8367-40BC-A67C-E94745EAF4A5}"/>
    <cellStyle name="Millares 5 20" xfId="2998" xr:uid="{3BF33856-C68E-40F5-90A0-45CC8C50F40C}"/>
    <cellStyle name="Millares 5 21" xfId="3092" xr:uid="{43DE5FBF-2005-4216-81E4-E9D44E054E0F}"/>
    <cellStyle name="Millares 5 22" xfId="3652" xr:uid="{1767624A-0A08-4A9E-AE66-D879D42B6F7D}"/>
    <cellStyle name="Millares 5 3" xfId="1462" xr:uid="{00000000-0005-0000-0000-0000B2050000}"/>
    <cellStyle name="Millares 5 4" xfId="1552" xr:uid="{00000000-0005-0000-0000-0000B3050000}"/>
    <cellStyle name="Millares 5 5" xfId="1642" xr:uid="{00000000-0005-0000-0000-0000B4050000}"/>
    <cellStyle name="Millares 5 6" xfId="1733" xr:uid="{00000000-0005-0000-0000-0000B5050000}"/>
    <cellStyle name="Millares 5 7" xfId="1826" xr:uid="{00000000-0005-0000-0000-0000B6050000}"/>
    <cellStyle name="Millares 5 8" xfId="1917" xr:uid="{62F63A66-E2D7-496B-BEC6-795C851DE290}"/>
    <cellStyle name="Millares 5 9" xfId="2008" xr:uid="{E02CA77A-6EDF-47DE-A73D-D79902D1D519}"/>
    <cellStyle name="Millares 6" xfId="1199" xr:uid="{00000000-0005-0000-0000-0000B7050000}"/>
    <cellStyle name="Millares 6 10" xfId="2098" xr:uid="{9FCDFEB1-A208-4F37-82D9-2C27E4D57F24}"/>
    <cellStyle name="Millares 6 11" xfId="2189" xr:uid="{E56E6826-9684-4E97-9E67-3F58158330F2}"/>
    <cellStyle name="Millares 6 12" xfId="2278" xr:uid="{286242F8-361F-4A2A-B7DE-30210EEBCD35}"/>
    <cellStyle name="Millares 6 13" xfId="2368" xr:uid="{5B9DB665-B504-4DEA-9834-1CBB65E58340}"/>
    <cellStyle name="Millares 6 14" xfId="2457" xr:uid="{3E91BD90-E710-48EB-AF9C-69F23816C9A8}"/>
    <cellStyle name="Millares 6 15" xfId="2547" xr:uid="{5DA032D9-C3D8-4735-8E53-EB668AC71782}"/>
    <cellStyle name="Millares 6 16" xfId="2636" xr:uid="{CFBDE139-4EF5-4A4E-875B-10957CD32108}"/>
    <cellStyle name="Millares 6 17" xfId="2726" xr:uid="{4870E0CD-AECA-4B90-B803-380B172D29AE}"/>
    <cellStyle name="Millares 6 18" xfId="2816" xr:uid="{2C38C46F-C7AD-4A32-BC99-5239495451F6}"/>
    <cellStyle name="Millares 6 19" xfId="2906" xr:uid="{DF5A0290-6321-463D-AD81-4A99579F82AE}"/>
    <cellStyle name="Millares 6 2" xfId="1366" xr:uid="{00000000-0005-0000-0000-0000B8050000}"/>
    <cellStyle name="Millares 6 2 2" xfId="3531" xr:uid="{148EFC33-6FAB-4F60-9A4D-426C4E248366}"/>
    <cellStyle name="Millares 6 2 3" xfId="3743" xr:uid="{3537ABC0-1C29-4E6D-8958-B826955EDBCD}"/>
    <cellStyle name="Millares 6 20" xfId="2999" xr:uid="{9793C4E9-2985-40E8-80B2-366D81F51CFC}"/>
    <cellStyle name="Millares 6 21" xfId="3093" xr:uid="{0C172576-124A-4C82-82F7-2277C4168000}"/>
    <cellStyle name="Millares 6 22" xfId="3653" xr:uid="{4FDAA9E2-A43D-4D38-97BF-5887282AD6ED}"/>
    <cellStyle name="Millares 6 3" xfId="1463" xr:uid="{00000000-0005-0000-0000-0000B9050000}"/>
    <cellStyle name="Millares 6 4" xfId="1553" xr:uid="{00000000-0005-0000-0000-0000BA050000}"/>
    <cellStyle name="Millares 6 5" xfId="1643" xr:uid="{00000000-0005-0000-0000-0000BB050000}"/>
    <cellStyle name="Millares 6 6" xfId="1734" xr:uid="{00000000-0005-0000-0000-0000BC050000}"/>
    <cellStyle name="Millares 6 7" xfId="1827" xr:uid="{00000000-0005-0000-0000-0000BD050000}"/>
    <cellStyle name="Millares 6 8" xfId="1918" xr:uid="{367A28CF-214D-4120-893B-C84B894ABA5F}"/>
    <cellStyle name="Millares 6 9" xfId="2009" xr:uid="{D7ADD1A8-C48C-4BA1-8C49-053732DC9198}"/>
    <cellStyle name="Millares 7" xfId="1204" xr:uid="{00000000-0005-0000-0000-0000BE050000}"/>
    <cellStyle name="Millares 7 10" xfId="2099" xr:uid="{D788760C-98BE-4E3B-8D8E-FBB8A069DCB0}"/>
    <cellStyle name="Millares 7 11" xfId="2190" xr:uid="{C200E2BD-B131-4B49-85C3-B6C7BB8DE811}"/>
    <cellStyle name="Millares 7 12" xfId="2279" xr:uid="{19367BB9-9C4E-4387-86A5-CF40FA1CD45C}"/>
    <cellStyle name="Millares 7 13" xfId="2369" xr:uid="{0F99C34D-DDA1-47C3-BE17-923C45EDE725}"/>
    <cellStyle name="Millares 7 14" xfId="2458" xr:uid="{1814FD1C-E88C-4B6F-8D0A-2FF49AF34D5C}"/>
    <cellStyle name="Millares 7 15" xfId="2548" xr:uid="{24566063-F104-4205-9D0B-5538FD274E67}"/>
    <cellStyle name="Millares 7 16" xfId="2637" xr:uid="{A4C30F2C-D106-4282-ADD5-41C2698D8A60}"/>
    <cellStyle name="Millares 7 17" xfId="2727" xr:uid="{4D46433B-EACA-4157-97F9-B01EC2DB9ED5}"/>
    <cellStyle name="Millares 7 18" xfId="2817" xr:uid="{374B3645-FF7B-4775-B9A3-C5B81C6EED1E}"/>
    <cellStyle name="Millares 7 19" xfId="2907" xr:uid="{703334C1-DF04-4D53-8D10-7CD3E20C95C0}"/>
    <cellStyle name="Millares 7 2" xfId="1367" xr:uid="{00000000-0005-0000-0000-0000BF050000}"/>
    <cellStyle name="Millares 7 2 2" xfId="3532" xr:uid="{DDFC64EA-B02F-4A70-8300-1A3D6E93A09A}"/>
    <cellStyle name="Millares 7 2 3" xfId="3744" xr:uid="{EEB7D130-0D2E-4A75-8CDB-03AEC07BE314}"/>
    <cellStyle name="Millares 7 20" xfId="3000" xr:uid="{21EF15AB-E387-4BDB-8811-C338130E290C}"/>
    <cellStyle name="Millares 7 21" xfId="3094" xr:uid="{209B019B-530C-4EE2-93F2-AF44CE4E24D7}"/>
    <cellStyle name="Millares 7 22" xfId="3654" xr:uid="{9ECA02FF-857E-4B72-8674-AAD82F94F581}"/>
    <cellStyle name="Millares 7 3" xfId="1464" xr:uid="{00000000-0005-0000-0000-0000C0050000}"/>
    <cellStyle name="Millares 7 4" xfId="1554" xr:uid="{00000000-0005-0000-0000-0000C1050000}"/>
    <cellStyle name="Millares 7 5" xfId="1644" xr:uid="{00000000-0005-0000-0000-0000C2050000}"/>
    <cellStyle name="Millares 7 6" xfId="1735" xr:uid="{00000000-0005-0000-0000-0000C3050000}"/>
    <cellStyle name="Millares 7 7" xfId="1828" xr:uid="{00000000-0005-0000-0000-0000C4050000}"/>
    <cellStyle name="Millares 7 8" xfId="1919" xr:uid="{F06BFA9F-D9A1-47EB-A1D0-BA03F0052A7D}"/>
    <cellStyle name="Millares 7 9" xfId="2010" xr:uid="{877BF8D2-608C-4182-8763-256B8ED541D2}"/>
    <cellStyle name="Millares 8" xfId="1208" xr:uid="{00000000-0005-0000-0000-0000C5050000}"/>
    <cellStyle name="Millares 8 10" xfId="2100" xr:uid="{A3787717-D020-423A-860C-278CD568CEA4}"/>
    <cellStyle name="Millares 8 11" xfId="2191" xr:uid="{3DD0500C-6167-4317-9F31-E93859A1FD8C}"/>
    <cellStyle name="Millares 8 12" xfId="2280" xr:uid="{2FC69495-5A39-4DF4-BF42-24DA0DCD547E}"/>
    <cellStyle name="Millares 8 13" xfId="2370" xr:uid="{CB63B768-BEB4-4A9D-AA9C-D6BA9900F189}"/>
    <cellStyle name="Millares 8 14" xfId="2459" xr:uid="{79940447-B6CA-4D2C-B9F6-9D90421B8944}"/>
    <cellStyle name="Millares 8 15" xfId="2549" xr:uid="{E2E1D5B7-25A5-4E90-A712-ACAAA2DDF7C2}"/>
    <cellStyle name="Millares 8 16" xfId="2638" xr:uid="{7EB3BBD8-207D-42C7-9093-CCC0B550A486}"/>
    <cellStyle name="Millares 8 17" xfId="2728" xr:uid="{B8FED7B9-FAB2-4C3B-A580-CACD15DDA565}"/>
    <cellStyle name="Millares 8 18" xfId="2818" xr:uid="{0F55F30A-AF1B-4857-BEA8-2F05D57484BD}"/>
    <cellStyle name="Millares 8 19" xfId="2908" xr:uid="{EA0D4C88-85FD-4932-A49E-B0BA869A1DC6}"/>
    <cellStyle name="Millares 8 2" xfId="1368" xr:uid="{00000000-0005-0000-0000-0000C6050000}"/>
    <cellStyle name="Millares 8 2 2" xfId="3533" xr:uid="{DB90F395-1D09-4663-B32F-BF68ECE28BB7}"/>
    <cellStyle name="Millares 8 2 3" xfId="3745" xr:uid="{B1192C44-E0EA-462E-AE0C-3DD56FAAAF9B}"/>
    <cellStyle name="Millares 8 20" xfId="3001" xr:uid="{0BADF3FD-CFC8-4641-89A6-14959D759F9E}"/>
    <cellStyle name="Millares 8 21" xfId="3095" xr:uid="{EAA58C33-54B7-4BD4-88F7-C46B6789B38E}"/>
    <cellStyle name="Millares 8 22" xfId="3655" xr:uid="{7728E8B1-A424-4C9A-ABFB-482ECC75D07D}"/>
    <cellStyle name="Millares 8 3" xfId="1465" xr:uid="{00000000-0005-0000-0000-0000C7050000}"/>
    <cellStyle name="Millares 8 4" xfId="1555" xr:uid="{00000000-0005-0000-0000-0000C8050000}"/>
    <cellStyle name="Millares 8 5" xfId="1645" xr:uid="{00000000-0005-0000-0000-0000C9050000}"/>
    <cellStyle name="Millares 8 6" xfId="1736" xr:uid="{00000000-0005-0000-0000-0000CA050000}"/>
    <cellStyle name="Millares 8 7" xfId="1829" xr:uid="{00000000-0005-0000-0000-0000CB050000}"/>
    <cellStyle name="Millares 8 8" xfId="1920" xr:uid="{85F889B2-E677-47C1-A9FE-C8E516EFFABA}"/>
    <cellStyle name="Millares 8 9" xfId="2011" xr:uid="{6754D345-2083-434B-8D8B-F93A96031BDE}"/>
    <cellStyle name="Millares 9" xfId="1212" xr:uid="{00000000-0005-0000-0000-0000CC050000}"/>
    <cellStyle name="Millares 9 10" xfId="2101" xr:uid="{84B369B9-74C3-4EE0-8BE2-418EB297D3B5}"/>
    <cellStyle name="Millares 9 11" xfId="2192" xr:uid="{6F2D4DF2-0AA6-4AE7-879A-F39B65AE2A41}"/>
    <cellStyle name="Millares 9 12" xfId="2281" xr:uid="{255262F3-E562-425F-BFCF-231186F19AAC}"/>
    <cellStyle name="Millares 9 13" xfId="2371" xr:uid="{8FFCE44B-278B-47F1-9413-8B7742839890}"/>
    <cellStyle name="Millares 9 14" xfId="2460" xr:uid="{4C4CFC4F-622D-424C-8F22-9D89FDFCEAA2}"/>
    <cellStyle name="Millares 9 15" xfId="2550" xr:uid="{EEE3A29D-E6A2-4837-93B7-773B5EAC8B0E}"/>
    <cellStyle name="Millares 9 16" xfId="2639" xr:uid="{8B08A7ED-2B2E-4520-8762-548D482C7FA7}"/>
    <cellStyle name="Millares 9 17" xfId="2729" xr:uid="{C930FE36-4B71-4759-842F-31E4D8918414}"/>
    <cellStyle name="Millares 9 18" xfId="2819" xr:uid="{E3649B8E-087F-4736-93EF-3BFE4F1FF6D3}"/>
    <cellStyle name="Millares 9 19" xfId="2909" xr:uid="{F3234ED8-857A-47DF-82EF-08DFBB99B672}"/>
    <cellStyle name="Millares 9 2" xfId="1369" xr:uid="{00000000-0005-0000-0000-0000CD050000}"/>
    <cellStyle name="Millares 9 2 2" xfId="3534" xr:uid="{1E6B5788-B18B-4377-A9D6-D1E608678C48}"/>
    <cellStyle name="Millares 9 2 3" xfId="3746" xr:uid="{280C5B3C-F9FC-4C0B-AC57-AEB22EF5BA4E}"/>
    <cellStyle name="Millares 9 20" xfId="3002" xr:uid="{C9D01823-ADA0-4B9A-9B24-DAEB2CC2AB3F}"/>
    <cellStyle name="Millares 9 21" xfId="3096" xr:uid="{EF6F6E0F-ABC8-425E-9573-AF255249A644}"/>
    <cellStyle name="Millares 9 22" xfId="3656" xr:uid="{280FC670-DD07-4624-9E96-458D5BF589C1}"/>
    <cellStyle name="Millares 9 3" xfId="1466" xr:uid="{00000000-0005-0000-0000-0000CE050000}"/>
    <cellStyle name="Millares 9 4" xfId="1556" xr:uid="{00000000-0005-0000-0000-0000CF050000}"/>
    <cellStyle name="Millares 9 5" xfId="1646" xr:uid="{00000000-0005-0000-0000-0000D0050000}"/>
    <cellStyle name="Millares 9 6" xfId="1737" xr:uid="{00000000-0005-0000-0000-0000D1050000}"/>
    <cellStyle name="Millares 9 7" xfId="1830" xr:uid="{00000000-0005-0000-0000-0000D2050000}"/>
    <cellStyle name="Millares 9 8" xfId="1921" xr:uid="{0BE696EC-4291-4DE3-9E11-C56D2EC4F2E8}"/>
    <cellStyle name="Millares 9 9" xfId="2012" xr:uid="{006511CA-9697-4BF6-B3F0-26B18EEF40E7}"/>
    <cellStyle name="Moneda" xfId="4" builtinId="4"/>
    <cellStyle name="Moneda 2" xfId="1370" xr:uid="{00000000-0005-0000-0000-0000D4050000}"/>
    <cellStyle name="Moneda 2 10" xfId="2193" xr:uid="{837C81F7-498A-4A3E-B43D-06DD2AC15505}"/>
    <cellStyle name="Moneda 2 11" xfId="2282" xr:uid="{AC4B352C-FE3B-4EA4-97A1-008ECAC107B8}"/>
    <cellStyle name="Moneda 2 12" xfId="2372" xr:uid="{0D590D3D-96BD-4BCB-AF9B-A13259645A8D}"/>
    <cellStyle name="Moneda 2 13" xfId="2461" xr:uid="{EA31FB07-B07E-4B76-991A-39E0E146DD34}"/>
    <cellStyle name="Moneda 2 14" xfId="2551" xr:uid="{6E3A87B8-BF9F-4619-BA85-9999F96D4FB0}"/>
    <cellStyle name="Moneda 2 15" xfId="2640" xr:uid="{D6C3D35D-EDC2-4886-A663-1DB5343D17D7}"/>
    <cellStyle name="Moneda 2 16" xfId="2730" xr:uid="{8EDFE6E7-7D1B-4F10-9B59-84638F52D483}"/>
    <cellStyle name="Moneda 2 17" xfId="2820" xr:uid="{1886282E-6B2C-405A-B248-443C19D559DD}"/>
    <cellStyle name="Moneda 2 18" xfId="2910" xr:uid="{4A64CF10-FDC4-4AFC-8676-AB8B6070F34B}"/>
    <cellStyle name="Moneda 2 19" xfId="3003" xr:uid="{E53E5A11-B9C0-4FD9-BA81-A1149C65A79C}"/>
    <cellStyle name="Moneda 2 2" xfId="1467" xr:uid="{00000000-0005-0000-0000-0000D5050000}"/>
    <cellStyle name="Moneda 2 2 2" xfId="3535" xr:uid="{F26EFCAE-73AE-4E56-8889-585983FA3060}"/>
    <cellStyle name="Moneda 2 2 3" xfId="3747" xr:uid="{829EAA64-0F64-49CE-A19F-39709D83D47C}"/>
    <cellStyle name="Moneda 2 20" xfId="3097" xr:uid="{B0F54F6E-48FB-402F-9067-C1BA56A03D7A}"/>
    <cellStyle name="Moneda 2 21" xfId="3657" xr:uid="{AA290CC4-E80B-4D7B-A091-A4AAA5C51A30}"/>
    <cellStyle name="Moneda 2 3" xfId="1557" xr:uid="{00000000-0005-0000-0000-0000D6050000}"/>
    <cellStyle name="Moneda 2 4" xfId="1647" xr:uid="{00000000-0005-0000-0000-0000D7050000}"/>
    <cellStyle name="Moneda 2 5" xfId="1738" xr:uid="{00000000-0005-0000-0000-0000D8050000}"/>
    <cellStyle name="Moneda 2 6" xfId="1831" xr:uid="{00000000-0005-0000-0000-0000D9050000}"/>
    <cellStyle name="Moneda 2 7" xfId="1922" xr:uid="{A54E562D-E9DE-4922-8228-4826F91A8612}"/>
    <cellStyle name="Moneda 2 8" xfId="2013" xr:uid="{7EC712B2-1D32-467D-858A-D98D8074DC70}"/>
    <cellStyle name="Moneda 2 9" xfId="2102" xr:uid="{BD5DF590-5272-474D-979A-F493650B26F5}"/>
    <cellStyle name="Moneda 3" xfId="3540" xr:uid="{2BE454F5-4C13-46B8-B3C4-8A37526C344F}"/>
    <cellStyle name="Moneda 3 2" xfId="3748" xr:uid="{48EBF27E-FCEC-48CA-A154-6B662D7C08F9}"/>
    <cellStyle name="Moneda 4" xfId="3099" xr:uid="{B2C2F02F-2672-4592-8BF1-3CA1B894E5EC}"/>
    <cellStyle name="Moneda 5" xfId="3658" xr:uid="{A957594A-DAB2-4787-9E3D-4C88FF6473A2}"/>
    <cellStyle name="Neutral 10" xfId="883" xr:uid="{00000000-0005-0000-0000-0000DA050000}"/>
    <cellStyle name="Neutral 10 2" xfId="884" xr:uid="{00000000-0005-0000-0000-0000DB050000}"/>
    <cellStyle name="Neutral 11" xfId="885" xr:uid="{00000000-0005-0000-0000-0000DC050000}"/>
    <cellStyle name="Neutral 11 2" xfId="886" xr:uid="{00000000-0005-0000-0000-0000DD050000}"/>
    <cellStyle name="Neutral 12" xfId="887" xr:uid="{00000000-0005-0000-0000-0000DE050000}"/>
    <cellStyle name="Neutral 12 2" xfId="888" xr:uid="{00000000-0005-0000-0000-0000DF050000}"/>
    <cellStyle name="Neutral 13" xfId="889" xr:uid="{00000000-0005-0000-0000-0000E0050000}"/>
    <cellStyle name="Neutral 13 2" xfId="890" xr:uid="{00000000-0005-0000-0000-0000E1050000}"/>
    <cellStyle name="Neutral 14" xfId="891" xr:uid="{00000000-0005-0000-0000-0000E2050000}"/>
    <cellStyle name="Neutral 14 2" xfId="892" xr:uid="{00000000-0005-0000-0000-0000E3050000}"/>
    <cellStyle name="Neutral 15" xfId="882" xr:uid="{00000000-0005-0000-0000-0000E4050000}"/>
    <cellStyle name="Neutral 16" xfId="3103" xr:uid="{489B8846-DFD7-4082-BAE7-1670DF7620A0}"/>
    <cellStyle name="Neutral 2" xfId="893" xr:uid="{00000000-0005-0000-0000-0000E5050000}"/>
    <cellStyle name="Neutral 2 2" xfId="894" xr:uid="{00000000-0005-0000-0000-0000E6050000}"/>
    <cellStyle name="Neutral 3" xfId="895" xr:uid="{00000000-0005-0000-0000-0000E7050000}"/>
    <cellStyle name="Neutral 3 2" xfId="896" xr:uid="{00000000-0005-0000-0000-0000E8050000}"/>
    <cellStyle name="Neutral 4" xfId="897" xr:uid="{00000000-0005-0000-0000-0000E9050000}"/>
    <cellStyle name="Neutral 4 2" xfId="898" xr:uid="{00000000-0005-0000-0000-0000EA050000}"/>
    <cellStyle name="Neutral 5" xfId="899" xr:uid="{00000000-0005-0000-0000-0000EB050000}"/>
    <cellStyle name="Neutral 5 2" xfId="900" xr:uid="{00000000-0005-0000-0000-0000EC050000}"/>
    <cellStyle name="Neutral 6" xfId="901" xr:uid="{00000000-0005-0000-0000-0000ED050000}"/>
    <cellStyle name="Neutral 6 2" xfId="902" xr:uid="{00000000-0005-0000-0000-0000EE050000}"/>
    <cellStyle name="Neutral 7" xfId="903" xr:uid="{00000000-0005-0000-0000-0000EF050000}"/>
    <cellStyle name="Neutral 7 2" xfId="904" xr:uid="{00000000-0005-0000-0000-0000F0050000}"/>
    <cellStyle name="Neutral 8" xfId="905" xr:uid="{00000000-0005-0000-0000-0000F1050000}"/>
    <cellStyle name="Neutral 8 2" xfId="906" xr:uid="{00000000-0005-0000-0000-0000F2050000}"/>
    <cellStyle name="Neutral 9" xfId="907" xr:uid="{00000000-0005-0000-0000-0000F3050000}"/>
    <cellStyle name="Neutral 9 2" xfId="908" xr:uid="{00000000-0005-0000-0000-0000F4050000}"/>
    <cellStyle name="Normal" xfId="0" builtinId="0"/>
    <cellStyle name="Normal 10" xfId="1558" xr:uid="{00000000-0005-0000-0000-0000F6050000}"/>
    <cellStyle name="Normal 11" xfId="1649" xr:uid="{00000000-0005-0000-0000-0000F7050000}"/>
    <cellStyle name="Normal 12" xfId="1740" xr:uid="{00000000-0005-0000-0000-0000F8050000}"/>
    <cellStyle name="Normal 13" xfId="1833" xr:uid="{708560ED-6E65-47B4-B7D6-9B14CE272DD9}"/>
    <cellStyle name="Normal 14" xfId="1924" xr:uid="{DF64BFA6-EFDD-48CE-B7AF-A48608B7E6A2}"/>
    <cellStyle name="Normal 15" xfId="2103" xr:uid="{8D8569EE-0EE5-4A38-AE44-C24FDA015ED9}"/>
    <cellStyle name="Normal 16" xfId="2104" xr:uid="{E8F7BBBA-D34E-45F2-A714-3161460A0421}"/>
    <cellStyle name="Normal 17" xfId="2283" xr:uid="{50E68B97-DC8E-4FEF-B9BA-7C10560BA14A}"/>
    <cellStyle name="Normal 18" xfId="2462" xr:uid="{8F532373-4999-444D-9DDD-74569E1B83B4}"/>
    <cellStyle name="Normal 19" xfId="2641" xr:uid="{256B0D4E-A858-4B36-B94C-061E152C6642}"/>
    <cellStyle name="Normal 2" xfId="2" xr:uid="{00000000-0005-0000-0000-0000F9050000}"/>
    <cellStyle name="Normal 2 10" xfId="909" xr:uid="{00000000-0005-0000-0000-0000FA050000}"/>
    <cellStyle name="Normal 2 10 2" xfId="910" xr:uid="{00000000-0005-0000-0000-0000FB050000}"/>
    <cellStyle name="Normal 2 11" xfId="911" xr:uid="{00000000-0005-0000-0000-0000FC050000}"/>
    <cellStyle name="Normal 2 11 2" xfId="912" xr:uid="{00000000-0005-0000-0000-0000FD050000}"/>
    <cellStyle name="Normal 2 12" xfId="913" xr:uid="{00000000-0005-0000-0000-0000FE050000}"/>
    <cellStyle name="Normal 2 12 2" xfId="914" xr:uid="{00000000-0005-0000-0000-0000FF050000}"/>
    <cellStyle name="Normal 2 13" xfId="915" xr:uid="{00000000-0005-0000-0000-000000060000}"/>
    <cellStyle name="Normal 2 13 2" xfId="916" xr:uid="{00000000-0005-0000-0000-000001060000}"/>
    <cellStyle name="Normal 2 14" xfId="917" xr:uid="{00000000-0005-0000-0000-000002060000}"/>
    <cellStyle name="Normal 2 14 2" xfId="918" xr:uid="{00000000-0005-0000-0000-000003060000}"/>
    <cellStyle name="Normal 2 15" xfId="919" xr:uid="{00000000-0005-0000-0000-000004060000}"/>
    <cellStyle name="Normal 2 15 2" xfId="920" xr:uid="{00000000-0005-0000-0000-000005060000}"/>
    <cellStyle name="Normal 2 16" xfId="921" xr:uid="{00000000-0005-0000-0000-000006060000}"/>
    <cellStyle name="Normal 2 16 2" xfId="922" xr:uid="{00000000-0005-0000-0000-000007060000}"/>
    <cellStyle name="Normal 2 17" xfId="923" xr:uid="{00000000-0005-0000-0000-000008060000}"/>
    <cellStyle name="Normal 2 17 2" xfId="924" xr:uid="{00000000-0005-0000-0000-000009060000}"/>
    <cellStyle name="Normal 2 18" xfId="925" xr:uid="{00000000-0005-0000-0000-00000A060000}"/>
    <cellStyle name="Normal 2 18 2" xfId="926" xr:uid="{00000000-0005-0000-0000-00000B060000}"/>
    <cellStyle name="Normal 2 19" xfId="927" xr:uid="{00000000-0005-0000-0000-00000C060000}"/>
    <cellStyle name="Normal 2 19 2" xfId="928" xr:uid="{00000000-0005-0000-0000-00000D060000}"/>
    <cellStyle name="Normal 2 2" xfId="929" xr:uid="{00000000-0005-0000-0000-00000E060000}"/>
    <cellStyle name="Normal 2 2 2" xfId="930" xr:uid="{00000000-0005-0000-0000-00000F060000}"/>
    <cellStyle name="Normal 2 20" xfId="931" xr:uid="{00000000-0005-0000-0000-000010060000}"/>
    <cellStyle name="Normal 2 20 2" xfId="932" xr:uid="{00000000-0005-0000-0000-000011060000}"/>
    <cellStyle name="Normal 2 21" xfId="933" xr:uid="{00000000-0005-0000-0000-000012060000}"/>
    <cellStyle name="Normal 2 21 2" xfId="934" xr:uid="{00000000-0005-0000-0000-000013060000}"/>
    <cellStyle name="Normal 2 22" xfId="935" xr:uid="{00000000-0005-0000-0000-000014060000}"/>
    <cellStyle name="Normal 2 22 2" xfId="936" xr:uid="{00000000-0005-0000-0000-000015060000}"/>
    <cellStyle name="Normal 2 23" xfId="937" xr:uid="{00000000-0005-0000-0000-000016060000}"/>
    <cellStyle name="Normal 2 23 2" xfId="938" xr:uid="{00000000-0005-0000-0000-000017060000}"/>
    <cellStyle name="Normal 2 24" xfId="1832" xr:uid="{00000000-0005-0000-0000-000018060000}"/>
    <cellStyle name="Normal 2 25" xfId="3752" xr:uid="{26D2DC13-2EBD-4814-895C-95CB4E67CDF7}"/>
    <cellStyle name="Normal 2 3" xfId="939" xr:uid="{00000000-0005-0000-0000-000019060000}"/>
    <cellStyle name="Normal 2 3 2" xfId="940" xr:uid="{00000000-0005-0000-0000-00001A060000}"/>
    <cellStyle name="Normal 2 4" xfId="941" xr:uid="{00000000-0005-0000-0000-00001B060000}"/>
    <cellStyle name="Normal 2 4 2" xfId="942" xr:uid="{00000000-0005-0000-0000-00001C060000}"/>
    <cellStyle name="Normal 2 5" xfId="943" xr:uid="{00000000-0005-0000-0000-00001D060000}"/>
    <cellStyle name="Normal 2 5 2" xfId="944" xr:uid="{00000000-0005-0000-0000-00001E060000}"/>
    <cellStyle name="Normal 2 6" xfId="945" xr:uid="{00000000-0005-0000-0000-00001F060000}"/>
    <cellStyle name="Normal 2 6 2" xfId="946" xr:uid="{00000000-0005-0000-0000-000020060000}"/>
    <cellStyle name="Normal 2 7" xfId="947" xr:uid="{00000000-0005-0000-0000-000021060000}"/>
    <cellStyle name="Normal 2 8" xfId="948" xr:uid="{00000000-0005-0000-0000-000022060000}"/>
    <cellStyle name="Normal 2 8 2" xfId="949" xr:uid="{00000000-0005-0000-0000-000023060000}"/>
    <cellStyle name="Normal 2 9" xfId="950" xr:uid="{00000000-0005-0000-0000-000024060000}"/>
    <cellStyle name="Normal 2 9 2" xfId="951" xr:uid="{00000000-0005-0000-0000-000025060000}"/>
    <cellStyle name="Normal 20" xfId="2731" xr:uid="{041D80D6-E7A1-43D0-9275-FE5F5B1FC9C9}"/>
    <cellStyle name="Normal 21" xfId="2821" xr:uid="{0D03F717-ABE8-4B69-86B8-A54BC41E9DBC}"/>
    <cellStyle name="Normal 216" xfId="952" xr:uid="{00000000-0005-0000-0000-000026060000}"/>
    <cellStyle name="Normal 22" xfId="2911" xr:uid="{2CDF3A26-2CA2-4A9A-A946-DEA41E06D953}"/>
    <cellStyle name="Normal 23" xfId="2912" xr:uid="{9B335817-7DB3-4395-B928-5D2D150949A3}"/>
    <cellStyle name="Normal 234" xfId="953" xr:uid="{00000000-0005-0000-0000-000027060000}"/>
    <cellStyle name="Normal 235" xfId="954" xr:uid="{00000000-0005-0000-0000-000028060000}"/>
    <cellStyle name="Normal 235 2" xfId="3536" xr:uid="{66CFF6D9-1B4D-455D-B49D-6B41D9A4036F}"/>
    <cellStyle name="Normal 236" xfId="955" xr:uid="{00000000-0005-0000-0000-000029060000}"/>
    <cellStyle name="Normal 236 2" xfId="956" xr:uid="{00000000-0005-0000-0000-00002A060000}"/>
    <cellStyle name="Normal 237" xfId="957" xr:uid="{00000000-0005-0000-0000-00002B060000}"/>
    <cellStyle name="Normal 237 2" xfId="958" xr:uid="{00000000-0005-0000-0000-00002C060000}"/>
    <cellStyle name="Normal 238" xfId="959" xr:uid="{00000000-0005-0000-0000-00002D060000}"/>
    <cellStyle name="Normal 238 2" xfId="960" xr:uid="{00000000-0005-0000-0000-00002E060000}"/>
    <cellStyle name="Normal 239" xfId="1250" xr:uid="{00000000-0005-0000-0000-00002F060000}"/>
    <cellStyle name="Normal 239 2" xfId="1371" xr:uid="{00000000-0005-0000-0000-000030060000}"/>
    <cellStyle name="Normal 24" xfId="2913" xr:uid="{B9848671-9793-4C1B-A731-1E98DE41756E}"/>
    <cellStyle name="Normal 240" xfId="1255" xr:uid="{00000000-0005-0000-0000-000031060000}"/>
    <cellStyle name="Normal 240 2" xfId="1372" xr:uid="{00000000-0005-0000-0000-000032060000}"/>
    <cellStyle name="Normal 241" xfId="1648" xr:uid="{00000000-0005-0000-0000-000033060000}"/>
    <cellStyle name="Normal 241 2" xfId="3537" xr:uid="{BAD68423-8A10-401E-B787-590472699503}"/>
    <cellStyle name="Normal 25" xfId="2914" xr:uid="{505BD84F-AFBE-4043-AF9C-CD29D693DFA1}"/>
    <cellStyle name="Normal 26" xfId="3004" xr:uid="{F627B976-AF45-4CBF-A546-6632760EAB3C}"/>
    <cellStyle name="Normal 27" xfId="3005" xr:uid="{98D25402-C71A-453E-A773-69A0BD752C73}"/>
    <cellStyle name="Normal 28" xfId="3006" xr:uid="{58B97980-ED20-4464-BD9D-444FE070FBE3}"/>
    <cellStyle name="Normal 29" xfId="3007" xr:uid="{892ED031-081D-4CEE-BD4B-0655830DD0BC}"/>
    <cellStyle name="Normal 3" xfId="3" xr:uid="{00000000-0005-0000-0000-000034060000}"/>
    <cellStyle name="Normal 3 2" xfId="961" xr:uid="{00000000-0005-0000-0000-000035060000}"/>
    <cellStyle name="Normal 3 3" xfId="1923" xr:uid="{BC1290A3-9367-47C1-B8A1-BB94DEC2990D}"/>
    <cellStyle name="Normal 30" xfId="3561" xr:uid="{9AFFDD43-9655-40F7-A867-48BB58821C56}"/>
    <cellStyle name="Normal 31" xfId="3562" xr:uid="{8BAFAE03-C9B9-47AA-BB7A-5A9810A06C52}"/>
    <cellStyle name="Normal 32" xfId="3563" xr:uid="{EDDA4FD1-81CC-412B-9A1D-CA6B7B3162E7}"/>
    <cellStyle name="Normal 33" xfId="3564" xr:uid="{DEBC1828-D21C-49DB-A082-3A407BCABE58}"/>
    <cellStyle name="Normal 34" xfId="3565" xr:uid="{A26B0BBE-99BA-4567-819F-3AC63D2D8559}"/>
    <cellStyle name="Normal 35" xfId="3566" xr:uid="{FA7EFB04-BBCE-46E1-AAE8-A783F8F49E14}"/>
    <cellStyle name="Normal 36" xfId="3567" xr:uid="{52ACB948-D605-44AC-A756-CAD69778D5D7}"/>
    <cellStyle name="Normal 37" xfId="3568" xr:uid="{23E27A07-8397-45BF-A4B1-21C6AAD6F04B}"/>
    <cellStyle name="Normal 4" xfId="5" xr:uid="{00000000-0005-0000-0000-000036060000}"/>
    <cellStyle name="Normal 4 2" xfId="962" xr:uid="{00000000-0005-0000-0000-000037060000}"/>
    <cellStyle name="Normal 4 3" xfId="963" xr:uid="{00000000-0005-0000-0000-000038060000}"/>
    <cellStyle name="Normal 4 3 2" xfId="964" xr:uid="{00000000-0005-0000-0000-000039060000}"/>
    <cellStyle name="Normal 4 4" xfId="3539" xr:uid="{878D934D-4AB0-4E03-A405-C6000925977C}"/>
    <cellStyle name="Normal 4 5" xfId="3098" xr:uid="{47FB15FB-1F79-417C-94BB-F5A5F233B86F}"/>
    <cellStyle name="Normal 5" xfId="1198" xr:uid="{00000000-0005-0000-0000-00003A060000}"/>
    <cellStyle name="Normal 5 2" xfId="1373" xr:uid="{00000000-0005-0000-0000-00003B060000}"/>
    <cellStyle name="Normal 5 3" xfId="3541" xr:uid="{A9C13EC2-1D90-420A-B8D2-091E347B0C0A}"/>
    <cellStyle name="Normal 5 4" xfId="3100" xr:uid="{D3EEE393-7FBC-42BA-854A-59D5011F6357}"/>
    <cellStyle name="Normal 6" xfId="1203" xr:uid="{00000000-0005-0000-0000-00003C060000}"/>
    <cellStyle name="Normal 6 2" xfId="1374" xr:uid="{00000000-0005-0000-0000-00003D060000}"/>
    <cellStyle name="Normal 6 3" xfId="3749" xr:uid="{732CB6A9-135B-43A1-B170-8C953C4544F3}"/>
    <cellStyle name="Normal 7" xfId="1240" xr:uid="{00000000-0005-0000-0000-00003E060000}"/>
    <cellStyle name="Normal 7 2" xfId="1375" xr:uid="{00000000-0005-0000-0000-00003F060000}"/>
    <cellStyle name="Normal 7 3" xfId="3750" xr:uid="{5BB1150E-F0F4-4B89-8F2B-556F9579C2F8}"/>
    <cellStyle name="Normal 8" xfId="1245" xr:uid="{00000000-0005-0000-0000-000040060000}"/>
    <cellStyle name="Normal 8 2" xfId="1376" xr:uid="{00000000-0005-0000-0000-000041060000}"/>
    <cellStyle name="Normal 8 3" xfId="3751" xr:uid="{38483525-923C-4ADB-9CA1-EFD03C9DA85F}"/>
    <cellStyle name="Normal 9" xfId="1268" xr:uid="{00000000-0005-0000-0000-000042060000}"/>
    <cellStyle name="Normal 9 2" xfId="1377" xr:uid="{00000000-0005-0000-0000-000043060000}"/>
    <cellStyle name="Normal 9 2 2" xfId="3538" xr:uid="{FD2318BE-4D24-4B8C-91C1-22A3C4E4F81F}"/>
    <cellStyle name="Normal 9 3" xfId="3753" xr:uid="{3BCB2A60-B0AD-4974-B542-88F6BE4291E4}"/>
    <cellStyle name="Notas 10" xfId="965" xr:uid="{00000000-0005-0000-0000-000044060000}"/>
    <cellStyle name="Notas 10 2" xfId="966" xr:uid="{00000000-0005-0000-0000-000045060000}"/>
    <cellStyle name="Notas 11" xfId="967" xr:uid="{00000000-0005-0000-0000-000046060000}"/>
    <cellStyle name="Notas 11 2" xfId="968" xr:uid="{00000000-0005-0000-0000-000047060000}"/>
    <cellStyle name="Notas 12" xfId="969" xr:uid="{00000000-0005-0000-0000-000048060000}"/>
    <cellStyle name="Notas 12 2" xfId="970" xr:uid="{00000000-0005-0000-0000-000049060000}"/>
    <cellStyle name="Notas 13" xfId="971" xr:uid="{00000000-0005-0000-0000-00004A060000}"/>
    <cellStyle name="Notas 13 2" xfId="972" xr:uid="{00000000-0005-0000-0000-00004B060000}"/>
    <cellStyle name="Notas 14" xfId="973" xr:uid="{00000000-0005-0000-0000-00004C060000}"/>
    <cellStyle name="Notas 14 2" xfId="974" xr:uid="{00000000-0005-0000-0000-00004D060000}"/>
    <cellStyle name="Notas 15" xfId="975" xr:uid="{00000000-0005-0000-0000-00004E060000}"/>
    <cellStyle name="Notas 15 2" xfId="976" xr:uid="{00000000-0005-0000-0000-00004F060000}"/>
    <cellStyle name="Notas 16" xfId="977" xr:uid="{00000000-0005-0000-0000-000050060000}"/>
    <cellStyle name="Notas 16 2" xfId="978" xr:uid="{00000000-0005-0000-0000-000051060000}"/>
    <cellStyle name="Notas 17" xfId="979" xr:uid="{00000000-0005-0000-0000-000052060000}"/>
    <cellStyle name="Notas 17 2" xfId="980" xr:uid="{00000000-0005-0000-0000-000053060000}"/>
    <cellStyle name="Notas 18" xfId="981" xr:uid="{00000000-0005-0000-0000-000054060000}"/>
    <cellStyle name="Notas 18 2" xfId="982" xr:uid="{00000000-0005-0000-0000-000055060000}"/>
    <cellStyle name="Notas 19" xfId="983" xr:uid="{00000000-0005-0000-0000-000056060000}"/>
    <cellStyle name="Notas 19 2" xfId="984" xr:uid="{00000000-0005-0000-0000-000057060000}"/>
    <cellStyle name="Notas 2" xfId="985" xr:uid="{00000000-0005-0000-0000-000058060000}"/>
    <cellStyle name="Notas 2 2" xfId="986" xr:uid="{00000000-0005-0000-0000-000059060000}"/>
    <cellStyle name="Notas 20" xfId="3104" xr:uid="{FFCA1CB1-3418-4FC6-89BB-C428038E0DA6}"/>
    <cellStyle name="Notas 20 2" xfId="3542" xr:uid="{D4CFFCE2-7EFB-4C30-80A0-1D0DB76582D3}"/>
    <cellStyle name="Notas 3" xfId="987" xr:uid="{00000000-0005-0000-0000-00005A060000}"/>
    <cellStyle name="Notas 3 2" xfId="988" xr:uid="{00000000-0005-0000-0000-00005B060000}"/>
    <cellStyle name="Notas 4" xfId="989" xr:uid="{00000000-0005-0000-0000-00005C060000}"/>
    <cellStyle name="Notas 4 2" xfId="990" xr:uid="{00000000-0005-0000-0000-00005D060000}"/>
    <cellStyle name="Notas 5" xfId="991" xr:uid="{00000000-0005-0000-0000-00005E060000}"/>
    <cellStyle name="Notas 5 2" xfId="992" xr:uid="{00000000-0005-0000-0000-00005F060000}"/>
    <cellStyle name="Notas 6" xfId="993" xr:uid="{00000000-0005-0000-0000-000060060000}"/>
    <cellStyle name="Notas 6 2" xfId="994" xr:uid="{00000000-0005-0000-0000-000061060000}"/>
    <cellStyle name="Notas 7" xfId="995" xr:uid="{00000000-0005-0000-0000-000062060000}"/>
    <cellStyle name="Notas 7 2" xfId="996" xr:uid="{00000000-0005-0000-0000-000063060000}"/>
    <cellStyle name="Notas 8" xfId="997" xr:uid="{00000000-0005-0000-0000-000064060000}"/>
    <cellStyle name="Notas 8 2" xfId="998" xr:uid="{00000000-0005-0000-0000-000065060000}"/>
    <cellStyle name="Notas 9" xfId="999" xr:uid="{00000000-0005-0000-0000-000066060000}"/>
    <cellStyle name="Notas 9 2" xfId="1000" xr:uid="{00000000-0005-0000-0000-000067060000}"/>
    <cellStyle name="Note" xfId="1001" xr:uid="{00000000-0005-0000-0000-000068060000}"/>
    <cellStyle name="Output" xfId="1002" xr:uid="{00000000-0005-0000-0000-000069060000}"/>
    <cellStyle name="Salida 10" xfId="1004" xr:uid="{00000000-0005-0000-0000-00006A060000}"/>
    <cellStyle name="Salida 10 2" xfId="1005" xr:uid="{00000000-0005-0000-0000-00006B060000}"/>
    <cellStyle name="Salida 11" xfId="1006" xr:uid="{00000000-0005-0000-0000-00006C060000}"/>
    <cellStyle name="Salida 11 2" xfId="1007" xr:uid="{00000000-0005-0000-0000-00006D060000}"/>
    <cellStyle name="Salida 12" xfId="1008" xr:uid="{00000000-0005-0000-0000-00006E060000}"/>
    <cellStyle name="Salida 12 2" xfId="1009" xr:uid="{00000000-0005-0000-0000-00006F060000}"/>
    <cellStyle name="Salida 13" xfId="1010" xr:uid="{00000000-0005-0000-0000-000070060000}"/>
    <cellStyle name="Salida 13 2" xfId="1011" xr:uid="{00000000-0005-0000-0000-000071060000}"/>
    <cellStyle name="Salida 14" xfId="1012" xr:uid="{00000000-0005-0000-0000-000072060000}"/>
    <cellStyle name="Salida 14 2" xfId="1013" xr:uid="{00000000-0005-0000-0000-000073060000}"/>
    <cellStyle name="Salida 15" xfId="1003" xr:uid="{00000000-0005-0000-0000-000074060000}"/>
    <cellStyle name="Salida 2" xfId="1014" xr:uid="{00000000-0005-0000-0000-000075060000}"/>
    <cellStyle name="Salida 2 2" xfId="1015" xr:uid="{00000000-0005-0000-0000-000076060000}"/>
    <cellStyle name="Salida 3" xfId="1016" xr:uid="{00000000-0005-0000-0000-000077060000}"/>
    <cellStyle name="Salida 3 2" xfId="1017" xr:uid="{00000000-0005-0000-0000-000078060000}"/>
    <cellStyle name="Salida 4" xfId="1018" xr:uid="{00000000-0005-0000-0000-000079060000}"/>
    <cellStyle name="Salida 4 2" xfId="1019" xr:uid="{00000000-0005-0000-0000-00007A060000}"/>
    <cellStyle name="Salida 5" xfId="1020" xr:uid="{00000000-0005-0000-0000-00007B060000}"/>
    <cellStyle name="Salida 5 2" xfId="1021" xr:uid="{00000000-0005-0000-0000-00007C060000}"/>
    <cellStyle name="Salida 6" xfId="1022" xr:uid="{00000000-0005-0000-0000-00007D060000}"/>
    <cellStyle name="Salida 6 2" xfId="1023" xr:uid="{00000000-0005-0000-0000-00007E060000}"/>
    <cellStyle name="Salida 7" xfId="1024" xr:uid="{00000000-0005-0000-0000-00007F060000}"/>
    <cellStyle name="Salida 7 2" xfId="1025" xr:uid="{00000000-0005-0000-0000-000080060000}"/>
    <cellStyle name="Salida 8" xfId="1026" xr:uid="{00000000-0005-0000-0000-000081060000}"/>
    <cellStyle name="Salida 8 2" xfId="1027" xr:uid="{00000000-0005-0000-0000-000082060000}"/>
    <cellStyle name="Salida 9" xfId="1028" xr:uid="{00000000-0005-0000-0000-000083060000}"/>
    <cellStyle name="Salida 9 2" xfId="1029" xr:uid="{00000000-0005-0000-0000-000084060000}"/>
    <cellStyle name="Texto de advertencia 10" xfId="1031" xr:uid="{00000000-0005-0000-0000-000085060000}"/>
    <cellStyle name="Texto de advertencia 10 2" xfId="1032" xr:uid="{00000000-0005-0000-0000-000086060000}"/>
    <cellStyle name="Texto de advertencia 11" xfId="1033" xr:uid="{00000000-0005-0000-0000-000087060000}"/>
    <cellStyle name="Texto de advertencia 11 2" xfId="1034" xr:uid="{00000000-0005-0000-0000-000088060000}"/>
    <cellStyle name="Texto de advertencia 12" xfId="1035" xr:uid="{00000000-0005-0000-0000-000089060000}"/>
    <cellStyle name="Texto de advertencia 12 2" xfId="1036" xr:uid="{00000000-0005-0000-0000-00008A060000}"/>
    <cellStyle name="Texto de advertencia 13" xfId="1037" xr:uid="{00000000-0005-0000-0000-00008B060000}"/>
    <cellStyle name="Texto de advertencia 13 2" xfId="1038" xr:uid="{00000000-0005-0000-0000-00008C060000}"/>
    <cellStyle name="Texto de advertencia 14" xfId="1039" xr:uid="{00000000-0005-0000-0000-00008D060000}"/>
    <cellStyle name="Texto de advertencia 14 2" xfId="1040" xr:uid="{00000000-0005-0000-0000-00008E060000}"/>
    <cellStyle name="Texto de advertencia 15" xfId="1030" xr:uid="{00000000-0005-0000-0000-00008F060000}"/>
    <cellStyle name="Texto de advertencia 2" xfId="1041" xr:uid="{00000000-0005-0000-0000-000090060000}"/>
    <cellStyle name="Texto de advertencia 2 2" xfId="1042" xr:uid="{00000000-0005-0000-0000-000091060000}"/>
    <cellStyle name="Texto de advertencia 3" xfId="1043" xr:uid="{00000000-0005-0000-0000-000092060000}"/>
    <cellStyle name="Texto de advertencia 3 2" xfId="1044" xr:uid="{00000000-0005-0000-0000-000093060000}"/>
    <cellStyle name="Texto de advertencia 4" xfId="1045" xr:uid="{00000000-0005-0000-0000-000094060000}"/>
    <cellStyle name="Texto de advertencia 4 2" xfId="1046" xr:uid="{00000000-0005-0000-0000-000095060000}"/>
    <cellStyle name="Texto de advertencia 5" xfId="1047" xr:uid="{00000000-0005-0000-0000-000096060000}"/>
    <cellStyle name="Texto de advertencia 5 2" xfId="1048" xr:uid="{00000000-0005-0000-0000-000097060000}"/>
    <cellStyle name="Texto de advertencia 6" xfId="1049" xr:uid="{00000000-0005-0000-0000-000098060000}"/>
    <cellStyle name="Texto de advertencia 6 2" xfId="1050" xr:uid="{00000000-0005-0000-0000-000099060000}"/>
    <cellStyle name="Texto de advertencia 7" xfId="1051" xr:uid="{00000000-0005-0000-0000-00009A060000}"/>
    <cellStyle name="Texto de advertencia 7 2" xfId="1052" xr:uid="{00000000-0005-0000-0000-00009B060000}"/>
    <cellStyle name="Texto de advertencia 8" xfId="1053" xr:uid="{00000000-0005-0000-0000-00009C060000}"/>
    <cellStyle name="Texto de advertencia 8 2" xfId="1054" xr:uid="{00000000-0005-0000-0000-00009D060000}"/>
    <cellStyle name="Texto de advertencia 9" xfId="1055" xr:uid="{00000000-0005-0000-0000-00009E060000}"/>
    <cellStyle name="Texto de advertencia 9 2" xfId="1056" xr:uid="{00000000-0005-0000-0000-00009F060000}"/>
    <cellStyle name="Texto explicativo 10" xfId="1058" xr:uid="{00000000-0005-0000-0000-0000A0060000}"/>
    <cellStyle name="Texto explicativo 10 2" xfId="1059" xr:uid="{00000000-0005-0000-0000-0000A1060000}"/>
    <cellStyle name="Texto explicativo 11" xfId="1060" xr:uid="{00000000-0005-0000-0000-0000A2060000}"/>
    <cellStyle name="Texto explicativo 11 2" xfId="1061" xr:uid="{00000000-0005-0000-0000-0000A3060000}"/>
    <cellStyle name="Texto explicativo 12" xfId="1062" xr:uid="{00000000-0005-0000-0000-0000A4060000}"/>
    <cellStyle name="Texto explicativo 12 2" xfId="1063" xr:uid="{00000000-0005-0000-0000-0000A5060000}"/>
    <cellStyle name="Texto explicativo 13" xfId="1064" xr:uid="{00000000-0005-0000-0000-0000A6060000}"/>
    <cellStyle name="Texto explicativo 13 2" xfId="1065" xr:uid="{00000000-0005-0000-0000-0000A7060000}"/>
    <cellStyle name="Texto explicativo 14" xfId="1066" xr:uid="{00000000-0005-0000-0000-0000A8060000}"/>
    <cellStyle name="Texto explicativo 14 2" xfId="1067" xr:uid="{00000000-0005-0000-0000-0000A9060000}"/>
    <cellStyle name="Texto explicativo 15" xfId="1057" xr:uid="{00000000-0005-0000-0000-0000AA060000}"/>
    <cellStyle name="Texto explicativo 2" xfId="1068" xr:uid="{00000000-0005-0000-0000-0000AB060000}"/>
    <cellStyle name="Texto explicativo 2 2" xfId="1069" xr:uid="{00000000-0005-0000-0000-0000AC060000}"/>
    <cellStyle name="Texto explicativo 3" xfId="1070" xr:uid="{00000000-0005-0000-0000-0000AD060000}"/>
    <cellStyle name="Texto explicativo 3 2" xfId="1071" xr:uid="{00000000-0005-0000-0000-0000AE060000}"/>
    <cellStyle name="Texto explicativo 4" xfId="1072" xr:uid="{00000000-0005-0000-0000-0000AF060000}"/>
    <cellStyle name="Texto explicativo 4 2" xfId="1073" xr:uid="{00000000-0005-0000-0000-0000B0060000}"/>
    <cellStyle name="Texto explicativo 5" xfId="1074" xr:uid="{00000000-0005-0000-0000-0000B1060000}"/>
    <cellStyle name="Texto explicativo 5 2" xfId="1075" xr:uid="{00000000-0005-0000-0000-0000B2060000}"/>
    <cellStyle name="Texto explicativo 6" xfId="1076" xr:uid="{00000000-0005-0000-0000-0000B3060000}"/>
    <cellStyle name="Texto explicativo 6 2" xfId="1077" xr:uid="{00000000-0005-0000-0000-0000B4060000}"/>
    <cellStyle name="Texto explicativo 7" xfId="1078" xr:uid="{00000000-0005-0000-0000-0000B5060000}"/>
    <cellStyle name="Texto explicativo 7 2" xfId="1079" xr:uid="{00000000-0005-0000-0000-0000B6060000}"/>
    <cellStyle name="Texto explicativo 8" xfId="1080" xr:uid="{00000000-0005-0000-0000-0000B7060000}"/>
    <cellStyle name="Texto explicativo 8 2" xfId="1081" xr:uid="{00000000-0005-0000-0000-0000B8060000}"/>
    <cellStyle name="Texto explicativo 9" xfId="1082" xr:uid="{00000000-0005-0000-0000-0000B9060000}"/>
    <cellStyle name="Texto explicativo 9 2" xfId="1083" xr:uid="{00000000-0005-0000-0000-0000BA060000}"/>
    <cellStyle name="Title" xfId="1084" xr:uid="{00000000-0005-0000-0000-0000BB060000}"/>
    <cellStyle name="Título 1 10" xfId="1086" xr:uid="{00000000-0005-0000-0000-0000BC060000}"/>
    <cellStyle name="Título 1 10 2" xfId="1087" xr:uid="{00000000-0005-0000-0000-0000BD060000}"/>
    <cellStyle name="Título 1 11" xfId="1088" xr:uid="{00000000-0005-0000-0000-0000BE060000}"/>
    <cellStyle name="Título 1 11 2" xfId="1089" xr:uid="{00000000-0005-0000-0000-0000BF060000}"/>
    <cellStyle name="Título 1 12" xfId="1090" xr:uid="{00000000-0005-0000-0000-0000C0060000}"/>
    <cellStyle name="Título 1 12 2" xfId="1091" xr:uid="{00000000-0005-0000-0000-0000C1060000}"/>
    <cellStyle name="Título 1 13" xfId="1092" xr:uid="{00000000-0005-0000-0000-0000C2060000}"/>
    <cellStyle name="Título 1 13 2" xfId="1093" xr:uid="{00000000-0005-0000-0000-0000C3060000}"/>
    <cellStyle name="Título 1 14" xfId="1094" xr:uid="{00000000-0005-0000-0000-0000C4060000}"/>
    <cellStyle name="Título 1 14 2" xfId="1095" xr:uid="{00000000-0005-0000-0000-0000C5060000}"/>
    <cellStyle name="Título 1 2" xfId="1096" xr:uid="{00000000-0005-0000-0000-0000C6060000}"/>
    <cellStyle name="Título 1 2 2" xfId="1097" xr:uid="{00000000-0005-0000-0000-0000C7060000}"/>
    <cellStyle name="Título 1 3" xfId="1098" xr:uid="{00000000-0005-0000-0000-0000C8060000}"/>
    <cellStyle name="Título 1 3 2" xfId="1099" xr:uid="{00000000-0005-0000-0000-0000C9060000}"/>
    <cellStyle name="Título 1 4" xfId="1100" xr:uid="{00000000-0005-0000-0000-0000CA060000}"/>
    <cellStyle name="Título 1 4 2" xfId="1101" xr:uid="{00000000-0005-0000-0000-0000CB060000}"/>
    <cellStyle name="Título 1 5" xfId="1102" xr:uid="{00000000-0005-0000-0000-0000CC060000}"/>
    <cellStyle name="Título 1 5 2" xfId="1103" xr:uid="{00000000-0005-0000-0000-0000CD060000}"/>
    <cellStyle name="Título 1 6" xfId="1104" xr:uid="{00000000-0005-0000-0000-0000CE060000}"/>
    <cellStyle name="Título 1 6 2" xfId="1105" xr:uid="{00000000-0005-0000-0000-0000CF060000}"/>
    <cellStyle name="Título 1 7" xfId="1106" xr:uid="{00000000-0005-0000-0000-0000D0060000}"/>
    <cellStyle name="Título 1 7 2" xfId="1107" xr:uid="{00000000-0005-0000-0000-0000D1060000}"/>
    <cellStyle name="Título 1 8" xfId="1108" xr:uid="{00000000-0005-0000-0000-0000D2060000}"/>
    <cellStyle name="Título 1 8 2" xfId="1109" xr:uid="{00000000-0005-0000-0000-0000D3060000}"/>
    <cellStyle name="Título 1 9" xfId="1110" xr:uid="{00000000-0005-0000-0000-0000D4060000}"/>
    <cellStyle name="Título 1 9 2" xfId="1111" xr:uid="{00000000-0005-0000-0000-0000D5060000}"/>
    <cellStyle name="Título 2 10" xfId="1113" xr:uid="{00000000-0005-0000-0000-0000D6060000}"/>
    <cellStyle name="Título 2 10 2" xfId="1114" xr:uid="{00000000-0005-0000-0000-0000D7060000}"/>
    <cellStyle name="Título 2 11" xfId="1115" xr:uid="{00000000-0005-0000-0000-0000D8060000}"/>
    <cellStyle name="Título 2 11 2" xfId="1116" xr:uid="{00000000-0005-0000-0000-0000D9060000}"/>
    <cellStyle name="Título 2 12" xfId="1117" xr:uid="{00000000-0005-0000-0000-0000DA060000}"/>
    <cellStyle name="Título 2 12 2" xfId="1118" xr:uid="{00000000-0005-0000-0000-0000DB060000}"/>
    <cellStyle name="Título 2 13" xfId="1119" xr:uid="{00000000-0005-0000-0000-0000DC060000}"/>
    <cellStyle name="Título 2 13 2" xfId="1120" xr:uid="{00000000-0005-0000-0000-0000DD060000}"/>
    <cellStyle name="Título 2 14" xfId="1121" xr:uid="{00000000-0005-0000-0000-0000DE060000}"/>
    <cellStyle name="Título 2 14 2" xfId="1122" xr:uid="{00000000-0005-0000-0000-0000DF060000}"/>
    <cellStyle name="Título 2 15" xfId="1112" xr:uid="{00000000-0005-0000-0000-0000E0060000}"/>
    <cellStyle name="Título 2 2" xfId="1123" xr:uid="{00000000-0005-0000-0000-0000E1060000}"/>
    <cellStyle name="Título 2 2 2" xfId="1124" xr:uid="{00000000-0005-0000-0000-0000E2060000}"/>
    <cellStyle name="Título 2 3" xfId="1125" xr:uid="{00000000-0005-0000-0000-0000E3060000}"/>
    <cellStyle name="Título 2 3 2" xfId="1126" xr:uid="{00000000-0005-0000-0000-0000E4060000}"/>
    <cellStyle name="Título 2 4" xfId="1127" xr:uid="{00000000-0005-0000-0000-0000E5060000}"/>
    <cellStyle name="Título 2 4 2" xfId="1128" xr:uid="{00000000-0005-0000-0000-0000E6060000}"/>
    <cellStyle name="Título 2 5" xfId="1129" xr:uid="{00000000-0005-0000-0000-0000E7060000}"/>
    <cellStyle name="Título 2 5 2" xfId="1130" xr:uid="{00000000-0005-0000-0000-0000E8060000}"/>
    <cellStyle name="Título 2 6" xfId="1131" xr:uid="{00000000-0005-0000-0000-0000E9060000}"/>
    <cellStyle name="Título 2 6 2" xfId="1132" xr:uid="{00000000-0005-0000-0000-0000EA060000}"/>
    <cellStyle name="Título 2 7" xfId="1133" xr:uid="{00000000-0005-0000-0000-0000EB060000}"/>
    <cellStyle name="Título 2 7 2" xfId="1134" xr:uid="{00000000-0005-0000-0000-0000EC060000}"/>
    <cellStyle name="Título 2 8" xfId="1135" xr:uid="{00000000-0005-0000-0000-0000ED060000}"/>
    <cellStyle name="Título 2 8 2" xfId="1136" xr:uid="{00000000-0005-0000-0000-0000EE060000}"/>
    <cellStyle name="Título 2 9" xfId="1137" xr:uid="{00000000-0005-0000-0000-0000EF060000}"/>
    <cellStyle name="Título 2 9 2" xfId="1138" xr:uid="{00000000-0005-0000-0000-0000F0060000}"/>
    <cellStyle name="Título 3 10" xfId="1140" xr:uid="{00000000-0005-0000-0000-0000F1060000}"/>
    <cellStyle name="Título 3 10 2" xfId="1141" xr:uid="{00000000-0005-0000-0000-0000F2060000}"/>
    <cellStyle name="Título 3 11" xfId="1142" xr:uid="{00000000-0005-0000-0000-0000F3060000}"/>
    <cellStyle name="Título 3 11 2" xfId="1143" xr:uid="{00000000-0005-0000-0000-0000F4060000}"/>
    <cellStyle name="Título 3 12" xfId="1144" xr:uid="{00000000-0005-0000-0000-0000F5060000}"/>
    <cellStyle name="Título 3 12 2" xfId="1145" xr:uid="{00000000-0005-0000-0000-0000F6060000}"/>
    <cellStyle name="Título 3 13" xfId="1146" xr:uid="{00000000-0005-0000-0000-0000F7060000}"/>
    <cellStyle name="Título 3 13 2" xfId="1147" xr:uid="{00000000-0005-0000-0000-0000F8060000}"/>
    <cellStyle name="Título 3 14" xfId="1148" xr:uid="{00000000-0005-0000-0000-0000F9060000}"/>
    <cellStyle name="Título 3 14 2" xfId="1149" xr:uid="{00000000-0005-0000-0000-0000FA060000}"/>
    <cellStyle name="Título 3 15" xfId="1139" xr:uid="{00000000-0005-0000-0000-0000FB060000}"/>
    <cellStyle name="Título 3 2" xfId="1150" xr:uid="{00000000-0005-0000-0000-0000FC060000}"/>
    <cellStyle name="Título 3 2 2" xfId="1151" xr:uid="{00000000-0005-0000-0000-0000FD060000}"/>
    <cellStyle name="Título 3 3" xfId="1152" xr:uid="{00000000-0005-0000-0000-0000FE060000}"/>
    <cellStyle name="Título 3 3 2" xfId="1153" xr:uid="{00000000-0005-0000-0000-0000FF060000}"/>
    <cellStyle name="Título 3 4" xfId="1154" xr:uid="{00000000-0005-0000-0000-000000070000}"/>
    <cellStyle name="Título 3 4 2" xfId="1155" xr:uid="{00000000-0005-0000-0000-000001070000}"/>
    <cellStyle name="Título 3 5" xfId="1156" xr:uid="{00000000-0005-0000-0000-000002070000}"/>
    <cellStyle name="Título 3 5 2" xfId="1157" xr:uid="{00000000-0005-0000-0000-000003070000}"/>
    <cellStyle name="Título 3 6" xfId="1158" xr:uid="{00000000-0005-0000-0000-000004070000}"/>
    <cellStyle name="Título 3 6 2" xfId="1159" xr:uid="{00000000-0005-0000-0000-000005070000}"/>
    <cellStyle name="Título 3 7" xfId="1160" xr:uid="{00000000-0005-0000-0000-000006070000}"/>
    <cellStyle name="Título 3 7 2" xfId="1161" xr:uid="{00000000-0005-0000-0000-000007070000}"/>
    <cellStyle name="Título 3 8" xfId="1162" xr:uid="{00000000-0005-0000-0000-000008070000}"/>
    <cellStyle name="Título 3 8 2" xfId="1163" xr:uid="{00000000-0005-0000-0000-000009070000}"/>
    <cellStyle name="Título 3 9" xfId="1164" xr:uid="{00000000-0005-0000-0000-00000A070000}"/>
    <cellStyle name="Título 3 9 2" xfId="1165" xr:uid="{00000000-0005-0000-0000-00000B070000}"/>
    <cellStyle name="Título 4" xfId="1085" xr:uid="{00000000-0005-0000-0000-00000C070000}"/>
    <cellStyle name="Título 5" xfId="3101" xr:uid="{CC064C32-3D1B-4103-BA0D-5A1E4569B53A}"/>
    <cellStyle name="Total 10" xfId="1167" xr:uid="{00000000-0005-0000-0000-00000D070000}"/>
    <cellStyle name="Total 10 2" xfId="1168" xr:uid="{00000000-0005-0000-0000-00000E070000}"/>
    <cellStyle name="Total 11" xfId="1169" xr:uid="{00000000-0005-0000-0000-00000F070000}"/>
    <cellStyle name="Total 11 2" xfId="1170" xr:uid="{00000000-0005-0000-0000-000010070000}"/>
    <cellStyle name="Total 12" xfId="1171" xr:uid="{00000000-0005-0000-0000-000011070000}"/>
    <cellStyle name="Total 12 2" xfId="1172" xr:uid="{00000000-0005-0000-0000-000012070000}"/>
    <cellStyle name="Total 13" xfId="1173" xr:uid="{00000000-0005-0000-0000-000013070000}"/>
    <cellStyle name="Total 13 2" xfId="1174" xr:uid="{00000000-0005-0000-0000-000014070000}"/>
    <cellStyle name="Total 14" xfId="1175" xr:uid="{00000000-0005-0000-0000-000015070000}"/>
    <cellStyle name="Total 14 2" xfId="1176" xr:uid="{00000000-0005-0000-0000-000016070000}"/>
    <cellStyle name="Total 15" xfId="1166" xr:uid="{00000000-0005-0000-0000-000017070000}"/>
    <cellStyle name="Total 2" xfId="1177" xr:uid="{00000000-0005-0000-0000-000018070000}"/>
    <cellStyle name="Total 2 2" xfId="1178" xr:uid="{00000000-0005-0000-0000-000019070000}"/>
    <cellStyle name="Total 3" xfId="1179" xr:uid="{00000000-0005-0000-0000-00001A070000}"/>
    <cellStyle name="Total 3 2" xfId="1180" xr:uid="{00000000-0005-0000-0000-00001B070000}"/>
    <cellStyle name="Total 4" xfId="1181" xr:uid="{00000000-0005-0000-0000-00001C070000}"/>
    <cellStyle name="Total 4 2" xfId="1182" xr:uid="{00000000-0005-0000-0000-00001D070000}"/>
    <cellStyle name="Total 5" xfId="1183" xr:uid="{00000000-0005-0000-0000-00001E070000}"/>
    <cellStyle name="Total 5 2" xfId="1184" xr:uid="{00000000-0005-0000-0000-00001F070000}"/>
    <cellStyle name="Total 6" xfId="1185" xr:uid="{00000000-0005-0000-0000-000020070000}"/>
    <cellStyle name="Total 6 2" xfId="1186" xr:uid="{00000000-0005-0000-0000-000021070000}"/>
    <cellStyle name="Total 7" xfId="1187" xr:uid="{00000000-0005-0000-0000-000022070000}"/>
    <cellStyle name="Total 7 2" xfId="1188" xr:uid="{00000000-0005-0000-0000-000023070000}"/>
    <cellStyle name="Total 8" xfId="1189" xr:uid="{00000000-0005-0000-0000-000024070000}"/>
    <cellStyle name="Total 8 2" xfId="1190" xr:uid="{00000000-0005-0000-0000-000025070000}"/>
    <cellStyle name="Total 9" xfId="1191" xr:uid="{00000000-0005-0000-0000-000026070000}"/>
    <cellStyle name="Total 9 2" xfId="1192" xr:uid="{00000000-0005-0000-0000-000027070000}"/>
    <cellStyle name="Warning Text" xfId="1193" xr:uid="{00000000-0005-0000-0000-000028070000}"/>
  </cellStyles>
  <dxfs count="12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169" formatCode="_-* #,##0.0_-;\-* #,##0.0_-;_-* &quot;-&quot;??_-;_-@_-"/>
    </dxf>
    <dxf>
      <numFmt numFmtId="169" formatCode="_-* #,##0.0_-;\-* #,##0.0_-;_-* &quot;-&quot;??_-;_-@_-"/>
    </dxf>
    <dxf>
      <numFmt numFmtId="169" formatCode="_-* #,##0.0_-;\-* #,##0.0_-;_-* &quot;-&quot;??_-;_-@_-"/>
    </dxf>
    <dxf>
      <numFmt numFmtId="170" formatCode="_-* #,##0_-;\-* #,##0_-;_-* &quot;-&quot;??_-;_-@_-"/>
    </dxf>
    <dxf>
      <numFmt numFmtId="170" formatCode="_-* #,##0_-;\-* #,##0_-;_-* &quot;-&quot;??_-;_-@_-"/>
    </dxf>
    <dxf>
      <numFmt numFmtId="170" formatCode="_-* #,##0_-;\-* #,##0_-;_-* &quot;-&quot;??_-;_-@_-"/>
    </dxf>
    <dxf>
      <numFmt numFmtId="169" formatCode="_-* #,##0.0_-;\-* #,##0.0_-;_-* &quot;-&quot;??_-;_-@_-"/>
    </dxf>
    <dxf>
      <numFmt numFmtId="169" formatCode="_-* #,##0.0_-;\-* #,##0.0_-;_-* &quot;-&quot;??_-;_-@_-"/>
    </dxf>
    <dxf>
      <numFmt numFmtId="169" formatCode="_-* #,##0.0_-;\-* #,##0.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8" formatCode="_-* #,##0.000_-;\-* #,##0.000_-;_-* &quot;-&quot;??_-;_-@_-"/>
    </dxf>
    <dxf>
      <numFmt numFmtId="35" formatCode="_-* #,##0.00_-;\-* #,##0.00_-;_-* &quot;-&quot;??_-;_-@_-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</dxfs>
  <tableStyles count="0" defaultTableStyle="TableStyleMedium2" defaultPivotStyle="PivotStyleLight16"/>
  <colors>
    <mruColors>
      <color rgb="FF33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28015</xdr:colOff>
      <xdr:row>0</xdr:row>
      <xdr:rowOff>180975</xdr:rowOff>
    </xdr:from>
    <xdr:to>
      <xdr:col>2</xdr:col>
      <xdr:colOff>102534</xdr:colOff>
      <xdr:row>2</xdr:row>
      <xdr:rowOff>159975</xdr:rowOff>
    </xdr:to>
    <xdr:sp macro="[0]!ACTUALIZ270317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96103" y="180975"/>
          <a:ext cx="1228725" cy="3600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ACTUALIZA</a:t>
          </a:r>
        </a:p>
      </xdr:txBody>
    </xdr:sp>
    <xdr:clientData/>
  </xdr:twoCellAnchor>
  <xdr:twoCellAnchor>
    <xdr:from>
      <xdr:col>4</xdr:col>
      <xdr:colOff>1002927</xdr:colOff>
      <xdr:row>0</xdr:row>
      <xdr:rowOff>176492</xdr:rowOff>
    </xdr:from>
    <xdr:to>
      <xdr:col>4</xdr:col>
      <xdr:colOff>2231652</xdr:colOff>
      <xdr:row>2</xdr:row>
      <xdr:rowOff>155492</xdr:rowOff>
    </xdr:to>
    <xdr:sp macro="[0]!_xludf.CLEAN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305986" y="176492"/>
          <a:ext cx="1228725" cy="3600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BORRA</a:t>
          </a:r>
        </a:p>
      </xdr:txBody>
    </xdr:sp>
    <xdr:clientData/>
  </xdr:twoCellAnchor>
  <xdr:twoCellAnchor>
    <xdr:from>
      <xdr:col>3</xdr:col>
      <xdr:colOff>739587</xdr:colOff>
      <xdr:row>0</xdr:row>
      <xdr:rowOff>179294</xdr:rowOff>
    </xdr:from>
    <xdr:to>
      <xdr:col>4</xdr:col>
      <xdr:colOff>493058</xdr:colOff>
      <xdr:row>2</xdr:row>
      <xdr:rowOff>158294</xdr:rowOff>
    </xdr:to>
    <xdr:sp macro="[0]!Contratos" textlink="">
      <xdr:nvSpPr>
        <xdr:cNvPr id="4" name="2 Rectángulo redondeado">
          <a:extLst>
            <a:ext uri="{FF2B5EF4-FFF2-40B4-BE49-F238E27FC236}">
              <a16:creationId xmlns:a16="http://schemas.microsoft.com/office/drawing/2014/main" id="{07359E2C-EA48-4E6B-9F13-A2D928828B2F}"/>
            </a:ext>
          </a:extLst>
        </xdr:cNvPr>
        <xdr:cNvSpPr/>
      </xdr:nvSpPr>
      <xdr:spPr>
        <a:xfrm>
          <a:off x="3496234" y="179294"/>
          <a:ext cx="1299883" cy="3600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CONTRATOS</a:t>
          </a:r>
        </a:p>
      </xdr:txBody>
    </xdr:sp>
    <xdr:clientData/>
  </xdr:twoCellAnchor>
  <xdr:twoCellAnchor>
    <xdr:from>
      <xdr:col>2</xdr:col>
      <xdr:colOff>432547</xdr:colOff>
      <xdr:row>0</xdr:row>
      <xdr:rowOff>186017</xdr:rowOff>
    </xdr:from>
    <xdr:to>
      <xdr:col>3</xdr:col>
      <xdr:colOff>298077</xdr:colOff>
      <xdr:row>2</xdr:row>
      <xdr:rowOff>165017</xdr:rowOff>
    </xdr:to>
    <xdr:sp macro="[0]!CargaManual" textlink="">
      <xdr:nvSpPr>
        <xdr:cNvPr id="5" name="2 Rectángulo redondeado">
          <a:extLst>
            <a:ext uri="{FF2B5EF4-FFF2-40B4-BE49-F238E27FC236}">
              <a16:creationId xmlns:a16="http://schemas.microsoft.com/office/drawing/2014/main" id="{BAD40DB8-6DE5-42C7-BC19-876D8FC2040E}"/>
            </a:ext>
          </a:extLst>
        </xdr:cNvPr>
        <xdr:cNvSpPr/>
      </xdr:nvSpPr>
      <xdr:spPr>
        <a:xfrm>
          <a:off x="1754841" y="186017"/>
          <a:ext cx="1299883" cy="3600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MANUAL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los Alberto" refreshedDate="45419.771173032408" createdVersion="4" refreshedVersion="8" minRefreshableVersion="3" recordCount="447" xr:uid="{00000000-000A-0000-FFFF-FFFF84000000}">
  <cacheSource type="worksheet">
    <worksheetSource ref="A2:H9453" sheet="PENDIENTES"/>
  </cacheSource>
  <cacheFields count="8">
    <cacheField name="Tipo Fondo" numFmtId="0">
      <sharedItems containsBlank="1" containsMixedTypes="1" containsNumber="1" containsInteger="1" minValue="0" maxValue="0"/>
    </cacheField>
    <cacheField name="Admon" numFmtId="0">
      <sharedItems containsBlank="1" containsMixedTypes="1" containsNumber="1" containsInteger="1" minValue="0" maxValue="0"/>
    </cacheField>
    <cacheField name="Contrato" numFmtId="0">
      <sharedItems containsString="0" containsBlank="1" containsNumber="1" containsInteger="1" minValue="117" maxValue="65509560457" count="252">
        <n v="65501387259"/>
        <m/>
        <n v="1033796"/>
        <n v="80820"/>
        <n v="154702"/>
        <n v="2000569"/>
        <n v="2000722"/>
        <n v="2000469"/>
        <n v="2001049"/>
        <n v="65507528400"/>
        <n v="65507671187"/>
        <n v="65507684389"/>
        <n v="2000216"/>
        <n v="2000219"/>
        <n v="78665"/>
        <n v="1012259"/>
        <n v="1012260"/>
        <n v="1033545"/>
        <n v="1033546"/>
        <n v="2000182"/>
        <n v="2000183"/>
        <n v="2000217"/>
        <n v="2000218"/>
        <n v="2000423"/>
        <n v="2000424"/>
        <n v="2001046"/>
        <n v="2001047"/>
        <n v="1000002861"/>
        <n v="1037124"/>
        <n v="1037085"/>
        <n v="1037086"/>
        <n v="1037090"/>
        <n v="1037113"/>
        <n v="1037117"/>
        <n v="1037118"/>
        <n v="2000220"/>
        <n v="2000221"/>
        <n v="2001050"/>
        <n v="1000003291"/>
        <n v="1000003292"/>
        <n v="1000003293"/>
        <n v="1000003295"/>
        <n v="1000003297"/>
        <n v="1000003298"/>
        <n v="1000003299"/>
        <n v="1000003302"/>
        <n v="1033798" u="1"/>
        <n v="65501902345" u="1"/>
        <n v="2000467" u="1"/>
        <n v="1000003296" u="1"/>
        <n v="147309" u="1"/>
        <n v="147311" u="1"/>
        <n v="147314" u="1"/>
        <n v="65502313952" u="1"/>
        <n v="147313" u="1"/>
        <n v="147310" u="1"/>
        <n v="147312" u="1"/>
        <n v="152965" u="1"/>
        <n v="1037924" u="1"/>
        <n v="1037115" u="1"/>
        <n v="1000003300" u="1"/>
        <n v="1000003301" u="1"/>
        <n v="1000003305" u="1"/>
        <n v="2000581" u="1"/>
        <n v="1000002677" u="1"/>
        <n v="1000003633" u="1"/>
        <n v="152971" u="1"/>
        <n v="152974" u="1"/>
        <n v="152976" u="1"/>
        <n v="152979" u="1"/>
        <n v="152981" u="1"/>
        <n v="152983" u="1"/>
        <n v="1031340" u="1"/>
        <n v="1000003294" u="1"/>
        <n v="65508881201" u="1"/>
        <n v="1037925" u="1"/>
        <n v="1036691" u="1"/>
        <n v="1037923" u="1"/>
        <n v="1018867" u="1"/>
        <n v="65508886089" u="1"/>
        <n v="80862" u="1"/>
        <n v="1010401" u="1"/>
        <n v="503967" u="1"/>
        <n v="2000803" u="1"/>
        <n v="73618" u="1"/>
        <n v="1005849" u="1"/>
        <n v="1020023" u="1"/>
        <n v="2000808" u="1"/>
        <n v="142518" u="1"/>
        <n v="2000809" u="1"/>
        <n v="2000810" u="1"/>
        <n v="152869" u="1"/>
        <n v="2000811" u="1"/>
        <n v="1020025" u="1"/>
        <n v="2000812" u="1"/>
        <n v="1020026" u="1"/>
        <n v="1020027" u="1"/>
        <n v="1020029" u="1"/>
        <n v="1026370" u="1"/>
        <n v="1032901" u="1"/>
        <n v="2000465" u="1"/>
        <n v="2000466" u="1"/>
        <n v="1020040" u="1"/>
        <n v="2000470" u="1"/>
        <n v="157862" u="1"/>
        <n v="65503863624" u="1"/>
        <n v="2000848" u="1"/>
        <n v="2000849" u="1"/>
        <n v="2000480" u="1"/>
        <n v="65504052011" u="1"/>
        <n v="71313" u="1"/>
        <n v="2000486" u="1"/>
        <n v="65503562246" u="1"/>
        <n v="2000863" u="1"/>
        <n v="65509560426" u="1"/>
        <n v="1008496" u="1"/>
        <n v="2000135" u="1"/>
        <n v="142481" u="1"/>
        <n v="556424" u="1"/>
        <n v="1031627" u="1"/>
        <n v="77703" u="1"/>
        <n v="1018014" u="1"/>
        <n v="142482" u="1"/>
        <n v="1031629" u="1"/>
        <n v="2000522" u="1"/>
        <n v="2000152" u="1"/>
        <n v="65504667724" u="1"/>
        <n v="156331" u="1"/>
        <n v="2000905" u="1"/>
        <n v="1032381" u="1"/>
        <n v="2000534" u="1"/>
        <n v="1032382" u="1"/>
        <n v="65505283360" u="1"/>
        <n v="65501372909" u="1"/>
        <n v="1012617" u="1"/>
        <n v="531448" u="1"/>
        <n v="1024556" u="1"/>
        <n v="4031" u="1"/>
        <n v="77705" u="1"/>
        <n v="2000926" u="1"/>
        <n v="2000928" u="1"/>
        <n v="1013187" u="1"/>
        <n v="65501293805" u="1"/>
        <n v="2000938" u="1"/>
        <n v="65507430562" u="1"/>
        <n v="2000570" u="1"/>
        <n v="65509560409" u="1"/>
        <n v="2000571" u="1"/>
        <n v="2000572" u="1"/>
        <n v="2000573" u="1"/>
        <n v="2000574" u="1"/>
        <n v="75655" u="1"/>
        <n v="2000575" u="1"/>
        <n v="2000576" u="1"/>
        <n v="117" u="1"/>
        <n v="2000204" u="1"/>
        <n v="2000577" u="1"/>
        <n v="73627" u="1"/>
        <n v="2000205" u="1"/>
        <n v="2000206" u="1"/>
        <n v="65505569851" u="1"/>
        <n v="65505283448" u="1"/>
        <n v="2000597" u="1"/>
        <n v="65505285253" u="1"/>
        <n v="65508989338" u="1"/>
        <n v="1018991" u="1"/>
        <n v="2000238" u="1"/>
        <n v="2000239" u="1"/>
        <n v="2000240" u="1"/>
        <n v="540994" u="1"/>
        <n v="2000241" u="1"/>
        <n v="1036525" u="1"/>
        <n v="1036526" u="1"/>
        <n v="1033543" u="1"/>
        <n v="1036527" u="1"/>
        <n v="1037087" u="1"/>
        <n v="75145" u="1"/>
        <n v="1033544" u="1"/>
        <n v="1036528" u="1"/>
        <n v="156622" u="1"/>
        <n v="1018811" u="1"/>
        <n v="65507052294" u="1"/>
        <n v="1036529" u="1"/>
        <n v="65503863610" u="1"/>
        <n v="65507665273" u="1"/>
        <n v="1036530" u="1"/>
        <n v="79971" u="1"/>
        <n v="1014710" u="1"/>
        <n v="71532" u="1"/>
        <n v="1013407" u="1"/>
        <n v="2001004" u="1"/>
        <n v="65502222299" u="1"/>
        <n v="78666" u="1"/>
        <n v="65509560457" u="1"/>
        <n v="75146" u="1"/>
        <n v="1036723" u="1"/>
        <n v="2001012" u="1"/>
        <n v="1036724" u="1"/>
        <n v="2000641" u="1"/>
        <n v="2000642" u="1"/>
        <n v="79296" u="1"/>
        <n v="1022367" u="1"/>
        <n v="75170" u="1"/>
        <n v="2001022" u="1"/>
        <n v="65507408917" u="1"/>
        <n v="69902" u="1"/>
        <n v="544000" u="1"/>
        <n v="65505216453" u="1"/>
        <n v="1021441" u="1"/>
        <n v="71535" u="1"/>
        <n v="69880" u="1"/>
        <n v="147492" u="1"/>
        <n v="1031341" u="1"/>
        <n v="65503863638" u="1"/>
        <n v="65503691935" u="1"/>
        <n v="2000697" u="1"/>
        <n v="65507052277" u="1"/>
        <n v="81119" u="1"/>
        <n v="1018302" u="1"/>
        <n v="2000724" u="1"/>
        <n v="2000725" u="1"/>
        <n v="159246" u="1"/>
        <n v="67715" u="1"/>
        <n v="1031547" u="1"/>
        <n v="2000730" u="1"/>
        <n v="1031548" u="1"/>
        <n v="2000732" u="1"/>
        <n v="2000733" u="1"/>
        <n v="1002455" u="1"/>
        <n v="1031549" u="1"/>
        <n v="1018122" u="1"/>
        <n v="1031550" u="1"/>
        <n v="2000736" u="1"/>
        <n v="1031551" u="1"/>
        <n v="1033795" u="1"/>
        <n v="2000385" u="1"/>
        <n v="65502425394" u="1"/>
        <n v="65503851337" u="1"/>
        <n v="65505283309" u="1"/>
        <n v="1032873" u="1"/>
        <n v="566810" u="1"/>
        <n v="1032128" u="1"/>
        <n v="2000776" u="1"/>
        <n v="2000777" u="1"/>
        <n v="2000778" u="1"/>
        <n v="2000779" u="1"/>
        <n v="2000780" u="1"/>
        <n v="64972" u="1"/>
        <n v="1033811" u="1"/>
        <n v="65507052215" u="1"/>
        <n v="65509560443" u="1"/>
        <n v="2000795" u="1"/>
      </sharedItems>
    </cacheField>
    <cacheField name="Cliente" numFmtId="0">
      <sharedItems containsBlank="1"/>
    </cacheField>
    <cacheField name="Sdo. Cto Inversión" numFmtId="0">
      <sharedItems containsString="0" containsBlank="1" containsNumber="1" minValue="-103140348.26000001" maxValue="4812430.88"/>
    </cacheField>
    <cacheField name="Sdo. RK" numFmtId="0">
      <sharedItems containsString="0" containsBlank="1" containsNumber="1" minValue="0" maxValue="1828029.32"/>
    </cacheField>
    <cacheField name="Diferencia" numFmtId="0">
      <sharedItems containsString="0" containsBlank="1" containsNumber="1" minValue="-103140348.26000001" maxValue="4812430.88"/>
    </cacheField>
    <cacheField name="Observacion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los Alberto" refreshedDate="45419.77117349537" createdVersion="4" refreshedVersion="8" minRefreshableVersion="3" recordCount="2000" xr:uid="{00000000-000A-0000-FFFF-FFFF85000000}">
  <cacheSource type="worksheet">
    <worksheetSource ref="B5:S2005" sheet="FONT"/>
  </cacheSource>
  <cacheFields count="18">
    <cacheField name="Contrato" numFmtId="0">
      <sharedItems containsSemiMixedTypes="0" containsString="0" containsNumber="1" containsInteger="1" minValue="3373" maxValue="65509890276" count="433">
        <n v="1000001249"/>
        <n v="1000001573"/>
        <n v="1000001940"/>
        <n v="1000002191"/>
        <n v="1000002677"/>
        <n v="1000002861"/>
        <n v="1000003291"/>
        <n v="1000003292"/>
        <n v="1000003293"/>
        <n v="1000003294"/>
        <n v="1000003295"/>
        <n v="1000003296"/>
        <n v="1000003297"/>
        <n v="1000003298"/>
        <n v="1000003299"/>
        <n v="1000003300"/>
        <n v="1000003301"/>
        <n v="1000003302"/>
        <n v="1000003305"/>
        <n v="1000003307"/>
        <n v="1000003315"/>
        <n v="1000003633"/>
        <n v="1005849"/>
        <n v="1006090"/>
        <n v="1008774"/>
        <n v="1008775"/>
        <n v="1008776"/>
        <n v="1010322"/>
        <n v="1010401"/>
        <n v="1012259"/>
        <n v="1012260"/>
        <n v="1013187"/>
        <n v="1013407"/>
        <n v="1014057"/>
        <n v="1015460"/>
        <n v="1015473"/>
        <n v="1015474"/>
        <n v="1018694"/>
        <n v="1018695"/>
        <n v="1018867"/>
        <n v="1018997"/>
        <n v="1020027"/>
        <n v="1020029"/>
        <n v="1020040"/>
        <n v="1021018"/>
        <n v="1021427"/>
        <n v="1024556"/>
        <n v="1024836"/>
        <n v="1028703"/>
        <n v="1031340"/>
        <n v="1031341"/>
        <n v="1031627"/>
        <n v="1031629"/>
        <n v="1032436"/>
        <n v="1032437"/>
        <n v="1032438"/>
        <n v="1032439"/>
        <n v="1032440"/>
        <n v="1032441"/>
        <n v="1032442"/>
        <n v="1032443"/>
        <n v="1032445"/>
        <n v="1032446"/>
        <n v="1032746"/>
        <n v="1032747"/>
        <n v="1032902"/>
        <n v="1033543"/>
        <n v="1033544"/>
        <n v="1033545"/>
        <n v="1033546"/>
        <n v="1033795"/>
        <n v="1033796"/>
        <n v="1033811"/>
        <n v="1034042"/>
        <n v="1034700"/>
        <n v="1036525"/>
        <n v="1036526"/>
        <n v="1036527"/>
        <n v="1036528"/>
        <n v="1036529"/>
        <n v="1036530"/>
        <n v="1036613"/>
        <n v="1036691"/>
        <n v="1036723"/>
        <n v="1036724"/>
        <n v="1036731"/>
        <n v="1037085"/>
        <n v="1037086"/>
        <n v="1037087"/>
        <n v="1037090"/>
        <n v="1037097"/>
        <n v="1037109"/>
        <n v="1037113"/>
        <n v="1037115"/>
        <n v="1037117"/>
        <n v="1037118"/>
        <n v="1037124"/>
        <n v="1037125"/>
        <n v="1037540"/>
        <n v="1037923"/>
        <n v="1037925"/>
        <n v="1038853"/>
        <n v="143510"/>
        <n v="147309"/>
        <n v="147310"/>
        <n v="147311"/>
        <n v="147312"/>
        <n v="147313"/>
        <n v="147314"/>
        <n v="147491"/>
        <n v="147492"/>
        <n v="152965"/>
        <n v="152971"/>
        <n v="152974"/>
        <n v="152976"/>
        <n v="152979"/>
        <n v="152981"/>
        <n v="152983"/>
        <n v="153030"/>
        <n v="156622"/>
        <n v="159246"/>
        <n v="3373"/>
        <n v="65500498081"/>
        <n v="65501285111"/>
        <n v="65501372909"/>
        <n v="65501387259"/>
        <n v="65501902345"/>
        <n v="65502128155"/>
        <n v="65502262917"/>
        <n v="65502313952"/>
        <n v="65502334887"/>
        <n v="65502397418"/>
        <n v="65502425394"/>
        <n v="65502898380"/>
        <n v="65502898437"/>
        <n v="65503040718"/>
        <n v="65503071575"/>
        <n v="65503523505"/>
        <n v="65503525966"/>
        <n v="65503691935"/>
        <n v="65503867094"/>
        <n v="65504832250"/>
        <n v="65505285253"/>
        <n v="65505597846"/>
        <n v="65506131264"/>
        <n v="65507052215"/>
        <n v="65507052277"/>
        <n v="65507052294"/>
        <n v="65507142173"/>
        <n v="65507143699"/>
        <n v="65507143745"/>
        <n v="65507298252"/>
        <n v="65507430562"/>
        <n v="65507504761"/>
        <n v="65507528155"/>
        <n v="65507528400"/>
        <n v="65507671187"/>
        <n v="65507684270"/>
        <n v="65507684389"/>
        <n v="65507747706"/>
        <n v="65507895505"/>
        <n v="65508702490"/>
        <n v="65508881201"/>
        <n v="65508886089"/>
        <n v="65508888184"/>
        <n v="65508989338"/>
        <n v="65509560409"/>
        <n v="65509560426"/>
        <n v="65509560443"/>
        <n v="65509560457"/>
        <n v="65509889998"/>
        <n v="65509890080"/>
        <n v="65509890154"/>
        <n v="65509890276"/>
        <n v="1002455"/>
        <n v="1008777"/>
        <n v="1008778"/>
        <n v="1018014"/>
        <n v="1018122"/>
        <n v="1018302"/>
        <n v="142481"/>
        <n v="142482"/>
        <n v="2000123"/>
        <n v="2000146"/>
        <n v="2000182"/>
        <n v="2000183"/>
        <n v="2000216"/>
        <n v="2000217"/>
        <n v="2000218"/>
        <n v="2000219"/>
        <n v="2000220"/>
        <n v="2000221"/>
        <n v="2000301"/>
        <n v="2000302"/>
        <n v="2000402"/>
        <n v="2000423"/>
        <n v="2000424"/>
        <n v="2000465"/>
        <n v="2000467"/>
        <n v="2000513"/>
        <n v="2000534"/>
        <n v="2000554"/>
        <n v="2000569"/>
        <n v="2000574"/>
        <n v="2000575"/>
        <n v="2000576"/>
        <n v="2000577"/>
        <n v="2000579"/>
        <n v="2000581"/>
        <n v="2000597"/>
        <n v="2000722"/>
        <n v="2000724"/>
        <n v="2000725"/>
        <n v="2000730"/>
        <n v="2000739"/>
        <n v="2000776"/>
        <n v="2000777"/>
        <n v="2000778"/>
        <n v="2000791"/>
        <n v="2000795"/>
        <n v="2000905"/>
        <n v="2000926"/>
        <n v="2000927"/>
        <n v="2000928"/>
        <n v="2000941"/>
        <n v="2000942"/>
        <n v="2000947"/>
        <n v="2001046"/>
        <n v="2001047"/>
        <n v="2001049"/>
        <n v="2001050"/>
        <n v="2001140"/>
        <n v="2001141"/>
        <n v="2001142"/>
        <n v="2111039"/>
        <n v="2111047"/>
        <n v="2141256"/>
        <n v="2141264"/>
        <n v="420310"/>
        <n v="536741"/>
        <n v="541079"/>
        <n v="59181"/>
        <n v="64518"/>
        <n v="65723"/>
        <n v="71358"/>
        <n v="71610"/>
        <n v="72636"/>
        <n v="72637"/>
        <n v="75016"/>
        <n v="75017"/>
        <n v="75218"/>
        <n v="75219"/>
        <n v="75220"/>
        <n v="75221"/>
        <n v="75222"/>
        <n v="75223"/>
        <n v="75224"/>
        <n v="75225"/>
        <n v="75226"/>
        <n v="75227"/>
        <n v="75228"/>
        <n v="77704"/>
        <n v="78665"/>
        <n v="78666"/>
        <n v="78669"/>
        <n v="79041"/>
        <n v="79042"/>
        <n v="79043"/>
        <n v="79044"/>
        <n v="79045"/>
        <n v="79046"/>
        <n v="80862"/>
        <n v="65503598021" u="1"/>
        <n v="65505283360" u="1"/>
        <n v="1022053" u="1"/>
        <n v="153037" u="1"/>
        <n v="2000466" u="1"/>
        <n v="65504624585" u="1"/>
        <n v="540994" u="1"/>
        <n v="71312" u="1"/>
        <n v="75146" u="1"/>
        <n v="65503597884" u="1"/>
        <n v="65503863624" u="1"/>
        <n v="1037924" u="1"/>
        <n v="2000469" u="1"/>
        <n v="65503598109" u="1"/>
        <n v="81119" u="1"/>
        <n v="2000470" u="1"/>
        <n v="152869" u="1"/>
        <n v="2000471" u="1"/>
        <n v="65506646784" u="1"/>
        <n v="65507665273" u="1"/>
        <n v="1008496" u="1"/>
        <n v="65507408917" u="1"/>
        <n v="80742" u="1"/>
        <n v="65505673926" u="1"/>
        <n v="531448" u="1"/>
        <n v="65502222299" u="1"/>
        <n v="65507665546" u="1"/>
        <n v="156331" u="1"/>
        <n v="1016131" u="1"/>
        <n v="1012617" u="1"/>
        <n v="65506512235" u="1"/>
        <n v="64972" u="1"/>
        <n v="2000480" u="1"/>
        <n v="51461003219" u="1"/>
        <n v="2000481" u="1"/>
        <n v="65502978445" u="1"/>
        <n v="65503640452" u="1"/>
        <n v="65503863638" u="1"/>
        <n v="153039" u="1"/>
        <n v="234192" u="1"/>
        <n v="566810" u="1"/>
        <n v="9978669" u="1"/>
        <n v="79296" u="1"/>
        <n v="71313" u="1"/>
        <n v="77703" u="1"/>
        <n v="1006088" u="1"/>
        <n v="2000697" u="1"/>
        <n v="2000059" u="1"/>
        <n v="2000485" u="1"/>
        <n v="2000698" u="1"/>
        <n v="69902" u="1"/>
        <n v="71535" u="1"/>
        <n v="2000060" u="1"/>
        <n v="2000486" u="1"/>
        <n v="65503640512" u="1"/>
        <n v="70013" u="1"/>
        <n v="2000487" u="1"/>
        <n v="62008" u="1"/>
        <n v="2000204" u="1"/>
        <n v="65504667724" u="1"/>
        <n v="65505283448" u="1"/>
        <n v="69880" u="1"/>
        <n v="2000205" u="1"/>
        <n v="2000915" u="1"/>
        <n v="2000135" u="1"/>
        <n v="2000206" u="1"/>
        <n v="79971" u="1"/>
        <n v="992000919" u="1"/>
        <n v="65505569851" u="1"/>
        <n v="2000848" u="1"/>
        <n v="2000919" u="1"/>
        <n v="65749" u="1"/>
        <n v="2000849" u="1"/>
        <n v="1031547" u="1"/>
        <n v="2000779" u="1"/>
        <n v="2000780" u="1"/>
        <n v="67715" u="1"/>
        <n v="75170" u="1"/>
        <n v="1031548" u="1"/>
        <n v="992000581" u="1"/>
        <n v="2000924" u="1"/>
        <n v="1020473" u="1"/>
        <n v="1031549" u="1"/>
        <n v="2000570" u="1"/>
        <n v="2000641" u="1"/>
        <n v="2000925" u="1"/>
        <n v="2000571" u="1"/>
        <n v="2000642" u="1"/>
        <n v="65503562246" u="1"/>
        <n v="154701" u="1"/>
        <n v="1031550" u="1"/>
        <n v="2000572" u="1"/>
        <n v="2000573" u="1"/>
        <n v="1031551" u="1"/>
        <n v="1032901" u="1"/>
        <n v="65505283309" u="1"/>
        <n v="1026370" u="1"/>
        <n v="2000152" u="1"/>
        <n v="2000578" u="1"/>
        <n v="2001004" u="1"/>
        <n v="65503624801" u="1"/>
        <n v="2000153" u="1"/>
        <n v="2000863" u="1"/>
        <n v="71532" u="1"/>
        <n v="154702" u="1"/>
        <n v="1014088" u="1"/>
        <n v="65750" u="1"/>
        <n v="1018811" u="1"/>
        <n v="2000938" u="1"/>
        <n v="80820" u="1"/>
        <n v="65503851337" u="1"/>
        <n v="73618" u="1"/>
        <n v="80931" u="1"/>
        <n v="544000" u="1"/>
        <n v="2001012" u="1"/>
        <n v="77705" u="1"/>
        <n v="73627" u="1"/>
        <n v="1024174" u="1"/>
        <n v="75655" u="1"/>
        <n v="1021441" u="1"/>
        <n v="2000732" u="1"/>
        <n v="2000803" u="1"/>
        <n v="142518" u="1"/>
        <n v="1032873" u="1"/>
        <n v="2000733" u="1"/>
        <n v="992000942" u="1"/>
        <n v="1032128" u="1"/>
        <n v="65503456716" u="1"/>
        <n v="65504374736" u="1"/>
        <n v="80004" u="1"/>
        <n v="1020023" u="1"/>
        <n v="2000238" u="1"/>
        <n v="2000522" u="1"/>
        <n v="75145" u="1"/>
        <n v="2000239" u="1"/>
        <n v="2000736" u="1"/>
        <n v="1033798" u="1"/>
        <n v="2000240" u="1"/>
        <n v="2000808" u="1"/>
        <n v="2001021" u="1"/>
        <n v="992000925" u="1"/>
        <n v="65504477359" u="1"/>
        <n v="2000241" u="1"/>
        <n v="2000809" u="1"/>
        <n v="2001022" u="1"/>
        <n v="80164" u="1"/>
        <n v="1020025" u="1"/>
        <n v="2000810" u="1"/>
        <n v="65503863610" u="1"/>
        <n v="2000385" u="1"/>
        <n v="2000811" u="1"/>
        <n v="1020026" u="1"/>
        <n v="2000812" u="1"/>
        <n v="65504786411" u="1"/>
        <n v="77941" u="1"/>
        <n v="1032381" u="1"/>
        <n v="80932" u="1"/>
        <n v="65506084191" u="1"/>
        <n v="1032382" u="1"/>
        <n v="9977941" u="1"/>
        <n v="4031" u="1"/>
      </sharedItems>
    </cacheField>
    <cacheField name="Nombre" numFmtId="0">
      <sharedItems/>
    </cacheField>
    <cacheField name="Emisora" numFmtId="0">
      <sharedItems containsBlank="1" count="684">
        <s v="STERGOB ED          "/>
        <s v="SVIVE20 ED          "/>
        <s v="SVIVE35 ED          "/>
        <s v="SVIVE50 ED          "/>
        <s v="AC *                "/>
        <s v="ACWI *              "/>
        <s v="ALFA A              "/>
        <s v="ALSEA *             "/>
        <s v="AMX 0129            "/>
        <s v="AMX 0131X           "/>
        <s v="AMX B               "/>
        <s v="ASUR B              "/>
        <s v="BIMBO A             "/>
        <s v="BLADEX 24           "/>
        <s v="CEMEX CPO           "/>
        <s v="CETES 250123        "/>
        <s v="CETES 260219        "/>
        <s v="EEM *               "/>
        <s v="EPP *               "/>
        <s v="EWJ *               "/>
        <s v="FEMSA UBD           "/>
        <s v="GAP B               "/>
        <s v="GCC *               "/>
        <s v="GENTERA *           "/>
        <s v="GFNORTE O           "/>
        <s v="GMEXICO B           "/>
        <s v="GOBFED 240905       "/>
        <s v="GOBFED 250306       "/>
        <s v="GOBFED 260305       "/>
        <s v="GOBFED 260903       "/>
        <s v="GOBFED 270304       "/>
        <s v="GOBFED 270603       "/>
        <s v="GOBFED 290301       "/>
        <s v="GOBFED 290531       "/>
        <s v="GOBFED 310529       "/>
        <s v="GOBFED 330526       "/>
        <s v="GOBFED 341123       "/>
        <s v="GOBFED 421113       "/>
        <s v="GOBFED 471107       "/>
        <s v="GOBFED 530731       "/>
        <s v="GRUMA B             "/>
        <s v="HERDEZ *            "/>
        <s v="IVV *               "/>
        <s v="KOF UBL             "/>
        <s v="LACOMER UBC         "/>
        <s v="LIVEPOL C-1         "/>
        <s v="MEGA 24X            "/>
        <s v="NEMAK A             "/>
        <s v="R A                 "/>
        <s v="SPSM *              "/>
        <s v="TRAXION A           "/>
        <s v="UDIBONO 251204      "/>
        <s v="UDIBONO 261203      "/>
        <s v="UDIBONO 281130      "/>
        <s v="UDIBONO 311127      "/>
        <s v="UDIBONO 351122      "/>
        <s v="UDIBONO 401115      "/>
        <s v="UDIBONO 431112      "/>
        <s v="UDIBONO 461108      "/>
        <s v="UDIBONO 501103      "/>
        <s v="VESTA *             "/>
        <s v="VGK *               "/>
        <s v="VOO *               "/>
        <s v="WALMEX *            "/>
        <s v="SVIVE60 ED          "/>
        <s v="CETES 250306        "/>
        <s v="EFECTIVO"/>
        <s v="GOBFED 241205       "/>
        <s v="GOBFED 381118       "/>
        <s v="BONDESF 240815      "/>
        <s v="CETES 250403        "/>
        <s v="CETES 251224        "/>
        <s v="CETES 241128        "/>
        <s v="UDIBONO 231116      "/>
        <s v="STERGOB B3          "/>
        <s v="STERGOB B4          "/>
        <s v="SVIVE20 S           "/>
        <s v="SVIVE35 S           "/>
        <s v="SVIVE50 S           "/>
        <s v="SVIVE60 S           "/>
        <s v="STRGOB2 ED          "/>
        <s v="GOBFED 361120       "/>
        <s v="IENOVA *            "/>
        <s v="SVIVE50 C3          "/>
        <s v="STRGOB2 B4          "/>
        <s v="CETELEM 22          "/>
        <s v="CETES 241003        "/>
        <s v="LIVEPOL 19          "/>
        <s v="PEMEX 13-2          "/>
        <s v="ST&amp;ER-C ED          "/>
        <s v="STERGOB B1          "/>
        <s v="SANMEX B            "/>
        <s v="BBVAMX 22X          "/>
        <s v="BONDESF 241107      "/>
        <s v="BPA182 270121       "/>
        <s v="BPA182 301010       "/>
        <s v="BPAG91 270107       "/>
        <s v="CETELEM 21-4        "/>
        <s v="CFE 14-2            "/>
        <s v="FEFA 24             "/>
        <s v="FNCOT 22S           "/>
        <s v="GAP 22L             "/>
        <s v="PEMEX 19            "/>
        <s v="VWLEASE 22-2        "/>
        <s v="CETES 151015        "/>
        <s v="CETES 160414        "/>
        <s v="CETES 160428        "/>
        <s v="GOBFED 170615       "/>
        <s v="GOBFED 180614       "/>
        <s v="GOBFED 191211       "/>
        <s v="GOBFED 200611       "/>
        <s v="GOBFED 210610       "/>
        <s v="GOBFED 220609       "/>
        <s v="GOBFED 231207       "/>
        <s v="UDIBONO 160616      "/>
        <s v="UDIBONO 171214      "/>
        <s v="UDIBONO 190613      "/>
        <s v="UDIBONO 201210      "/>
        <s v="UDIBONO 220609      "/>
        <s v="BONDESD 251211      "/>
        <s v="CETELEM 22-4        "/>
        <s v="CETES 240530        "/>
        <s v="CETES 251030        "/>
        <s v="CFE 21U             "/>
        <s v="CHIACB 07           "/>
        <s v="EDUCA 23L           "/>
        <s v="FOVISCB 17U         "/>
        <s v="LALA 19-2           "/>
        <s v="TFOVICB 16U         "/>
        <s v="STERGOB B0          "/>
        <s v="STER-OP ED          "/>
        <s v="CETES 250206        "/>
        <s v="FERROMX 14          "/>
        <s v="GICSA 17            "/>
        <s v="MOLYMET 21-2        "/>
        <s v="NM 15               "/>
        <s v="PEMEX 14U           "/>
        <s v="RSP *               "/>
        <s v="SAM-RVG E           "/>
        <s v="STER-OP E3          "/>
        <s v="USA-EQ ED           "/>
        <s v="TFOVICB 15U         "/>
        <s v="CETES 250320        "/>
        <s v="STER-OP MD          "/>
        <s v="BPA182 130919       "/>
        <s v="BPA182 140327       "/>
        <s v="CETES 131017        "/>
        <s v="CETES 230601        "/>
        <s v="STER-OP E2          "/>
        <s v="CASITA *            "/>
        <s v="STRGOB2 B2          "/>
        <s v="STERGOB C2          "/>
        <s v="CETES 160107        "/>
        <s v="SVIVE35 C3          "/>
        <s v="STERGOB B2          "/>
        <s v="STERGOB B5          "/>
        <s v="SVIVE60 C1          "/>
        <s v="SVIVE60 C3          "/>
        <s v="ACBE 17             "/>
        <s v="ALSEA 17-2          "/>
        <s v="BINBUR 14-7         "/>
        <s v="CFE 17              "/>
        <s v="DANHOS 17           "/>
        <s v="FUNO 17             "/>
        <s v="GMXT 17             "/>
        <s v="HSBC 17-2           "/>
        <s v="LALA 18             "/>
        <s v="TELMEX 07           "/>
        <s v="METROCB 07          "/>
        <s v="SVIVE20 C2          "/>
        <s v="SVIVE35 C2          "/>
        <s v="SVIVE50 C2          "/>
        <s v="SVIVE60 C2          "/>
        <s v="BANOA64 999999      "/>
        <s v="POSAS95 271230      "/>
        <s v="AMX 10-2            "/>
        <s v="CBIC003 210128      "/>
        <s v="CBIC007 221208      "/>
        <s v="CBIC008 231207      "/>
        <s v="CETES 140821        "/>
        <s v="CETES 141211        "/>
        <s v="GOBFED 181213       "/>
        <s v="UDIBONO 141218      "/>
        <s v="STERGOB M2          "/>
        <s v="SVIVE20 C3          "/>
        <s v="ST&amp;ER-7 ED          "/>
        <s v="STEREAL ED          "/>
        <s v="ALPEK A             "/>
        <s v="CETES 240822        "/>
        <s v="BBPEN 21            "/>
        <s v="BONDESF 250227      "/>
        <s v="BONDESF 250424      "/>
        <s v="BONDESF 250619      "/>
        <s v="CETELEM 21-3        "/>
        <s v="FIBRAMQ 12          "/>
        <s v="FIBRAPL 14          "/>
        <s v="JAVER *             "/>
        <s v="KIMBER 22           "/>
        <s v="KIMBER A            "/>
        <s v="KOF 21-2L           "/>
        <s v="TERRA 13            "/>
        <s v="GFINBUR O           "/>
        <s v="CETES 211118        "/>
        <s v="CFE 21-5            "/>
        <s v="MPGOBFED 290531     "/>
        <s v="SHV *               "/>
        <s v="TFOVICB 20U         "/>
        <s v="UDIBONO 340824      "/>
        <s v="ELEKTRA *           "/>
        <s v="FINAMEX O           "/>
        <s v="GFREGIO O           "/>
        <s v="OHLMEX *            "/>
        <s v="ABACOGF A           "/>
        <s v="CABLE CPO           "/>
        <s v="FEMSA UB            "/>
        <s v="VIDEO *             "/>
        <s v="COVARRA *           "/>
        <s v="STRGOB2 B0          "/>
        <s v="CREYCB 07-2         "/>
        <s v="FOVISCB 19-2U       "/>
        <s v="CHDRAUI B           "/>
        <s v="DANHOS 13           "/>
        <s v="EDUCA 18            "/>
        <s v="FEZ *               "/>
        <s v="FHIPOCB 17U         "/>
        <s v="FORION 20           "/>
        <s v="FUNO 11             "/>
        <s v="FVIA 16             "/>
        <s v="HICKOK 90           "/>
        <s v="IBANOBRA 13171      "/>
        <s v="LASITE B-1          "/>
        <s v="RCOCB 09            "/>
        <s v="SPY *               "/>
        <s v="TFOVICB 15-2U       "/>
        <s v="VOLAR A             "/>
        <m u="1"/>
        <s v="MOLYMET 21          " u="1"/>
        <s v="CETELEM 19-2        " u="1"/>
        <s v="NAFF 240308         " u="1"/>
        <s v="BONDESF 240229      " u="1"/>
        <s v="MEXTRAC 09          " u="1"/>
        <s v="SANT121 999999      " u="1"/>
        <s v=" " u="1"/>
        <s v="CETES 240111        " u="1"/>
        <s v="CETES 240222        " u="1"/>
        <s v="NAFTRAC ISHRS       " u="1"/>
        <s v="STERGOB C1          " u="1"/>
        <s v="VWO *               " u="1"/>
        <s v="OMA B               " u="1"/>
        <s v="SLY *               " u="1"/>
        <s v="BONDESD 180419      " u="1"/>
        <s v="C *                 " u="1"/>
        <s v="TJX *               " u="1"/>
        <s v="BPAG91 211223       " u="1"/>
        <s v="BPAG91 170831       " u="1"/>
        <s v="SORIANA B           " u="1"/>
        <s v="BMWM5 N             " u="1"/>
        <s v="MCGOBFED 290531     " u="1"/>
        <s v="FPLUS 16            " u="1"/>
        <s v="IBGS N              " u="1"/>
        <s v="CSCO *              " u="1"/>
        <s v="BPA182 181011       " u="1"/>
        <s v="BPA182 210311       " u="1"/>
        <s v="BONDESD 171221      " u="1"/>
        <s v="MVEU N              " u="1"/>
        <s v="FBANSAN 19035       " u="1"/>
        <s v="BPAG91 201224       " u="1"/>
        <s v="VXUS *              " u="1"/>
        <s v="MULTIVA 16-2        " u="1"/>
        <s v="FRAGUA B            " u="1"/>
        <s v="ST&amp;ER-C E2          " u="1"/>
        <s v="ST&amp;ER-I E2          " u="1"/>
        <s v="ST&amp;ERBM ED          " u="1"/>
        <s v="DAIMLER 15          " u="1"/>
        <s v="DAIMLER 16          " u="1"/>
        <s v="DAIMLER 17          " u="1"/>
        <s v="FUNO 13             " u="1"/>
        <s v="FUNO 13-2           " u="1"/>
        <s v="FUNO 18             " u="1"/>
        <s v="IYF *               " u="1"/>
        <s v="GCDMXCB 18V         " u="1"/>
        <s v="CEDEVIS 10-4U       " u="1"/>
        <s v="AMX L               " u="1"/>
        <s v="FINN 13             " u="1"/>
        <s v="EMB *               " u="1"/>
        <s v="CMR B               " u="1"/>
        <s v="CETES 180426        " u="1"/>
        <s v="CETES 180816        " u="1"/>
        <s v="CETES 200116        " u="1"/>
        <s v="CETES 201126        " u="1"/>
        <s v="CETES 210506        " u="1"/>
        <s v="CETES 211216        " u="1"/>
        <s v="CETES 230126        " u="1"/>
        <s v="Q *                 " u="1"/>
        <s v="CIE B               " u="1"/>
        <s v="USA-EQ E            " u="1"/>
        <s v="COMPART 13          " u="1"/>
        <s v="TEAK CPO            " u="1"/>
        <s v="FHSBCMX 19034       " u="1"/>
        <s v="BPA182 180412       " u="1"/>
        <s v="BPA182 280412       " u="1"/>
        <s v="BACOMER 15          " u="1"/>
        <s v="BACOMER 17          " u="1"/>
        <s v="BACOMER 18          " u="1"/>
        <s v="BACOMER 20          " u="1"/>
        <s v="BPAG91 171109       " u="1"/>
        <s v="BONDESF 280323      " u="1"/>
        <s v="FIHO 12             " u="1"/>
        <s v="BANOB 13            " u="1"/>
        <s v="BANOB 14            " u="1"/>
        <s v="BANORTE 18          " u="1"/>
        <s v="SVIVE20 C1          " u="1"/>
        <s v="SVIVE35 C1          " u="1"/>
        <s v="SVIVE50 C1          " u="1"/>
        <s v="FNAIM 18            " u="1"/>
        <s v="GAP 15              " u="1"/>
        <s v="NESN N              " u="1"/>
        <s v="BONDESD 240425      " u="1"/>
        <s v="PE&amp;OLES *           " u="1"/>
        <s v="DATPCK 14           " u="1"/>
        <s v="STRGOB2 B1          " u="1"/>
        <s v="STRGOB2 B3          " u="1"/>
        <s v="STRGOB2 M3          " u="1"/>
        <s v="STRGOB2 M4          " u="1"/>
        <s v="STRGOB3 M3          " u="1"/>
        <s v="IEV *               " u="1"/>
        <s v="VTW408A EC001       " u="1"/>
        <s v="TLEVISA 14          " u="1"/>
        <s v="TLEVISA 15          " u="1"/>
        <s v="TLEVISA CPO         " u="1"/>
        <s v="FBANSAN 19037       " u="1"/>
        <s v="BPAG91 210826       " u="1"/>
        <s v="QQQ *               " u="1"/>
        <s v="CDVITOT 11U         " u="1"/>
        <s v="CDVITOT 12U         " u="1"/>
        <s v="CDVITOT 13U         " u="1"/>
        <s v="IBSCTIA 19334       " u="1"/>
        <s v="IBSCTIA 20134       " u="1"/>
        <s v="GOBFED 171214       " u="1"/>
        <s v="TSM N               " u="1"/>
        <s v="BBAJIO O            " u="1"/>
        <s v="IBCX N              " u="1"/>
        <s v="CMOCTEZ *           " u="1"/>
        <s v="METROCB 03-3        " u="1"/>
        <s v="FIBRAHD 15          " u="1"/>
        <s v="BONDESD 230504      " u="1"/>
        <s v="ELEKTRA 16          " u="1"/>
        <s v="CETES 171207        " u="1"/>
        <s v="CETES 180607        " u="1"/>
        <s v="CETES 190207        " u="1"/>
        <s v="CETES 200227        " u="1"/>
        <s v="CETES 200827        " u="1"/>
        <s v="CETES 200917        " u="1"/>
        <s v="CETES 210617        " u="1"/>
        <s v="CETES 221117        " u="1"/>
        <s v="HOLCIM 14           " u="1"/>
        <s v="GCARSO A1           " u="1"/>
        <s v="COST *              " u="1"/>
        <s v="FACILSA 14-2        " u="1"/>
        <s v="BPA182 201022       " u="1"/>
        <s v="BPA182 290322       " u="1"/>
        <s v="BONDESF 260423      " u="1"/>
        <s v="MEGA CPO            " u="1"/>
        <s v="BPA182 270930       " u="1"/>
        <s v="FBANSAN 16038       " u="1"/>
        <s v="BN N                " u="1"/>
        <s v="KIMBER 09-4         " u="1"/>
        <s v="KIMBER 13-2         " u="1"/>
        <s v="RCO 12U             " u="1"/>
        <s v="BINTER 10           " u="1"/>
        <s v="WMT *               " u="1"/>
        <s v="FORD 14             " u="1"/>
        <s v="FORD 14-2           " u="1"/>
        <s v="META *              " u="1"/>
        <s v="MAYACB 12U          " u="1"/>
        <s v="VCR *               " u="1"/>
        <s v="MSFT *              " u="1"/>
        <s v="CEDEVIS 11U         " u="1"/>
        <s v="CEDEVIS 12U         " u="1"/>
        <s v="DXJ *               " u="1"/>
        <s v="HOTEL *             " u="1"/>
        <s v="CABEI 1-15          " u="1"/>
        <s v="CETELEM 17          " u="1"/>
        <s v="CETELEM 18          " u="1"/>
        <s v="CETELEM 19          " u="1"/>
        <s v="EZU *               " u="1"/>
        <s v="MEXCHEM *           " u="1"/>
        <s v="CETES 170330        " u="1"/>
        <s v="CETES 170720        " u="1"/>
        <s v="CETES 171130        " u="1"/>
        <s v="CETES 181220        " u="1"/>
        <s v="CETES 200130        " u="1"/>
        <s v="CETES 200430        " u="1"/>
        <s v="CETES 200730        " u="1"/>
        <s v="CETES 210520        " u="1"/>
        <s v="CETES 220210        " u="1"/>
        <s v="CETES 220310        " u="1"/>
        <s v="CETES 230420        " u="1"/>
        <s v="FNCOT 14            " u="1"/>
        <s v="FNCOT 16            " u="1"/>
        <s v="FNCOT 16-2          " u="1"/>
        <s v="FNCOT 19            " u="1"/>
        <s v="VITRO A             " u="1"/>
        <s v="CETES 170608        " u="1"/>
        <s v="CETES 180328        " u="1"/>
        <s v="CETES 180628        " u="1"/>
        <s v="CETES 181108        " u="1"/>
        <s v="CETES 190228        " u="1"/>
        <s v="CETES 190328        " u="1"/>
        <s v="CETES 190718        " u="1"/>
        <s v="CETES 200408        " u="1"/>
        <s v="CETES 200618        " u="1"/>
        <s v="CETES 201008        " u="1"/>
        <s v="CETES 210128        " u="1"/>
        <s v="CETES 210318        " u="1"/>
        <s v="CETES 210408        " u="1"/>
        <s v="CETES 211028        " u="1"/>
        <s v="CETES 220428        " u="1"/>
        <s v="CETES 220728        " u="1"/>
        <s v="CETES 230608        " u="1"/>
        <s v="CATFIN 14           " u="1"/>
        <s v="BPA182 220908       " u="1"/>
        <s v="BNPPPF 15           " u="1"/>
        <s v="BNPPPF 17           " u="1"/>
        <s v="BNPPPF 18           " u="1"/>
        <s v="FBSCTIA 17021       " u="1"/>
        <s v="DAIVCK 16           " u="1"/>
        <s v="CREALCB 17          " u="1"/>
        <s v="CFE 10-2            " u="1"/>
        <s v="CFE 13              " u="1"/>
        <s v="CFE 13-2            " u="1"/>
        <s v="CFE 14              " u="1"/>
        <s v="IBACOMER 18301      " u="1"/>
        <s v="FBANAMEX 7448       " u="1"/>
        <s v="GOBFED 211209       " u="1"/>
        <s v="GOBFED 230309       " u="1"/>
        <s v="RASSINI A           " u="1"/>
        <s v="RASSINI CPO         " u="1"/>
        <s v="JPM *               " u="1"/>
        <s v="IBACOMER 19324      " u="1"/>
        <s v="NGCFICK 15          " u="1"/>
        <s v="SIMEC B             " u="1"/>
        <s v="SCOTIAB 15          " u="1"/>
        <s v="VISTA A             " u="1"/>
        <s v="SITES B-1           " u="1"/>
        <s v="SITES1 A-1          " u="1"/>
        <s v="DBJP *              " u="1"/>
        <s v="FOVISCB 19U         " u="1"/>
        <s v="BPA182 210909       " u="1"/>
        <s v="USMV *              " u="1"/>
        <s v="INCARSO 13          " u="1"/>
        <s v="FMTY 14             " u="1"/>
        <s v="SRE *               " u="1"/>
        <s v="SARE B              " u="1"/>
        <s v="TFOVIS 10-4U        " u="1"/>
        <s v="TFOVIS 11-3U        " u="1"/>
        <s v="TFOVIS 12-2U        " u="1"/>
        <s v="TFOVIS 12-4U        " u="1"/>
        <s v="TFOVIS 13-2U        " u="1"/>
        <s v="STEPCC 16           " u="1"/>
        <s v="STEPCC 16-2         " u="1"/>
        <s v="STEPCC 16-3         " u="1"/>
        <s v="STIP *              " u="1"/>
        <s v="CETES 170601        " u="1"/>
        <s v="CETES 170831        " u="1"/>
        <s v="CETES 180111        " u="1"/>
        <s v="CETES 180201        " u="1"/>
        <s v="CETES 180301        " u="1"/>
        <s v="CETES 180621        " u="1"/>
        <s v="CETES 190221        " u="1"/>
        <s v="CETES 190321        " u="1"/>
        <s v="CETES 190801        " u="1"/>
        <s v="CETES 191121        " u="1"/>
        <s v="CETES 200611        " u="1"/>
        <s v="CETES 201231        " u="1"/>
        <s v="CETES 210331        " u="1"/>
        <s v="CETES 210701        " u="1"/>
        <s v="CETES 211021        " u="1"/>
        <s v="CETES 220331        " u="1"/>
        <s v="CETES 220421        " u="1"/>
        <s v="CETES 230921        " u="1"/>
        <s v="BLADEX 14           " u="1"/>
        <s v="AAXJ *              " u="1"/>
        <s v="UNH *               " u="1"/>
        <s v="CFECB 09            " u="1"/>
        <s v="CFECB 09U           " u="1"/>
        <s v="CETES 180419        " u="1"/>
        <s v="CETES 180719        " u="1"/>
        <s v="CETES 190509        " u="1"/>
        <s v="CETES 210729        " u="1"/>
        <s v="CETES 220519        " u="1"/>
        <s v="CETES 230209        " u="1"/>
        <s v="CETES 230309        " u="1"/>
        <s v="CETES 230629        " u="1"/>
        <s v="IBACMEXT 20241      " u="1"/>
        <s v="MEDICA B            " u="1"/>
        <s v="XLF *               " u="1"/>
        <s v="INTC *              " u="1"/>
        <s v="XLI *               " u="1"/>
        <s v="BSANT 11-3          " u="1"/>
        <s v="BSANT 16-2          " u="1"/>
        <s v="TFOVICB 10-4U       " u="1"/>
        <s v="STER-OP E1          " u="1"/>
        <s v="STER10P B1          " u="1"/>
        <s v="STER10P E0          " u="1"/>
        <s v="STER10P E1          " u="1"/>
        <s v="STER10P E2          " u="1"/>
        <s v="STER10P E3          " u="1"/>
        <s v="STER10P E4          " u="1"/>
        <s v="STEREAL E           " u="1"/>
        <s v="STERGOB M0          " u="1"/>
        <s v="STERGOB M1          " u="1"/>
        <s v="STERGOB M3          " u="1"/>
        <s v="STERGOB M4          " u="1"/>
        <s v="STERGOB MD          " u="1"/>
        <s v="AAPL *              " u="1"/>
        <s v="BONDESD 170622      " u="1"/>
        <s v="BONDESD 220714      " u="1"/>
        <s v="AERMXCB 15          " u="1"/>
        <s v="MEXE70450121        " u="1"/>
        <s v="FBSCTIA 19032       " u="1"/>
        <s v="AMZN *              " u="1"/>
        <s v="EWG *               " u="1"/>
        <s v="DBEU *              " u="1"/>
        <s v="EWU *               " u="1"/>
        <s v="IBSCTIA 19072       " u="1"/>
        <s v="FSHOP 13            " u="1"/>
        <s v="EWY *               " u="1"/>
        <s v="ARTHACK 10          " u="1"/>
        <s v="CETES 170412        " u="1"/>
        <s v="CETES 180802        " u="1"/>
        <s v="CETES 181122        " u="1"/>
        <s v="CETES 190912        " u="1"/>
        <s v="CETES 200102        " u="1"/>
        <s v="CETES 200312        " u="1"/>
        <s v="CETES 200702        " u="1"/>
        <s v="CETES 201022        " u="1"/>
        <s v="CETES 210422        " u="1"/>
        <s v="CETES 210812        " u="1"/>
        <s v="CETES 210902        " u="1"/>
        <s v="CETES 220602        " u="1"/>
        <s v="CETES 220922        " u="1"/>
        <s v="CETES 230112        " u="1"/>
        <s v="BONDESD 220908      " u="1"/>
        <s v="HUM *               " u="1"/>
        <s v="BIL *               " u="1"/>
        <s v="BNMXCB 13U          " u="1"/>
        <s v="BNMXCB 14U          " u="1"/>
        <s v="BPA182 280928       " u="1"/>
        <s v="LQD *               " u="1"/>
        <s v="GASN 15-2           " u="1"/>
        <s v="LUV *               " u="1"/>
        <s v="CUERVO *            " u="1"/>
        <s v="KOF 13              " u="1"/>
        <s v="KOF 17-2            " u="1"/>
        <s v="KOF L               " u="1"/>
        <s v="BAS N               " u="1"/>
        <s v="VWLEASE 14-2        " u="1"/>
        <s v="AGUA *              " u="1"/>
        <s v="AGUA 17-2X          " u="1"/>
        <s v="BONDESD 210722      " u="1"/>
        <s v="OSM 15-2            " u="1"/>
        <s v="IENOVA 13           " u="1"/>
        <s v="SHF0001 180614      " u="1"/>
        <s v="BABA N              " u="1"/>
        <s v="NMK A               " u="1"/>
        <s v="UNIFIN A            " u="1"/>
        <s v="BIMBO 16            " u="1"/>
        <s v="BINBUR 14-5         " u="1"/>
        <s v="BINBUR 16           " u="1"/>
        <s v="BINBUR 16-3         " u="1"/>
        <s v="BINBUR 16-5         " u="1"/>
        <s v="FEFA 14             " u="1"/>
        <s v="FEFA 15-8           " u="1"/>
        <s v="FEFA 16-3           " u="1"/>
        <s v="BOLSA A             " u="1"/>
        <s v="LAB 13              " u="1"/>
        <s v="LAB 14              " u="1"/>
        <s v="LAB 18              " u="1"/>
        <s v="LAB B               " u="1"/>
        <s v="MEXF76290422        " u="1"/>
        <s v="ORBIA *             " u="1"/>
        <s v="TFOVICB 13U         " u="1"/>
        <s v="TFOVIS 13U          " u="1"/>
        <s v="CETES 171123        " u="1"/>
        <s v="CETES 180913        " u="1"/>
        <s v="CETES 190523        " u="1"/>
        <s v="CETES 200213        " u="1"/>
        <s v="CETES 200423        " u="1"/>
        <s v="CETES 200813        " u="1"/>
        <s v="CETES 220113        " u="1"/>
        <s v="CETES 220413        " u="1"/>
        <s v="CETES 230223        " u="1"/>
        <s v="CETES 230323        " u="1"/>
        <s v="TOYOTA 14           " u="1"/>
        <s v="TOYOTA 15           " u="1"/>
        <s v="TOYOTA 17-3         " u="1"/>
        <s v="CDVITOT 13-2U       " u="1"/>
        <s v="FICCB 08U           " u="1"/>
        <s v="FICCB 09U           " u="1"/>
        <s v="VT *                " u="1"/>
        <s v="FHSBCMX 18012       " u="1"/>
        <s v="INAFIN 20241        " u="1"/>
        <s v="FBANSAN 19030       " u="1"/>
        <s v="MFRISCO 13          " u="1"/>
        <s v="LALA B              " u="1"/>
        <s v="UNFINCB 17          " u="1"/>
        <s v="LEMB *              " u="1"/>
        <s v="LENB *              " u="1"/>
        <s v="AXO 14              " u="1"/>
        <s v="GMXT *              " u="1"/>
        <s v="METROCB 05          " u="1"/>
        <s v="ICVCB 06U           " u="1"/>
        <s v="FBANSAN 16015       " u="1"/>
        <s v="PCARFM 15           " u="1"/>
        <s v="HERDEZ 13-2         " u="1"/>
        <s v="HERDEZ 14           " u="1"/>
        <s v="VIVACB 15           " u="1"/>
        <s v="BPAG28 210812       " u="1"/>
        <s v="IBSCTIA 19512       " u="1"/>
        <s v="BPAG91 200820       " u="1"/>
        <s v="HCITY *             " u="1"/>
        <s v="BND *               " u="1"/>
        <s v="DVY *               " u="1"/>
        <s v="CEDEVIS 06-2U       " u="1"/>
        <s v="CEDEVIS 10-2U       " u="1"/>
        <s v="CEDEVIS 11-2U       " u="1"/>
        <s v="BSMX B              " u="1"/>
        <s v="IBANSAN 19355       " u="1"/>
        <s v="ALV N               " u="1"/>
        <s v="CETES 170914        " u="1"/>
        <s v="CETES 180104        " u="1"/>
        <s v="CETES 190124        " u="1"/>
        <s v="CETES 191024        " u="1"/>
        <s v="CETES 210114        " u="1"/>
        <s v="CETES 220224        " u="1"/>
        <s v="CETES 220324        " u="1"/>
        <s v="CETES 220714        " u="1"/>
        <s v="CETES 230504        " u="1"/>
        <s v="CETES 230824        " u="1"/>
        <s v="CETES 230914        " u="1"/>
        <s v="CETES 231214        " u="1"/>
        <s v="BONDESD 200924      " u="1"/>
        <s v="DEPLAZ BM" u="1"/>
        <s v="TIPCB 17            " u="1"/>
        <s v="GOOGL *             " u="1"/>
        <s v="ROST *              " u="1"/>
        <s v="CDVITOT 11-3U       " u="1"/>
        <s v="LIVEPOL 1           " u="1"/>
        <s v="LIVEPOL 12          " u="1"/>
        <s v="FBANSAN 17008       " u="1"/>
        <s v="BPAG91 180405       " u="1"/>
        <s v="ITX N               " u="1"/>
        <s v="BACHOCO 12          " u="1"/>
        <s v="IFCOTCB 17          " u="1"/>
        <s v="BONDESD 221110      " u="1"/>
        <s v="PEMEX 10-2          " u="1"/>
        <s v="PEMEX 11-3          " u="1"/>
        <s v="PEMEX 12            " u="1"/>
        <s v="PEMEX 13            " u="1"/>
        <s v="PEMEX 14            " u="1"/>
        <s v="PEMEX 16            " u="1"/>
        <s v="FHIPO 14            " u="1"/>
        <s v="PINFRA *            " u="1"/>
        <s v="PINFRA L            " u="1"/>
        <s v="SANTAN 3-07         " u="1"/>
        <s v="DANHOS 16           " u="1"/>
        <s v="FHSBCMX 19023       " u="1"/>
        <s v="BONDESD 220317      " u="1"/>
        <s v="BPA182 270401       " u="1"/>
        <s v="BBVALMX 15          " u="1"/>
        <s v="FACILSA 15          " u="1"/>
        <s v="IDEAL B-1           " u="1"/>
        <s v="IGNIACK 15          " u="1"/>
        <s v="UFINCB 15           " u="1"/>
        <s v="UFINCB 16           " u="1"/>
        <s v="CETES 180315        " u="1"/>
        <s v="CETES 181115        " u="1"/>
        <s v="CETES 190815        " u="1"/>
        <s v="CETES 210325        " u="1"/>
        <s v="CETES 211125        " u="1"/>
        <s v="CETES 220825        " u="1"/>
        <s v="CETES 230405        " u="1"/>
        <s v="CETES 250515        " u="1"/>
      </sharedItems>
    </cacheField>
    <cacheField name="Tipo de Pos." numFmtId="0">
      <sharedItems/>
    </cacheField>
    <cacheField name="Moneda" numFmtId="0">
      <sharedItems/>
    </cacheField>
    <cacheField name="Títulos" numFmtId="3">
      <sharedItems containsSemiMixedTypes="0" containsString="0" containsNumber="1" containsInteger="1" minValue="0" maxValue="651583020"/>
    </cacheField>
    <cacheField name="Prec Ult Hecho" numFmtId="166">
      <sharedItems containsSemiMixedTypes="0" containsString="0" containsNumber="1" minValue="0" maxValue="16601.967289"/>
    </cacheField>
    <cacheField name="Monto" numFmtId="167">
      <sharedItems containsSemiMixedTypes="0" containsString="0" containsNumber="1" minValue="-4494.99" maxValue="2369479045.8979201"/>
    </cacheField>
    <cacheField name="Costo Unitario" numFmtId="166">
      <sharedItems containsSemiMixedTypes="0" containsString="0" containsNumber="1" minValue="0" maxValue="21701.96"/>
    </cacheField>
    <cacheField name="Plusvalia o Minusvalia" numFmtId="167">
      <sharedItems containsSemiMixedTypes="0" containsString="0" containsNumber="1" minValue="-79887387.25" maxValue="971244351.52792001"/>
    </cacheField>
    <cacheField name="Títulos Operados" numFmtId="3">
      <sharedItems containsSemiMixedTypes="0" containsString="0" containsNumber="1" containsInteger="1" minValue="-11339728" maxValue="17000000"/>
    </cacheField>
    <cacheField name="Monto Operado" numFmtId="167">
      <sharedItems containsSemiMixedTypes="0" containsString="0" containsNumber="1" minValue="-40007841.770000003" maxValue="163460947.00999999"/>
    </cacheField>
    <cacheField name="Títulos Pendientes" numFmtId="3">
      <sharedItems containsSemiMixedTypes="0" containsString="0" containsNumber="1" containsInteger="1" minValue="0" maxValue="0"/>
    </cacheField>
    <cacheField name="Monto Pendiente" numFmtId="167">
      <sharedItems containsSemiMixedTypes="0" containsString="0" containsNumber="1" containsInteger="1" minValue="0" maxValue="0"/>
    </cacheField>
    <cacheField name="Títulos Totales" numFmtId="3">
      <sharedItems containsSemiMixedTypes="0" containsString="0" containsNumber="1" containsInteger="1" minValue="-21725" maxValue="651583020"/>
    </cacheField>
    <cacheField name="Monto Total" numFmtId="167">
      <sharedItems containsSemiMixedTypes="0" containsString="0" containsNumber="1" minValue="-39978562.25" maxValue="2369479045.8979201"/>
    </cacheField>
    <cacheField name="Promotor" numFmtId="0">
      <sharedItems/>
    </cacheField>
    <cacheField name="Centro de Costos" numFmtId="0">
      <sharedItems containsSemiMixedTypes="0" containsString="0" containsNumber="1" containsInteger="1" minValue="7414000005" maxValue="74140000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s v="PENSIONES"/>
    <s v="Gestion"/>
    <x v="0"/>
    <s v="FORTE TABASCO"/>
    <n v="31054.78"/>
    <n v="0"/>
    <n v="31054.78"/>
    <s v="El Cliente no ha enviado su información / ya se solicitó vía correo "/>
  </r>
  <r>
    <m/>
    <m/>
    <x v="1"/>
    <m/>
    <m/>
    <m/>
    <m/>
    <m/>
  </r>
  <r>
    <s v="PENSIONES"/>
    <s v="Gestion"/>
    <x v="2"/>
    <s v="Envasabon Pensiones"/>
    <n v="-647.04999999999995"/>
    <n v="0"/>
    <n v="-647.04999999999995"/>
    <s v="CONTRATO CON POSICION DE $682.60"/>
  </r>
  <r>
    <s v="PENSIONES"/>
    <s v="Gestion"/>
    <x v="3"/>
    <s v="MANTARA"/>
    <n v="-18704512.940000001"/>
    <n v="0"/>
    <n v="-18704512.940000001"/>
    <s v="Cancelacion de contrato"/>
  </r>
  <r>
    <s v="PENSIONES"/>
    <s v="Gestion"/>
    <x v="4"/>
    <s v="CHARTIS"/>
    <n v="-103140348.26000001"/>
    <n v="0"/>
    <n v="-103140348.26000001"/>
    <s v="Cancelacion de contrato"/>
  </r>
  <r>
    <s v="F AHORRO"/>
    <s v="Gestion"/>
    <x v="5"/>
    <s v="SERV. PANAMERICANOS DE PROTECCIÓN"/>
    <n v="2069057.89"/>
    <n v="0"/>
    <n v="2069057.89"/>
    <s v="El Cliente no ha enviado su información / ya se solicitó vía correo "/>
  </r>
  <r>
    <s v="PENSIONES"/>
    <s v="Gestion"/>
    <x v="0"/>
    <s v="FORTE TABASCO"/>
    <n v="-604601.4"/>
    <n v="0"/>
    <n v="-604601.4"/>
    <s v="El Cliente no ha enviado su información / ya se solicitó vía correo "/>
  </r>
  <r>
    <s v="F AHORRO"/>
    <s v="Gestion"/>
    <x v="5"/>
    <s v="SERV. PANAMERICANOS DE PROTECCIÓN"/>
    <n v="2061277.72"/>
    <n v="0"/>
    <n v="2061277.72"/>
    <s v="El Cliente no ha enviado su información / ya se solicitó vía correo "/>
  </r>
  <r>
    <s v="F AHORRO"/>
    <s v="Gestion"/>
    <x v="5"/>
    <s v="SERV. PANAMERICANOS DE PROTECCIÓN"/>
    <n v="2038359.8"/>
    <n v="0"/>
    <n v="2038359.8"/>
    <s v="El Cliente no ha enviado su información / ya se solicitó vía correo "/>
  </r>
  <r>
    <s v="F AHORRO"/>
    <s v="Gestion"/>
    <x v="5"/>
    <s v="SERV. PANAMERICANOS DE PROTECCIÓN"/>
    <n v="1960623.51"/>
    <n v="0"/>
    <n v="1960623.51"/>
    <s v="El Cliente no ha enviado su información / ya se solicitó vía correo "/>
  </r>
  <r>
    <s v="F AHORRO"/>
    <s v="Gestion"/>
    <x v="5"/>
    <s v="SERV. PANAMERICANOS DE PROTECCIÓN"/>
    <n v="2170433.7200000002"/>
    <n v="0"/>
    <n v="2170433.7200000002"/>
    <s v="El Cliente no ha enviado su información / ya se solicitó vía correo "/>
  </r>
  <r>
    <s v="F AHORRO"/>
    <s v="Gestion"/>
    <x v="5"/>
    <s v="SERV. PANAMERICANOS DE PROTECCIÓN"/>
    <n v="1942702.82"/>
    <n v="0"/>
    <n v="1942702.82"/>
    <s v="El Cliente no ha enviado su información / ya se solicitó vía correo "/>
  </r>
  <r>
    <s v="F AHORRO"/>
    <s v="Gestion"/>
    <x v="5"/>
    <s v="SERV. PANAMERICANOS DE PROTECCIÓN"/>
    <n v="-2419615.39"/>
    <n v="0"/>
    <n v="-2419615.39"/>
    <s v="El Cliente no ha enviado su información / ya se solicitó vía correo "/>
  </r>
  <r>
    <s v="CAJA DE AHORRO "/>
    <s v="Gestion"/>
    <x v="6"/>
    <s v="SERVICIOS PAN AMERICANO DE PROTECCION CAJA DE AHORRO"/>
    <n v="55020.52"/>
    <n v="0"/>
    <n v="55020.52"/>
    <s v="El Cliente no ha enviado su información / ya se solicitó vía correo "/>
  </r>
  <r>
    <s v="CAJA DE AHORRO "/>
    <s v="Gestion"/>
    <x v="6"/>
    <s v="SERVICIOS PAN AMERICANO DE PROTECCION CAJA DE AHORRO"/>
    <n v="-661842.36"/>
    <n v="0"/>
    <n v="-661842.36"/>
    <s v="El Cliente no ha enviado su información / ya se solicitó vía correo "/>
  </r>
  <r>
    <s v="PENSIONES"/>
    <s v="Gestion"/>
    <x v="0"/>
    <s v="FORTE TABASCO"/>
    <n v="331073.77"/>
    <n v="0"/>
    <n v="331073.77"/>
    <s v="El Cliente no ha enviado su información / ya se solicitó vía correo "/>
  </r>
  <r>
    <s v="PENSIONES"/>
    <s v="Gestion"/>
    <x v="0"/>
    <s v="FORTE TABASCO"/>
    <n v="298356.01"/>
    <n v="0"/>
    <n v="298356.01"/>
    <s v="El Cliente no ha enviado su información / ya se solicitó vía correo "/>
  </r>
  <r>
    <s v="CAJA DE AHORRO "/>
    <s v="Gestion"/>
    <x v="6"/>
    <s v="SERVICIOS PAN AMERICANO DE PROTECCION CAJA DE AHORRO"/>
    <n v="18000"/>
    <n v="0"/>
    <n v="18000"/>
    <s v="El Cliente no ha enviado su información / ya se solicitó vía correo "/>
  </r>
  <r>
    <s v="CAJA DE AHORRO "/>
    <s v="Gestion"/>
    <x v="6"/>
    <s v="SERVICIOS PAN AMERICANO DE PROTECCION CAJA DE AHORRO"/>
    <n v="66863.91"/>
    <n v="0"/>
    <n v="66863.91"/>
    <s v="El Cliente no ha enviado su información / ya se solicitó vía correo "/>
  </r>
  <r>
    <s v="CAJA DE AHORRO "/>
    <s v="Gestion"/>
    <x v="6"/>
    <s v="SERVICIOS PAN AMERICANO DE PROTECCION CAJA DE AHORRO"/>
    <n v="11670"/>
    <n v="0"/>
    <n v="11670"/>
    <s v="El Cliente no ha enviado su información / ya se solicitó vía correo "/>
  </r>
  <r>
    <s v="CAJA DE AHORRO "/>
    <s v="Gestion"/>
    <x v="6"/>
    <s v="SERVICIOS PAN AMERICANO DE PROTECCION CAJA DE AHORRO"/>
    <n v="82784.75"/>
    <n v="0"/>
    <n v="82784.75"/>
    <s v="El Cliente no ha enviado su información / ya se solicitó vía correo "/>
  </r>
  <r>
    <s v="CAJA DE AHORRO "/>
    <s v="Gestion"/>
    <x v="6"/>
    <s v="SERVICIOS PAN AMERICANO DE PROTECCION CAJA DE AHORRO"/>
    <n v="82784.75"/>
    <n v="0"/>
    <n v="82784.75"/>
    <s v="El Cliente no ha enviado su información / ya se solicitó vía correo "/>
  </r>
  <r>
    <s v="CAJA DE AHORRO "/>
    <s v="Gestion"/>
    <x v="6"/>
    <s v="SERVICIOS PAN AMERICANO DE PROTECCION CAJA DE AHORRO"/>
    <n v="4230.76"/>
    <n v="0"/>
    <n v="4230.76"/>
    <s v="El Cliente no ha enviado su información / ya se solicitó vía correo "/>
  </r>
  <r>
    <s v="PENSIONES"/>
    <s v="Gestion"/>
    <x v="0"/>
    <s v="FORTE TABASCO"/>
    <n v="434948.02"/>
    <n v="0"/>
    <n v="434948.02"/>
    <s v="El Cliente no ha enviado su información / ya se solicitó vía correo "/>
  </r>
  <r>
    <s v="CAJA DE AHORRO "/>
    <s v="Gestion"/>
    <x v="6"/>
    <s v="SERVICIOS PAN AMERICANO DE PROTECCION CAJA DE AHORRO"/>
    <n v="48482.13"/>
    <n v="0"/>
    <n v="48482.13"/>
    <s v="El Cliente no ha enviado su información / ya se solicitó vía correo "/>
  </r>
  <r>
    <s v="CAJA DE AHORRO "/>
    <s v="Gestion"/>
    <x v="6"/>
    <s v="SERVICIOS PAN AMERICANO DE PROTECCION CAJA DE AHORRO"/>
    <n v="141692.41"/>
    <n v="0"/>
    <n v="141692.41"/>
    <s v="El Cliente no ha enviado su información / ya se solicitó vía correo "/>
  </r>
  <r>
    <s v="CAJA DE AHORRO "/>
    <s v="Gestion"/>
    <x v="6"/>
    <s v="SERVICIOS PAN AMERICANO DE PROTECCION CAJA DE AHORRO"/>
    <n v="-350095.95"/>
    <n v="0"/>
    <n v="-350095.95"/>
    <s v="El Cliente no ha enviado su información / ya se solicitó vía correo "/>
  </r>
  <r>
    <s v="CAJA DE AHORRO "/>
    <s v="Gestion"/>
    <x v="6"/>
    <s v="SERVICIOS PAN AMERICANO DE PROTECCION CAJA DE AHORRO"/>
    <n v="62651.09"/>
    <n v="0"/>
    <n v="62651.09"/>
    <s v="El Cliente no ha enviado su información / ya se solicitó vía correo "/>
  </r>
  <r>
    <s v="PENSIONES"/>
    <s v="Gestion"/>
    <x v="0"/>
    <s v="FORTE TABASCO"/>
    <n v="1817831.03"/>
    <n v="0"/>
    <n v="1817831.03"/>
    <s v="El Cliente no ha enviado su información / ya se solicitó vía correo "/>
  </r>
  <r>
    <s v="CAJA DE AHORRO "/>
    <s v="Gestion"/>
    <x v="6"/>
    <s v="SERVICIOS PAN AMERICANO DE PROTECCION CAJA DE AHORRO"/>
    <n v="-87534.38"/>
    <n v="0"/>
    <n v="-87534.38"/>
    <s v="El Cliente no ha enviado su información / ya se solicitó vía correo "/>
  </r>
  <r>
    <s v="PENSIONES"/>
    <s v="Gestion"/>
    <x v="0"/>
    <s v="FORTE TABASCO"/>
    <n v="51199.7"/>
    <n v="0"/>
    <n v="51199.7"/>
    <s v="El Cliente no ha enviado su información / ya se solicitó vía correo "/>
  </r>
  <r>
    <s v="CAJA DE AHORRO "/>
    <s v="Gestion"/>
    <x v="6"/>
    <s v="SERVICIOS PAN AMERICANO DE PROTECCION CAJA DE AHORRO"/>
    <n v="-623994.22"/>
    <n v="0"/>
    <n v="-623994.22"/>
    <s v="El Cliente no ha enviado su información / ya se solicitó vía correo "/>
  </r>
  <r>
    <s v="CAJA DE AHORRO "/>
    <s v="Gestion"/>
    <x v="6"/>
    <s v="SERVICIOS PAN AMERICANO DE PROTECCION CAJA DE AHORRO"/>
    <n v="-208800"/>
    <n v="0"/>
    <n v="-208800"/>
    <s v="El Cliente no ha enviado su información / ya se solicitó vía correo "/>
  </r>
  <r>
    <s v="CAJA DE AHORRO "/>
    <s v="Gestion"/>
    <x v="6"/>
    <s v="SERVICIOS PAN AMERICANO DE PROTECCION CAJA DE AHORRO"/>
    <n v="6156.73"/>
    <n v="0"/>
    <n v="6156.73"/>
    <s v="El Cliente no ha enviado su información / ya se solicitó vía correo "/>
  </r>
  <r>
    <s v="CAJA DE AHORRO "/>
    <s v="Gestion"/>
    <x v="6"/>
    <s v="SERVICIOS PAN AMERICANO DE PROTECCION CAJA DE AHORRO"/>
    <n v="3639.06"/>
    <n v="0"/>
    <n v="3639.06"/>
    <s v="El Cliente no ha enviado su información / ya se solicitó vía correo "/>
  </r>
  <r>
    <s v="CAJA DE AHORRO "/>
    <s v="Gestion"/>
    <x v="6"/>
    <s v="SERVICIOS PAN AMERICANO DE PROTECCION CAJA DE AHORRO"/>
    <n v="-658792.95999999996"/>
    <n v="0"/>
    <n v="-658792.95999999996"/>
    <s v="El Cliente no ha enviado su información / ya se solicitó vía correo "/>
  </r>
  <r>
    <s v="CAJA DE AHORRO "/>
    <s v="Gestion"/>
    <x v="6"/>
    <s v="SERVICIOS PAN AMERICANO DE PROTECCION CAJA DE AHORRO"/>
    <n v="90000"/>
    <n v="0"/>
    <n v="90000"/>
    <s v="El Cliente no ha enviado su información / ya se solicitó vía correo "/>
  </r>
  <r>
    <s v="CAJA DE AHORRO "/>
    <s v="Gestion"/>
    <x v="6"/>
    <s v="SERVICIOS PAN AMERICANO DE PROTECCION CAJA DE AHORRO"/>
    <n v="70000"/>
    <n v="0"/>
    <n v="70000"/>
    <s v="El Cliente no ha enviado su información / ya se solicitó vía correo "/>
  </r>
  <r>
    <s v="PENSIONES"/>
    <s v="Gestion"/>
    <x v="0"/>
    <s v="FORTE TABASCO"/>
    <n v="109453.71"/>
    <n v="0"/>
    <n v="109453.71"/>
    <s v="El Cliente no ha enviado su información / ya se solicitó vía correo "/>
  </r>
  <r>
    <s v="CAJA DE AHORRO "/>
    <s v="Gestion"/>
    <x v="6"/>
    <s v="SERVICIOS PAN AMERICANO DE PROTECCION CAJA DE AHORRO"/>
    <n v="13461.52"/>
    <n v="0"/>
    <n v="13461.52"/>
    <s v="El Cliente no ha enviado su información / ya se solicitó vía correo "/>
  </r>
  <r>
    <s v="CAJA DE AHORRO "/>
    <s v="Gestion"/>
    <x v="6"/>
    <s v="SERVICIOS PAN AMERICANO DE PROTECCION CAJA DE AHORRO"/>
    <n v="18999.98"/>
    <n v="0"/>
    <n v="18999.98"/>
    <s v="El Cliente no ha enviado su información / ya se solicitó vía correo "/>
  </r>
  <r>
    <s v="CAJA DE AHORRO "/>
    <s v="Gestion"/>
    <x v="6"/>
    <s v="SERVICIOS PAN AMERICANO DE PROTECCION CAJA DE AHORRO"/>
    <n v="176286.21"/>
    <n v="0"/>
    <n v="176286.21"/>
    <s v="El Cliente no ha enviado su información / ya se solicitó vía correo "/>
  </r>
  <r>
    <s v="CAJA DE AHORRO "/>
    <s v="Gestion"/>
    <x v="6"/>
    <s v="SERVICIOS PAN AMERICANO DE PROTECCION CAJA DE AHORRO"/>
    <n v="10616"/>
    <n v="0"/>
    <n v="10616"/>
    <s v="El Cliente no ha enviado su información / ya se solicitó vía correo "/>
  </r>
  <r>
    <s v="CAJA DE AHORRO "/>
    <s v="Gestion"/>
    <x v="6"/>
    <s v="SERVICIOS PAN AMERICANO DE PROTECCION CAJA DE AHORRO"/>
    <n v="-389115.65"/>
    <n v="0"/>
    <n v="-389115.65"/>
    <s v="El Cliente no ha enviado su información / ya se solicitó vía correo "/>
  </r>
  <r>
    <s v="CAJA DE AHORRO "/>
    <s v="Gestion"/>
    <x v="6"/>
    <s v="SERVICIOS PAN AMERICANO DE PROTECCION CAJA DE AHORRO"/>
    <n v="4281"/>
    <n v="0"/>
    <n v="4281"/>
    <s v="El Cliente no ha enviado su información / ya se solicitó vía correo "/>
  </r>
  <r>
    <s v="CAJA DE AHORRO "/>
    <s v="Gestion"/>
    <x v="6"/>
    <s v="SERVICIOS PAN AMERICANO DE PROTECCION CAJA DE AHORRO"/>
    <n v="4292.3599999999997"/>
    <n v="0"/>
    <n v="4292.3599999999997"/>
    <s v="El Cliente no ha enviado su información / ya se solicitó vía correo "/>
  </r>
  <r>
    <s v="F AHORRO"/>
    <s v="Gestion"/>
    <x v="7"/>
    <s v="DANONE OAM FDO AHORRO"/>
    <n v="-3446505.38"/>
    <n v="0"/>
    <n v="-3446505.38"/>
    <s v="CONTRATO LIQUIDADO"/>
  </r>
  <r>
    <s v="PENSIONES"/>
    <s v="Gestion"/>
    <x v="0"/>
    <s v="FORTE TABASCO"/>
    <n v="268564.27"/>
    <n v="0"/>
    <n v="268564.27"/>
    <s v="El Cliente no ha enviado su información / ya se solicitó vía correo "/>
  </r>
  <r>
    <s v="F AHORRO"/>
    <s v="Gestion"/>
    <x v="5"/>
    <s v="SERV. PANAMERICANOS DE PROTECCIÓN"/>
    <n v="1967081.69"/>
    <n v="0"/>
    <n v="1967081.69"/>
    <s v="El Cliente no ha enviado su información / ya se solicitó vía correo "/>
  </r>
  <r>
    <s v="CAJA DE AHORRO "/>
    <s v="Gestion"/>
    <x v="6"/>
    <s v="SERVICIOS PAN AMERICANO DE PROTECCION CAJA DE AHORRO"/>
    <n v="119241.17"/>
    <n v="0"/>
    <n v="119241.17"/>
    <s v="El Cliente no ha enviado su información / ya se solicitó vía correo "/>
  </r>
  <r>
    <s v="F AHORRO"/>
    <s v="Gestion"/>
    <x v="8"/>
    <s v="Elevadores OTIS Fondo de Ahorro Sindicalizados"/>
    <n v="508146.72"/>
    <n v="0"/>
    <n v="508146.72"/>
    <s v="El Cliente no ha enviado su información / ya se solicitó vía correo "/>
  </r>
  <r>
    <s v="PENSIONES"/>
    <s v="Gestion"/>
    <x v="9"/>
    <s v="UNIVERSIDAD AUTONOMA DE AGUASCALIENTES"/>
    <n v="873686.84"/>
    <n v="855777.31"/>
    <n v="17909.529999999799"/>
    <s v="El Cliente no ha enviado su información / ya se solicitó vía correo "/>
  </r>
  <r>
    <s v="PENSIONES"/>
    <s v="Gestion"/>
    <x v="10"/>
    <s v="UNIVERSIDAD AUTONOMA DE AGUASCALIENTES"/>
    <n v="351097.05"/>
    <n v="318240.8"/>
    <n v="32856.250000000298"/>
    <s v="El Cliente no ha enviado su información / ya se solicitó vía correo "/>
  </r>
  <r>
    <s v="PENSIONES"/>
    <s v="Gestion"/>
    <x v="11"/>
    <s v="UNIVERSIDAD AUTONOMA DE AGUASCALIENTES"/>
    <n v="2831914.35"/>
    <n v="1828029.32"/>
    <n v="1003885.03"/>
    <s v="El Cliente no ha enviado su información / ya se solicitó vía correo "/>
  </r>
  <r>
    <s v="PENSIONES"/>
    <s v="Gestion"/>
    <x v="12"/>
    <s v="SANTEMP35"/>
    <n v="-28432.35"/>
    <n v="0"/>
    <n v="-28432.35"/>
    <s v="T+2"/>
  </r>
  <r>
    <s v="PENSIONES"/>
    <s v="Gestion"/>
    <x v="13"/>
    <s v="SANTCIA35"/>
    <n v="-58311.03"/>
    <n v="0"/>
    <n v="-58311.03"/>
    <s v="T+2"/>
  </r>
  <r>
    <s v="PENSIONES"/>
    <s v="Gestion"/>
    <x v="0"/>
    <s v="FORTE TABASCO"/>
    <n v="327759.62"/>
    <n v="0"/>
    <n v="327759.62"/>
    <s v="El Cliente no ha enviado su información / ya se solicitó vía correo "/>
  </r>
  <r>
    <s v="F AHORRO"/>
    <s v="Gestion"/>
    <x v="5"/>
    <s v="SERV. PANAMERICANOS DE PROTECCIÓN"/>
    <n v="1872439.43"/>
    <n v="0"/>
    <n v="1872439.43"/>
    <s v="El Cliente no ha enviado su información / ya se solicitó vía correo "/>
  </r>
  <r>
    <s v="CAJA DE AHORRO "/>
    <s v="Gestion"/>
    <x v="6"/>
    <s v="SERVICIOS PAN AMERICANO DE PROTECCION CAJA DE AHORRO"/>
    <n v="-294867.21999999997"/>
    <n v="0"/>
    <n v="-294867.21999999997"/>
    <s v="El Cliente no ha enviado su información / ya se solicitó vía correo "/>
  </r>
  <r>
    <s v="F AHORRO"/>
    <s v="Gestion"/>
    <x v="8"/>
    <s v="Elevadores OTIS Fondo de Ahorro Sindicalizados"/>
    <n v="517259.28"/>
    <n v="0"/>
    <n v="517259.28"/>
    <s v="El Cliente no ha enviado su información / ya se solicitó vía correo "/>
  </r>
  <r>
    <s v="PENSIONES"/>
    <s v="Gestion"/>
    <x v="0"/>
    <s v="FORTE TABASCO"/>
    <n v="184746"/>
    <n v="0"/>
    <n v="184746"/>
    <s v="El Cliente no ha enviado su información / ya se solicitó vía correo "/>
  </r>
  <r>
    <s v="F AHORRO"/>
    <s v="Gestion"/>
    <x v="8"/>
    <s v="Elevadores OTIS Fondo de Ahorro Sindicalizados"/>
    <n v="497664.44"/>
    <n v="0"/>
    <n v="497664.44"/>
    <s v="El Cliente no ha enviado su información / ya se solicitó vía correo "/>
  </r>
  <r>
    <s v="PENSIONES"/>
    <s v="Gestion"/>
    <x v="14"/>
    <s v="SANTEP20"/>
    <n v="3390671.97"/>
    <n v="0"/>
    <n v="3390671.97"/>
    <s v="T+2"/>
  </r>
  <r>
    <s v="PENSIONES"/>
    <s v="Gestion"/>
    <x v="15"/>
    <s v="GESTION EMPL"/>
    <n v="115985.68"/>
    <n v="0"/>
    <n v="115985.68"/>
    <s v="T+2"/>
  </r>
  <r>
    <s v="PENSIONES"/>
    <s v="Gestion"/>
    <x v="16"/>
    <s v="GESTION CIA"/>
    <n v="242424.47"/>
    <n v="0"/>
    <n v="242424.47"/>
    <s v="T+2"/>
  </r>
  <r>
    <s v="PENSIONES"/>
    <s v="Gestion"/>
    <x v="17"/>
    <s v="INCLUSION FINANCIERA"/>
    <n v="44711.37"/>
    <n v="0"/>
    <n v="44711.37"/>
    <s v="T+2"/>
  </r>
  <r>
    <s v="PENSIONES"/>
    <s v="Gestion"/>
    <x v="18"/>
    <s v="INCLUSION FINANCIERA"/>
    <n v="19029.52"/>
    <n v="0"/>
    <n v="19029.52"/>
    <s v="T+2"/>
  </r>
  <r>
    <s v="PENSIONES"/>
    <s v="Gestion"/>
    <x v="19"/>
    <s v="GESBAN-AEMP"/>
    <n v="74306.69"/>
    <n v="0"/>
    <n v="74306.69"/>
    <s v="T+2"/>
  </r>
  <r>
    <s v="PENSIONES"/>
    <s v="Gestion"/>
    <x v="20"/>
    <s v="GESBAN-HACIA"/>
    <n v="159827.01"/>
    <n v="0"/>
    <n v="159827.01"/>
    <s v="T+2"/>
  </r>
  <r>
    <s v="PENSIONES"/>
    <s v="Gestion"/>
    <x v="12"/>
    <s v="SANTEMP35"/>
    <n v="4328510.0999999996"/>
    <n v="0"/>
    <n v="4328510.0999999996"/>
    <s v="T+2"/>
  </r>
  <r>
    <s v="PENSIONES"/>
    <s v="Gestion"/>
    <x v="21"/>
    <s v="SANTEMP50"/>
    <n v="1309456.73"/>
    <n v="0"/>
    <n v="1309456.73"/>
    <s v="T+2"/>
  </r>
  <r>
    <s v="PENSIONES"/>
    <s v="Gestion"/>
    <x v="22"/>
    <s v="SANTEMP60"/>
    <n v="1298922.24"/>
    <n v="0"/>
    <n v="1298922.24"/>
    <s v="T+2"/>
  </r>
  <r>
    <s v="PENSIONES"/>
    <s v="Gestion"/>
    <x v="23"/>
    <s v="C.B. EMPL"/>
    <n v="23167.33"/>
    <n v="0"/>
    <n v="23167.33"/>
    <s v="T+2"/>
  </r>
  <r>
    <s v="PENSIONES"/>
    <s v="Gestion"/>
    <x v="24"/>
    <s v="C.B. CIA"/>
    <n v="50859.16"/>
    <n v="0"/>
    <n v="50859.16"/>
    <s v="T+2"/>
  </r>
  <r>
    <s v="CAJA DE AHORRO "/>
    <s v="Gestion"/>
    <x v="6"/>
    <s v="SERVICIOS PAN AMERICANO DE PROTECCION CAJA DE AHORRO"/>
    <n v="121332.75"/>
    <n v="0"/>
    <n v="121332.75"/>
    <s v="El Cliente no ha enviado su información / ya se solicitó vía correo "/>
  </r>
  <r>
    <s v="PENSIONES"/>
    <s v="Gestion"/>
    <x v="25"/>
    <s v="BANCO S3 CIA"/>
    <n v="120471.67"/>
    <n v="0"/>
    <n v="120471.67"/>
    <s v="T+2"/>
  </r>
  <r>
    <s v="PENSIONES"/>
    <s v="Gestion"/>
    <x v="26"/>
    <s v="BANCO S3 EMP"/>
    <n v="56551.03"/>
    <n v="0"/>
    <n v="56551.03"/>
    <s v="T+2"/>
  </r>
  <r>
    <s v="PENSIONES"/>
    <s v="Gestion"/>
    <x v="26"/>
    <s v="BANCO S3 EMP"/>
    <n v="-7023.91"/>
    <n v="0"/>
    <n v="-7023.91"/>
    <s v="T+2"/>
  </r>
  <r>
    <s v="PENSIONES"/>
    <s v="Gestion"/>
    <x v="15"/>
    <s v="GESTION EMPL"/>
    <n v="-210603.38"/>
    <n v="0"/>
    <n v="-210603.38"/>
    <s v="T+2"/>
  </r>
  <r>
    <s v="PENSIONES"/>
    <s v="Gestion"/>
    <x v="16"/>
    <s v="GESTION CIA"/>
    <n v="-225952.55"/>
    <n v="0"/>
    <n v="-225952.55"/>
    <s v="T+2"/>
  </r>
  <r>
    <s v="F AHORRO"/>
    <s v="Gestion"/>
    <x v="8"/>
    <s v="Elevadores OTIS Fondo de Ahorro Sindicalizados"/>
    <n v="542109.96"/>
    <n v="0"/>
    <n v="542109.96"/>
    <s v="El Cliente no ha enviado su información / ya se solicitó vía correo "/>
  </r>
  <r>
    <s v="CAJA DE AHORRO "/>
    <s v="Gestion"/>
    <x v="6"/>
    <s v="SERVICIOS PAN AMERICANO DE PROTECCION CAJA DE AHORRO"/>
    <n v="37515.54"/>
    <n v="0"/>
    <n v="37515.54"/>
    <s v="El Cliente no ha enviado su información / ya se solicitó vía correo "/>
  </r>
  <r>
    <s v="PENSIONES"/>
    <s v="Gestion"/>
    <x v="14"/>
    <s v="SANTEP20"/>
    <n v="-3906939.16"/>
    <n v="0"/>
    <n v="-3906939.16"/>
    <s v="T+2"/>
  </r>
  <r>
    <s v="PENSIONES"/>
    <s v="Gestion"/>
    <x v="12"/>
    <s v="SANTEMP35"/>
    <n v="-9039171.5600000005"/>
    <n v="0"/>
    <n v="-9039171.5600000005"/>
    <s v="T+2"/>
  </r>
  <r>
    <s v="PENSIONES"/>
    <s v="Gestion"/>
    <x v="21"/>
    <s v="SANTEMP50"/>
    <n v="-4414481.1500000004"/>
    <n v="0"/>
    <n v="-4414481.1500000004"/>
    <s v="T+2"/>
  </r>
  <r>
    <s v="PENSIONES"/>
    <s v="Gestion"/>
    <x v="22"/>
    <s v="SANTEMP60"/>
    <n v="3602034.32"/>
    <n v="0"/>
    <n v="3602034.32"/>
    <s v="T+2"/>
  </r>
  <r>
    <n v="0"/>
    <n v="0"/>
    <x v="27"/>
    <s v="CFE"/>
    <n v="1741792"/>
    <n v="0"/>
    <n v="1741792"/>
    <s v="El Cliente no ha enviado su información / ya se solicitó vía correo "/>
  </r>
  <r>
    <s v="PENSIONES"/>
    <s v="Gestion"/>
    <x v="14"/>
    <s v="SANTEP20"/>
    <n v="3529258.74"/>
    <n v="0"/>
    <n v="3529258.74"/>
    <s v="T+2"/>
  </r>
  <r>
    <s v="PENSIONES"/>
    <s v="Gestion"/>
    <x v="15"/>
    <s v="GESTION EMPL"/>
    <n v="122330.12"/>
    <n v="0"/>
    <n v="122330.12"/>
    <s v="T+2"/>
  </r>
  <r>
    <s v="PENSIONES"/>
    <s v="Gestion"/>
    <x v="16"/>
    <s v="GESTION CIA"/>
    <n v="257539.06"/>
    <n v="0"/>
    <n v="257539.06"/>
    <s v="T+2"/>
  </r>
  <r>
    <s v="PENSIONES"/>
    <s v="Gestion"/>
    <x v="17"/>
    <s v="INCLUSION FINANCIERA"/>
    <n v="46706.37"/>
    <n v="0"/>
    <n v="46706.37"/>
    <s v="T+2"/>
  </r>
  <r>
    <s v="PENSIONES"/>
    <s v="Gestion"/>
    <x v="18"/>
    <s v="INCLUSION FINANCIERA"/>
    <n v="19694.52"/>
    <n v="0"/>
    <n v="19694.52"/>
    <s v="T+2"/>
  </r>
  <r>
    <s v="PENSIONES"/>
    <s v="Gestion"/>
    <x v="19"/>
    <s v="GESBAN-AEMP"/>
    <n v="75086.67"/>
    <n v="0"/>
    <n v="75086.67"/>
    <s v="T+2"/>
  </r>
  <r>
    <s v="PENSIONES"/>
    <s v="Gestion"/>
    <x v="20"/>
    <s v="GESBAN-HACIA"/>
    <n v="162362.76999999999"/>
    <n v="0"/>
    <n v="162362.76999999999"/>
    <s v="T+2"/>
  </r>
  <r>
    <s v="PENSIONES"/>
    <s v="Gestion"/>
    <x v="12"/>
    <s v="SANTEMP35"/>
    <n v="4306948.6900000004"/>
    <n v="0"/>
    <n v="4306948.6900000004"/>
    <s v="T+2"/>
  </r>
  <r>
    <s v="PENSIONES"/>
    <s v="Gestion"/>
    <x v="21"/>
    <s v="SANTEMP50"/>
    <n v="1349325.79"/>
    <n v="0"/>
    <n v="1349325.79"/>
    <s v="T+2"/>
  </r>
  <r>
    <s v="PENSIONES"/>
    <s v="Gestion"/>
    <x v="22"/>
    <s v="SANTEMP60"/>
    <n v="1333999.6499999999"/>
    <n v="0"/>
    <n v="1333999.6499999999"/>
    <s v="T+2"/>
  </r>
  <r>
    <s v="PENSIONES"/>
    <s v="Gestion"/>
    <x v="23"/>
    <s v="C.B. EMPL"/>
    <n v="20030.91"/>
    <n v="0"/>
    <n v="20030.91"/>
    <s v="T+2"/>
  </r>
  <r>
    <s v="PENSIONES"/>
    <s v="Gestion"/>
    <x v="24"/>
    <s v="C.B. CIA"/>
    <n v="45351.11"/>
    <n v="0"/>
    <n v="45351.11"/>
    <s v="T+2"/>
  </r>
  <r>
    <s v="PENSIONES"/>
    <s v="Gestion"/>
    <x v="25"/>
    <s v="BANCO S3 CIA"/>
    <n v="124027.91"/>
    <n v="0"/>
    <n v="124027.91"/>
    <s v="T+2"/>
  </r>
  <r>
    <s v="PENSIONES"/>
    <s v="Gestion"/>
    <x v="26"/>
    <s v="BANCO S3 EMP"/>
    <n v="57654.1"/>
    <n v="0"/>
    <n v="57654.1"/>
    <s v="T+2"/>
  </r>
  <r>
    <s v="F AHORRO"/>
    <s v="Gestion"/>
    <x v="8"/>
    <s v="Elevadores OTIS Fondo de Ahorro Sindicalizados"/>
    <n v="488879.84"/>
    <n v="0"/>
    <n v="488879.84"/>
    <s v="El Cliente no ha enviado su información / ya se solicitó vía correo "/>
  </r>
  <r>
    <s v="CAJA DE AHORRO "/>
    <s v="Gestion"/>
    <x v="6"/>
    <s v="SERVICIOS PAN AMERICANO DE PROTECCION CAJA DE AHORRO"/>
    <n v="13846.16"/>
    <n v="0"/>
    <n v="13846.16"/>
    <s v="El Cliente no ha enviado su información / ya se solicitó vía correo "/>
  </r>
  <r>
    <s v="F AHORRO"/>
    <s v="Gestion"/>
    <x v="5"/>
    <s v="SERV. PANAMERICANOS DE PROTECCIÓN"/>
    <n v="1972975.65"/>
    <n v="0"/>
    <n v="1972975.65"/>
    <s v="El Cliente no ha enviado su información / ya se solicitó vía correo "/>
  </r>
  <r>
    <s v="F AHORRO"/>
    <s v="Gestion"/>
    <x v="28"/>
    <s v="BOLSA MEXICANA SIF-ICAP"/>
    <n v="353633.8"/>
    <n v="0"/>
    <n v="353633.8"/>
    <s v="El Cliente no ha enviado su información / ya se solicitó vía correo "/>
  </r>
  <r>
    <s v="PENSIONES"/>
    <s v="Gestion"/>
    <x v="19"/>
    <s v="GESBAN-AEMP"/>
    <n v="4939.75"/>
    <n v="0"/>
    <n v="4939.75"/>
    <s v="T+2"/>
  </r>
  <r>
    <s v="PENSIONES"/>
    <s v="Gestion"/>
    <x v="20"/>
    <s v="GESBAN-HACIA"/>
    <n v="14813.16"/>
    <n v="0"/>
    <n v="14813.16"/>
    <s v="T+2"/>
  </r>
  <r>
    <s v="PENSIONES"/>
    <s v="Gestion"/>
    <x v="23"/>
    <s v="C.B. EMPL"/>
    <n v="-517001.14"/>
    <n v="0"/>
    <n v="-517001.14"/>
    <s v="T+2"/>
  </r>
  <r>
    <s v="PENSIONES"/>
    <s v="Gestion"/>
    <x v="24"/>
    <s v="C.B. CIA"/>
    <n v="-1027544.14"/>
    <n v="0"/>
    <n v="-1027544.14"/>
    <s v="T+2"/>
  </r>
  <r>
    <s v="F AHORRO"/>
    <s v="Gestion"/>
    <x v="29"/>
    <s v="DANONE DE MEXICO SEMANAL"/>
    <n v="2064207.96"/>
    <n v="0"/>
    <n v="2064207.96"/>
    <s v="El Cliente no ha enviado su información / ya se solicitó vía correo "/>
  </r>
  <r>
    <s v="F AHORRO"/>
    <s v="Gestion"/>
    <x v="30"/>
    <s v="DANONE DE MEXICO QUINCENAL"/>
    <n v="4812430.88"/>
    <n v="0"/>
    <n v="4812430.88"/>
    <s v="El Cliente no ha enviado su información / ya se solicitó vía correo "/>
  </r>
  <r>
    <s v="F.AHORRO"/>
    <s v="Gestion"/>
    <x v="31"/>
    <s v="EAMSIND - Envasadoras de Aguas en México Sind"/>
    <n v="719603.28"/>
    <n v="0"/>
    <n v="719603.28"/>
    <s v="El Cliente no ha enviado su información / ya se solicitó vía correo "/>
  </r>
  <r>
    <s v="F AHORRO"/>
    <s v="Gestion"/>
    <x v="32"/>
    <s v="SUPREMA"/>
    <n v="2494079.54"/>
    <n v="0"/>
    <n v="2494079.54"/>
    <s v="El Cliente no ha enviado su información / ya se solicitó vía correo "/>
  </r>
  <r>
    <s v="F AHORRO"/>
    <s v="Gestion"/>
    <x v="33"/>
    <s v="BONAFONT SEMANAL"/>
    <n v="411634.52"/>
    <n v="0"/>
    <n v="411634.52"/>
    <s v="El Cliente no ha enviado su información / ya se solicitó vía correo "/>
  </r>
  <r>
    <s v="F AHORRO"/>
    <s v="Gestion"/>
    <x v="34"/>
    <s v="BONAFONT QUINENAL"/>
    <n v="1349158.58"/>
    <n v="0"/>
    <n v="1349158.58"/>
    <s v="El Cliente no ha enviado su información / ya se solicitó vía correo "/>
  </r>
  <r>
    <s v="PENSIONES"/>
    <s v="Gestion"/>
    <x v="21"/>
    <s v="SANTEMP50"/>
    <n v="-30149.45"/>
    <n v="0"/>
    <n v="-30149.45"/>
    <s v="T+2"/>
  </r>
  <r>
    <s v="PENSIONES"/>
    <s v="Gestion"/>
    <x v="22"/>
    <s v="SANTEMP60"/>
    <n v="-4939.75"/>
    <n v="0"/>
    <n v="-4939.75"/>
    <s v="T+2"/>
  </r>
  <r>
    <s v="PENSIONES"/>
    <s v="Gestion"/>
    <x v="35"/>
    <s v="SANTCIA50"/>
    <n v="-90283.26"/>
    <n v="0"/>
    <n v="-90283.26"/>
    <s v="T+2"/>
  </r>
  <r>
    <s v="PENSIONES"/>
    <s v="Gestion"/>
    <x v="36"/>
    <s v="SANTCIA60"/>
    <n v="-14813.16"/>
    <n v="0"/>
    <n v="-14813.16"/>
    <s v="T+2"/>
  </r>
  <r>
    <s v="F AHORRO"/>
    <s v="Gestion"/>
    <x v="8"/>
    <s v="Elevadores OTIS Fondo de Ahorro Sindicalizados"/>
    <n v="992471.08"/>
    <n v="0"/>
    <n v="992471.08"/>
    <s v="El Cliente no ha enviado su información / ya se solicitó vía correo "/>
  </r>
  <r>
    <s v="F AHORRO"/>
    <s v="Gestion"/>
    <x v="37"/>
    <s v="Elevadores OTIS Fondo de Ahorro Empleados"/>
    <n v="1342934.68"/>
    <n v="0"/>
    <n v="1342934.68"/>
    <s v="El Cliente no ha enviado su información / ya se solicitó vía correo "/>
  </r>
  <r>
    <s v="F.AHORRO"/>
    <s v="Gestion"/>
    <x v="38"/>
    <s v="Robert Bosch México Sistemas Automotrices, S.A. de C.V. (Fondo de Ahorro 61A0)"/>
    <n v="1472872.78"/>
    <n v="0"/>
    <n v="1472872.78"/>
    <s v="El Cliente no ha enviado su información / ya se solicitó vía correo "/>
  </r>
  <r>
    <s v="F.AHORRO"/>
    <s v="Gestion"/>
    <x v="39"/>
    <s v="Robert Bosch México Sistemas Automotrices, S.A. de C.V. (Fondo de Ahorro 61A2)"/>
    <n v="235415.54"/>
    <n v="0"/>
    <n v="235415.54"/>
    <s v="El Cliente no ha enviado su información / ya se solicitó vía correo "/>
  </r>
  <r>
    <s v="F.AHORRO"/>
    <s v="Gestion"/>
    <x v="40"/>
    <s v="Robert Bosch México Sistemas Automotrices, S.A. de C.V. (Fondo de Ahorro 61C0)"/>
    <n v="1691448.94"/>
    <n v="0"/>
    <n v="1691448.94"/>
    <s v="El Cliente no ha enviado su información / ya se solicitó vía correo "/>
  </r>
  <r>
    <s v="F.AHORRO"/>
    <s v="Gestion"/>
    <x v="41"/>
    <s v="Robert Bosch México, S.A. de C.V. (Fondo de Ahorro 25D0)"/>
    <n v="127747.52"/>
    <n v="0"/>
    <n v="127747.52"/>
    <s v="El Cliente no ha enviado su información / ya se solicitó vía correo "/>
  </r>
  <r>
    <s v="F.AHORRO"/>
    <s v="Gestion"/>
    <x v="42"/>
    <s v="Robert Bosch Tool de México, S.A de C.V. (Fondo de Ahorro 41D0)"/>
    <n v="495640.24"/>
    <n v="0"/>
    <n v="495640.24"/>
    <s v="El Cliente no ha enviado su información / ya se solicitó vía correo "/>
  </r>
  <r>
    <s v="F.AHORRO"/>
    <s v="Gestion"/>
    <x v="43"/>
    <s v="Robert Bosch México Sistemas de Frenos, S. de R.L. de C.V. (Fondo de Ahorro 61A1)"/>
    <n v="1287842.92"/>
    <n v="0"/>
    <n v="1287842.92"/>
    <s v="El Cliente no ha enviado su información / ya se solicitó vía correo "/>
  </r>
  <r>
    <s v="F.AHORRO"/>
    <n v="0"/>
    <x v="44"/>
    <s v="Robert Bosch Sistemas Automotrices S.A de C.V (Fondo de Ahorro 6981)"/>
    <n v="4306110.5199999996"/>
    <n v="0"/>
    <n v="4306110.5199999996"/>
    <s v="El Cliente no ha enviado su información / ya se solicitó vía correo "/>
  </r>
  <r>
    <n v="0"/>
    <n v="0"/>
    <x v="45"/>
    <s v="Robert Bosch S de RL de CV (Fondo de Ahorro 904W)"/>
    <n v="6110.72"/>
    <n v="0"/>
    <n v="6110.72"/>
    <s v="El Cliente no ha enviado su información / ya se solicitó vía correo "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0">
  <r>
    <x v="0"/>
    <s v="PEGASO PCS SA DE CV"/>
    <x v="0"/>
    <s v="NORMAL"/>
    <s v="MXN"/>
    <n v="1155643"/>
    <n v="3.3967719999999999"/>
    <n v="3925455.7843960002"/>
    <n v="3.3770057708133048"/>
    <n v="22842.704396000001"/>
    <n v="0"/>
    <n v="0"/>
    <n v="0"/>
    <n v="0"/>
    <n v="1155643"/>
    <n v="3925455.7843960002"/>
    <s v="EPER"/>
    <n v="7414000005"/>
  </r>
  <r>
    <x v="0"/>
    <s v="PEGASO PCS SA DE CV"/>
    <x v="1"/>
    <s v="NORMAL"/>
    <s v="MXN"/>
    <n v="460"/>
    <n v="137.94899000000001"/>
    <n v="63456.535400000001"/>
    <n v="139.5491304347826"/>
    <n v="-736.06460000000004"/>
    <n v="0"/>
    <n v="0"/>
    <n v="0"/>
    <n v="0"/>
    <n v="460"/>
    <n v="63456.535400000001"/>
    <s v="EPER"/>
    <n v="7414000005"/>
  </r>
  <r>
    <x v="0"/>
    <s v="PEGASO PCS SA DE CV"/>
    <x v="2"/>
    <s v="NORMAL"/>
    <s v="MXN"/>
    <n v="100570"/>
    <n v="3.6096119999999998"/>
    <n v="363018.67884000001"/>
    <n v="3.6610171025156606"/>
    <n v="-5169.8111600000002"/>
    <n v="0"/>
    <n v="0"/>
    <n v="0"/>
    <n v="0"/>
    <n v="100570"/>
    <n v="363018.67884000001"/>
    <s v="EPER"/>
    <n v="7414000005"/>
  </r>
  <r>
    <x v="0"/>
    <s v="PEGASO PCS SA DE CV"/>
    <x v="3"/>
    <s v="NORMAL"/>
    <s v="MXN"/>
    <n v="33104"/>
    <n v="2.1897980000000001"/>
    <n v="72491.072992000001"/>
    <n v="2.232305763653939"/>
    <n v="-1407.1770079999999"/>
    <n v="0"/>
    <n v="0"/>
    <n v="0"/>
    <n v="0"/>
    <n v="33104"/>
    <n v="72491.072992000001"/>
    <s v="EPER"/>
    <n v="7414000005"/>
  </r>
  <r>
    <x v="1"/>
    <s v="CONTROLADORA MABE SA DE CV"/>
    <x v="4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5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6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7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8"/>
    <s v="NORMAL"/>
    <s v="MXN"/>
    <n v="450"/>
    <n v="9802.1143969999994"/>
    <n v="4410951.4786499999"/>
    <n v="9982.2999999999993"/>
    <n v="-81083.521349999995"/>
    <n v="0"/>
    <n v="0"/>
    <n v="0"/>
    <n v="0"/>
    <n v="450"/>
    <n v="4410951.4786499999"/>
    <s v="EPER"/>
    <n v="7414000005"/>
  </r>
  <r>
    <x v="1"/>
    <s v="CONTROLADORA MABE SA DE CV"/>
    <x v="9"/>
    <s v="NORMAL"/>
    <s v="MXN"/>
    <n v="156"/>
    <n v="9469.6491050000004"/>
    <n v="1477265.2603800001"/>
    <n v="9977.4"/>
    <n v="-79209.139620000002"/>
    <n v="0"/>
    <n v="0"/>
    <n v="0"/>
    <n v="0"/>
    <n v="156"/>
    <n v="1477265.2603800001"/>
    <s v="EPER"/>
    <n v="7414000005"/>
  </r>
  <r>
    <x v="1"/>
    <s v="CONTROLADORA MABE SA DE CV"/>
    <x v="10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11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12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13"/>
    <s v="NORMAL"/>
    <s v="MXN"/>
    <n v="62970"/>
    <n v="100.000484"/>
    <n v="6297030.4774799999"/>
    <n v="100"/>
    <n v="30.47748"/>
    <n v="0"/>
    <n v="0"/>
    <n v="0"/>
    <n v="0"/>
    <n v="62970"/>
    <n v="6297030.4774799999"/>
    <s v="EPER"/>
    <n v="7414000005"/>
  </r>
  <r>
    <x v="1"/>
    <s v="CONTROLADORA MABE SA DE CV"/>
    <x v="14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15"/>
    <s v="NORMAL"/>
    <s v="MXN"/>
    <n v="6325880"/>
    <n v="9.190137"/>
    <n v="58135703.845559999"/>
    <n v="8.211578032240574"/>
    <n v="6190246.6029700004"/>
    <n v="0"/>
    <n v="0"/>
    <n v="0"/>
    <n v="0"/>
    <n v="6325880"/>
    <n v="58135703.845559999"/>
    <s v="EPER"/>
    <n v="7414000005"/>
  </r>
  <r>
    <x v="1"/>
    <s v="CONTROLADORA MABE SA DE CV"/>
    <x v="16"/>
    <s v="NORMAL"/>
    <s v="MXN"/>
    <n v="914440"/>
    <n v="8.2580650000000002"/>
    <n v="7551504.9585999995"/>
    <n v="8.2501711100000001"/>
    <n v="7218.4887716000003"/>
    <n v="0"/>
    <n v="0"/>
    <n v="0"/>
    <n v="0"/>
    <n v="914440"/>
    <n v="7551504.9585999995"/>
    <s v="EPER"/>
    <n v="7414000005"/>
  </r>
  <r>
    <x v="1"/>
    <s v="CONTROLADORA MABE SA DE CV"/>
    <x v="17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18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19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20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21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22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23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24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25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26"/>
    <s v="NORMAL"/>
    <s v="MXN"/>
    <n v="50300"/>
    <n v="98.730349000000004"/>
    <n v="4966136.5547000002"/>
    <n v="95.551114380000001"/>
    <n v="159915.50138599999"/>
    <n v="0"/>
    <n v="0"/>
    <n v="0"/>
    <n v="0"/>
    <n v="50300"/>
    <n v="4966136.5547000002"/>
    <s v="EPER"/>
    <n v="7414000005"/>
  </r>
  <r>
    <x v="1"/>
    <s v="CONTROLADORA MABE SA DE CV"/>
    <x v="27"/>
    <s v="NORMAL"/>
    <s v="MXN"/>
    <n v="130000"/>
    <n v="94.973146999999997"/>
    <n v="12346509.109999999"/>
    <n v="90.737203046153851"/>
    <n v="550672.71400000004"/>
    <n v="0"/>
    <n v="0"/>
    <n v="0"/>
    <n v="0"/>
    <n v="130000"/>
    <n v="12346509.109999999"/>
    <s v="EPER"/>
    <n v="7414000005"/>
  </r>
  <r>
    <x v="1"/>
    <s v="CONTROLADORA MABE SA DE CV"/>
    <x v="28"/>
    <s v="NORMAL"/>
    <s v="MXN"/>
    <n v="100000"/>
    <n v="91.911821000000003"/>
    <n v="9191182.0999999996"/>
    <n v="89.152324980000003"/>
    <n v="275949.60200000001"/>
    <n v="0"/>
    <n v="0"/>
    <n v="0"/>
    <n v="0"/>
    <n v="100000"/>
    <n v="9191182.0999999996"/>
    <s v="EPER"/>
    <n v="7414000005"/>
  </r>
  <r>
    <x v="1"/>
    <s v="CONTROLADORA MABE SA DE CV"/>
    <x v="29"/>
    <s v="NORMAL"/>
    <s v="MXN"/>
    <n v="22560"/>
    <n v="92.954503000000003"/>
    <n v="2097053.5876800001"/>
    <n v="93.280131854822699"/>
    <n v="-7346.1869648000002"/>
    <n v="0"/>
    <n v="0"/>
    <n v="0"/>
    <n v="0"/>
    <n v="22560"/>
    <n v="2097053.5876800001"/>
    <s v="EPER"/>
    <n v="7414000005"/>
  </r>
  <r>
    <x v="1"/>
    <s v="CONTROLADORA MABE SA DE CV"/>
    <x v="30"/>
    <s v="NORMAL"/>
    <s v="MXN"/>
    <n v="30000"/>
    <n v="88.698122999999995"/>
    <n v="2660943.69"/>
    <n v="87.674765210000004"/>
    <n v="30700.733700000001"/>
    <n v="0"/>
    <n v="0"/>
    <n v="0"/>
    <n v="0"/>
    <n v="30000"/>
    <n v="2660943.69"/>
    <s v="EPER"/>
    <n v="7414000005"/>
  </r>
  <r>
    <x v="1"/>
    <s v="CONTROLADORA MABE SA DE CV"/>
    <x v="31"/>
    <s v="NORMAL"/>
    <s v="MXN"/>
    <n v="127260"/>
    <n v="93.314192000000006"/>
    <n v="11875164.07392"/>
    <n v="93.692293291034105"/>
    <n v="-48117.170296999997"/>
    <n v="0"/>
    <n v="0"/>
    <n v="0"/>
    <n v="0"/>
    <n v="127260"/>
    <n v="11875164.07392"/>
    <s v="EPER"/>
    <n v="7414000005"/>
  </r>
  <r>
    <x v="1"/>
    <s v="CONTROLADORA MABE SA DE CV"/>
    <x v="32"/>
    <s v="NORMAL"/>
    <s v="MXN"/>
    <n v="76690"/>
    <n v="94.864168000000006"/>
    <n v="7275133.0439200001"/>
    <n v="96.404140225417919"/>
    <n v="-118100.4699673"/>
    <n v="0"/>
    <n v="0"/>
    <n v="0"/>
    <n v="0"/>
    <n v="76690"/>
    <n v="7275133.0439200001"/>
    <s v="EPER"/>
    <n v="7414000005"/>
  </r>
  <r>
    <x v="1"/>
    <s v="CONTROLADORA MABE SA DE CV"/>
    <x v="33"/>
    <s v="NORMAL"/>
    <s v="MXN"/>
    <n v="297490"/>
    <n v="94.870157000000006"/>
    <n v="28222923.005929999"/>
    <n v="97.509016819287709"/>
    <n v="-785034.40763989999"/>
    <n v="0"/>
    <n v="0"/>
    <n v="0"/>
    <n v="0"/>
    <n v="297490"/>
    <n v="28222923.005929999"/>
    <s v="EPER"/>
    <n v="7414000005"/>
  </r>
  <r>
    <x v="1"/>
    <s v="CONTROLADORA MABE SA DE CV"/>
    <x v="34"/>
    <s v="NORMAL"/>
    <s v="MXN"/>
    <n v="51006"/>
    <n v="89.489464999999996"/>
    <n v="4564499.6517899996"/>
    <n v="91.081365976159276"/>
    <n v="-81196.501189980001"/>
    <n v="0"/>
    <n v="0"/>
    <n v="0"/>
    <n v="0"/>
    <n v="51006"/>
    <n v="4564499.6517899996"/>
    <s v="EPER"/>
    <n v="7414000005"/>
  </r>
  <r>
    <x v="1"/>
    <s v="CONTROLADORA MABE SA DE CV"/>
    <x v="35"/>
    <s v="NORMAL"/>
    <s v="MXN"/>
    <n v="199640"/>
    <n v="86.197128000000006"/>
    <n v="17208394.633919999"/>
    <n v="89.833009196265778"/>
    <n v="-725867.32202249998"/>
    <n v="0"/>
    <n v="0"/>
    <n v="0"/>
    <n v="0"/>
    <n v="199640"/>
    <n v="17208394.633919999"/>
    <s v="EPER"/>
    <n v="7414000005"/>
  </r>
  <r>
    <x v="1"/>
    <s v="CONTROLADORA MABE SA DE CV"/>
    <x v="36"/>
    <s v="NORMAL"/>
    <s v="MXN"/>
    <n v="195699"/>
    <n v="86.469353999999996"/>
    <n v="16921966.108445998"/>
    <n v="89.838096089999993"/>
    <n v="-659259.45827090996"/>
    <n v="0"/>
    <n v="0"/>
    <n v="0"/>
    <n v="0"/>
    <n v="195699"/>
    <n v="16921966.108445998"/>
    <s v="EPER"/>
    <n v="7414000005"/>
  </r>
  <r>
    <x v="1"/>
    <s v="CONTROLADORA MABE SA DE CV"/>
    <x v="37"/>
    <s v="NORMAL"/>
    <s v="MXN"/>
    <n v="137652"/>
    <n v="81.738860000000003"/>
    <n v="11251517.55672"/>
    <n v="86.051241614074627"/>
    <n v="-593607.95394060004"/>
    <n v="0"/>
    <n v="0"/>
    <n v="0"/>
    <n v="0"/>
    <n v="137652"/>
    <n v="11251517.55672"/>
    <s v="EPER"/>
    <n v="7414000005"/>
  </r>
  <r>
    <x v="1"/>
    <s v="CONTROLADORA MABE SA DE CV"/>
    <x v="38"/>
    <s v="NORMAL"/>
    <s v="MXN"/>
    <n v="48434"/>
    <n v="83.200761"/>
    <n v="4029745.658274"/>
    <n v="91.282563010000004"/>
    <n v="-391433.99855234002"/>
    <n v="0"/>
    <n v="0"/>
    <n v="0"/>
    <n v="0"/>
    <n v="48434"/>
    <n v="4029745.658274"/>
    <s v="EPER"/>
    <n v="7414000005"/>
  </r>
  <r>
    <x v="1"/>
    <s v="CONTROLADORA MABE SA DE CV"/>
    <x v="39"/>
    <s v="NORMAL"/>
    <s v="MXN"/>
    <n v="133615"/>
    <n v="82.159907000000004"/>
    <n v="10977795.973804999"/>
    <n v="84.040670625018151"/>
    <n v="-251298.2317568"/>
    <n v="0"/>
    <n v="0"/>
    <n v="0"/>
    <n v="0"/>
    <n v="133615"/>
    <n v="10977795.973804999"/>
    <s v="EPER"/>
    <n v="7414000005"/>
  </r>
  <r>
    <x v="1"/>
    <s v="CONTROLADORA MABE SA DE CV"/>
    <x v="40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41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42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43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44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45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46"/>
    <s v="NORMAL"/>
    <s v="MXN"/>
    <n v="60000"/>
    <n v="99.999184999999997"/>
    <n v="5999951.0999999996"/>
    <n v="100"/>
    <n v="-48.9"/>
    <n v="0"/>
    <n v="0"/>
    <n v="0"/>
    <n v="0"/>
    <n v="60000"/>
    <n v="5999951.0999999996"/>
    <s v="EPER"/>
    <n v="7414000005"/>
  </r>
  <r>
    <x v="1"/>
    <s v="CONTROLADORA MABE SA DE CV"/>
    <x v="47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48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49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0"/>
    <s v="NORMAL"/>
    <s v="MXN"/>
    <n v="1539540"/>
    <n v="3.3967719999999999"/>
    <n v="5229466.3648800002"/>
    <n v="3.345312008781844"/>
    <n v="79224.71488"/>
    <n v="0"/>
    <n v="0"/>
    <n v="0"/>
    <n v="0"/>
    <n v="1539540"/>
    <n v="5229466.3648800002"/>
    <s v="EPER"/>
    <n v="7414000005"/>
  </r>
  <r>
    <x v="1"/>
    <s v="CONTROLADORA MABE SA DE CV"/>
    <x v="50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51"/>
    <s v="NORMAL"/>
    <s v="MXN"/>
    <n v="16836"/>
    <n v="775.69178699999998"/>
    <n v="13059546.925931999"/>
    <n v="763.85295237784271"/>
    <n v="199318.61969863999"/>
    <n v="0"/>
    <n v="0"/>
    <n v="0"/>
    <n v="0"/>
    <n v="16836"/>
    <n v="13059546.925931999"/>
    <s v="EPER"/>
    <n v="7414000005"/>
  </r>
  <r>
    <x v="1"/>
    <s v="CONTROLADORA MABE SA DE CV"/>
    <x v="52"/>
    <s v="NORMAL"/>
    <s v="MXN"/>
    <n v="11953"/>
    <n v="747.17843200000004"/>
    <n v="8931023.797696"/>
    <n v="721.08853855769598"/>
    <n v="311852.49631586001"/>
    <n v="0"/>
    <n v="0"/>
    <n v="0"/>
    <n v="0"/>
    <n v="11953"/>
    <n v="8931023.797696"/>
    <s v="EPER"/>
    <n v="7414000005"/>
  </r>
  <r>
    <x v="1"/>
    <s v="CONTROLADORA MABE SA DE CV"/>
    <x v="53"/>
    <s v="NORMAL"/>
    <s v="MXN"/>
    <n v="7339"/>
    <n v="765.92388300000005"/>
    <n v="5621115.3773370003"/>
    <n v="763.17169451999996"/>
    <n v="20198.31125472"/>
    <n v="0"/>
    <n v="0"/>
    <n v="0"/>
    <n v="0"/>
    <n v="7339"/>
    <n v="5621115.3773370003"/>
    <s v="EPER"/>
    <n v="7414000005"/>
  </r>
  <r>
    <x v="1"/>
    <s v="CONTROLADORA MABE SA DE CV"/>
    <x v="54"/>
    <s v="NORMAL"/>
    <s v="MXN"/>
    <n v="9785"/>
    <n v="684.88915799999995"/>
    <n v="6701640.4110300001"/>
    <n v="684.87030049223301"/>
    <n v="184.5207135"/>
    <n v="0"/>
    <n v="0"/>
    <n v="0"/>
    <n v="0"/>
    <n v="9785"/>
    <n v="6701640.4110300001"/>
    <s v="EPER"/>
    <n v="7414000005"/>
  </r>
  <r>
    <x v="1"/>
    <s v="CONTROLADORA MABE SA DE CV"/>
    <x v="55"/>
    <s v="NORMAL"/>
    <s v="MXN"/>
    <n v="9988"/>
    <n v="772.926965"/>
    <n v="7719994.52642"/>
    <n v="803.0700557177563"/>
    <n v="-301069.19008894998"/>
    <n v="0"/>
    <n v="0"/>
    <n v="0"/>
    <n v="0"/>
    <n v="9988"/>
    <n v="7719994.52642"/>
    <s v="EPER"/>
    <n v="7414000005"/>
  </r>
  <r>
    <x v="1"/>
    <s v="CONTROLADORA MABE SA DE CV"/>
    <x v="56"/>
    <s v="NORMAL"/>
    <s v="MXN"/>
    <n v="10025"/>
    <n v="721.59464000000003"/>
    <n v="7233986.2659999998"/>
    <n v="764.96141248000004"/>
    <n v="-434751.89411200001"/>
    <n v="0"/>
    <n v="0"/>
    <n v="0"/>
    <n v="0"/>
    <n v="10025"/>
    <n v="7233986.2659999998"/>
    <s v="EPER"/>
    <n v="7414000005"/>
  </r>
  <r>
    <x v="1"/>
    <s v="CONTROLADORA MABE SA DE CV"/>
    <x v="57"/>
    <s v="NORMAL"/>
    <s v="MXN"/>
    <n v="2547"/>
    <n v="635.96311900000001"/>
    <n v="1619798.064093"/>
    <n v="647.93802047999998"/>
    <n v="-30500.07406956"/>
    <n v="0"/>
    <n v="0"/>
    <n v="0"/>
    <n v="0"/>
    <n v="2547"/>
    <n v="1619798.064093"/>
    <s v="EPER"/>
    <n v="7414000005"/>
  </r>
  <r>
    <x v="1"/>
    <s v="CONTROLADORA MABE SA DE CV"/>
    <x v="58"/>
    <s v="NORMAL"/>
    <s v="MXN"/>
    <n v="10420"/>
    <n v="709.36974099999998"/>
    <n v="7391632.7012200002"/>
    <n v="768.26333123999996"/>
    <n v="-613671.21030080004"/>
    <n v="0"/>
    <n v="0"/>
    <n v="0"/>
    <n v="0"/>
    <n v="10420"/>
    <n v="7391632.7012200002"/>
    <s v="EPER"/>
    <n v="7414000005"/>
  </r>
  <r>
    <x v="1"/>
    <s v="CONTROLADORA MABE SA DE CV"/>
    <x v="59"/>
    <s v="NORMAL"/>
    <s v="MXN"/>
    <n v="17073"/>
    <n v="694.41118700000004"/>
    <n v="11855682.195651"/>
    <n v="724.24373434549693"/>
    <n v="-509331.08082967001"/>
    <n v="0"/>
    <n v="0"/>
    <n v="0"/>
    <n v="0"/>
    <n v="17073"/>
    <n v="11855682.195651"/>
    <s v="EPER"/>
    <n v="7414000005"/>
  </r>
  <r>
    <x v="1"/>
    <s v="CONTROLADORA MABE SA DE CV"/>
    <x v="60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61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62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63"/>
    <s v="NORMAL"/>
    <s v="MXN"/>
    <n v="0"/>
    <n v="0"/>
    <n v="0"/>
    <n v="0"/>
    <n v="0"/>
    <n v="0"/>
    <n v="0"/>
    <n v="0"/>
    <n v="0"/>
    <n v="0"/>
    <n v="0"/>
    <s v="EPER"/>
    <n v="7414000005"/>
  </r>
  <r>
    <x v="2"/>
    <s v="CONTROLADORA MABE SA DE CV"/>
    <x v="0"/>
    <s v="NORMAL"/>
    <s v="MXN"/>
    <n v="40609029"/>
    <n v="3.3967719999999999"/>
    <n v="137939612.65438801"/>
    <n v="3.1614010871818681"/>
    <n v="9558184.2243879996"/>
    <n v="0"/>
    <n v="0"/>
    <n v="0"/>
    <n v="0"/>
    <n v="40609029"/>
    <n v="137939612.65438801"/>
    <s v="EPER"/>
    <n v="7414000005"/>
  </r>
  <r>
    <x v="3"/>
    <s v="BANCO SANTANDER MEXICO SA FIDEICOMISO F  24606130"/>
    <x v="0"/>
    <s v="NORMAL"/>
    <s v="MXN"/>
    <n v="4364510"/>
    <n v="3.3967719999999999"/>
    <n v="14825245.361719999"/>
    <n v="3.2390575116106963"/>
    <n v="688346.46172000002"/>
    <n v="0"/>
    <n v="0"/>
    <n v="0"/>
    <n v="0"/>
    <n v="4364510"/>
    <n v="14825245.361719999"/>
    <s v="EPER"/>
    <n v="7414000005"/>
  </r>
  <r>
    <x v="3"/>
    <s v="BANCO SANTANDER MEXICO SA FIDEICOMISO F  24606130"/>
    <x v="1"/>
    <s v="NORMAL"/>
    <s v="MXN"/>
    <n v="70008"/>
    <n v="137.94899000000001"/>
    <n v="9657532.8919200003"/>
    <n v="125.89539438349902"/>
    <n v="843848.12191999995"/>
    <n v="0"/>
    <n v="0"/>
    <n v="0"/>
    <n v="0"/>
    <n v="70008"/>
    <n v="9657532.8919200003"/>
    <s v="EPER"/>
    <n v="7414000005"/>
  </r>
  <r>
    <x v="3"/>
    <s v="BANCO SANTANDER MEXICO SA FIDEICOMISO F  24606130"/>
    <x v="2"/>
    <s v="NORMAL"/>
    <s v="MXN"/>
    <n v="26635745"/>
    <n v="3.6096119999999998"/>
    <n v="96144704.780939996"/>
    <n v="3.3352528247285744"/>
    <n v="7307761.03094"/>
    <n v="0"/>
    <n v="0"/>
    <n v="0"/>
    <n v="0"/>
    <n v="26635745"/>
    <n v="96144704.780939996"/>
    <s v="EPER"/>
    <n v="7414000005"/>
  </r>
  <r>
    <x v="3"/>
    <s v="BANCO SANTANDER MEXICO SA FIDEICOMISO F  24606130"/>
    <x v="3"/>
    <s v="NORMAL"/>
    <s v="MXN"/>
    <n v="51055134"/>
    <n v="2.1897980000000001"/>
    <n v="111800430.322932"/>
    <n v="2.0729244216654097"/>
    <n v="5966996.2029320002"/>
    <n v="0"/>
    <n v="0"/>
    <n v="0"/>
    <n v="0"/>
    <n v="51055134"/>
    <n v="111800430.322932"/>
    <s v="EPER"/>
    <n v="7414000005"/>
  </r>
  <r>
    <x v="3"/>
    <s v="BANCO SANTANDER MEXICO SA FIDEICOMISO F  24606130"/>
    <x v="64"/>
    <s v="NORMAL"/>
    <s v="MXN"/>
    <n v="31505157"/>
    <n v="2.7668819999999998"/>
    <n v="87171051.810473993"/>
    <n v="2.6324677039381204"/>
    <n v="4234743.5004740003"/>
    <n v="0"/>
    <n v="0"/>
    <n v="0"/>
    <n v="0"/>
    <n v="31505157"/>
    <n v="87171051.810473993"/>
    <s v="EPER"/>
    <n v="7414000005"/>
  </r>
  <r>
    <x v="4"/>
    <s v="FUNDACION TELEFONICA MEXICO AC"/>
    <x v="0"/>
    <s v="NORMAL"/>
    <s v="MXN"/>
    <n v="445"/>
    <n v="3.3967719999999999"/>
    <n v="1511.5635400000001"/>
    <n v="3.3845393258426966"/>
    <n v="5.4435399999999996"/>
    <n v="0"/>
    <n v="0"/>
    <n v="0"/>
    <n v="0"/>
    <n v="445"/>
    <n v="1511.5635400000001"/>
    <s v="EPER"/>
    <n v="7414000005"/>
  </r>
  <r>
    <x v="4"/>
    <s v="FUNDACION TELEFONICA MEXICO AC"/>
    <x v="2"/>
    <s v="NORMAL"/>
    <s v="MXN"/>
    <n v="93003"/>
    <n v="3.6096119999999998"/>
    <n v="335704.74483600003"/>
    <n v="3.6553297205466491"/>
    <n v="-4251.8851640000003"/>
    <n v="0"/>
    <n v="0"/>
    <n v="0"/>
    <n v="0"/>
    <n v="93003"/>
    <n v="335704.74483600003"/>
    <s v="EPER"/>
    <n v="7414000005"/>
  </r>
  <r>
    <x v="4"/>
    <s v="FUNDACION TELEFONICA MEXICO AC"/>
    <x v="3"/>
    <s v="NORMAL"/>
    <s v="MXN"/>
    <n v="319629"/>
    <n v="2.1897980000000001"/>
    <n v="699922.94494199997"/>
    <n v="2.2349533365245331"/>
    <n v="-14432.955058"/>
    <n v="0"/>
    <n v="0"/>
    <n v="0"/>
    <n v="0"/>
    <n v="319629"/>
    <n v="699922.94494199997"/>
    <s v="EPER"/>
    <n v="7414000005"/>
  </r>
  <r>
    <x v="5"/>
    <s v="CFENERGIA SA DE CV"/>
    <x v="0"/>
    <s v="NORMAL"/>
    <s v="MXN"/>
    <n v="3855790"/>
    <n v="3.3967719999999999"/>
    <n v="13097239.509880001"/>
    <n v="3.2850225193799454"/>
    <n v="430882.52987999999"/>
    <n v="0"/>
    <n v="0"/>
    <n v="0"/>
    <n v="0"/>
    <n v="3855790"/>
    <n v="13097239.509880001"/>
    <s v="EPER"/>
    <n v="7414000005"/>
  </r>
  <r>
    <x v="6"/>
    <s v="ROBERT BOSCH MEXICO SISTEMAS AUTOMOTRICES, S.A. DE C.V. (FONDO DE AHOR"/>
    <x v="0"/>
    <s v="NORMAL"/>
    <s v="MXN"/>
    <n v="17893261"/>
    <n v="3.3967719999999999"/>
    <n v="60779327.953492001"/>
    <n v="3.318134624538255"/>
    <n v="1407079.0834919999"/>
    <n v="0"/>
    <n v="0"/>
    <n v="0"/>
    <n v="0"/>
    <n v="17893261"/>
    <n v="60779327.953492001"/>
    <s v="EPER"/>
    <n v="7414000005"/>
  </r>
  <r>
    <x v="7"/>
    <s v="ROBERT BOSCH MEXICO SISTEMAS AUTOMOTRICES, S.A. DE C.V. (FONDO DE AHOR"/>
    <x v="0"/>
    <s v="NORMAL"/>
    <s v="MXN"/>
    <n v="2526514"/>
    <n v="3.3967719999999999"/>
    <n v="8581992.0128080007"/>
    <n v="3.3173018791900617"/>
    <n v="200782.37280799999"/>
    <n v="0"/>
    <n v="0"/>
    <n v="0"/>
    <n v="0"/>
    <n v="2526514"/>
    <n v="8581992.0128080007"/>
    <s v="EPER"/>
    <n v="7414000005"/>
  </r>
  <r>
    <x v="8"/>
    <s v="ROBERT BOSCH MEXICO SISTEMAS AUTOMOTRICES, S.A. DE C.V. (FONDO DE AHOR"/>
    <x v="0"/>
    <s v="NORMAL"/>
    <s v="MXN"/>
    <n v="9226443"/>
    <n v="3.3967719999999999"/>
    <n v="31340123.241996001"/>
    <n v="3.3192465417062675"/>
    <n v="715284.22199600004"/>
    <n v="0"/>
    <n v="0"/>
    <n v="0"/>
    <n v="0"/>
    <n v="9226443"/>
    <n v="31340123.241996001"/>
    <s v="EPER"/>
    <n v="7414000005"/>
  </r>
  <r>
    <x v="9"/>
    <s v="ROBERT BOSCH MEXICO SISTEMAS DE SEGURIDAD, S.A. DE C.V. (FONDO DE AHOR"/>
    <x v="0"/>
    <s v="NORMAL"/>
    <s v="MXN"/>
    <n v="810288"/>
    <n v="3.3967719999999999"/>
    <n v="2752363.5903360001"/>
    <n v="3.3192582513871609"/>
    <n v="62808.460335999996"/>
    <n v="0"/>
    <n v="0"/>
    <n v="0"/>
    <n v="0"/>
    <n v="810288"/>
    <n v="2752363.5903360001"/>
    <s v="EPER"/>
    <n v="7414000005"/>
  </r>
  <r>
    <x v="10"/>
    <s v="ROBERT BOSCH MEXICO, S.A. DE C.V. (FONDO DE AHORRO 25D0)"/>
    <x v="0"/>
    <s v="NORMAL"/>
    <s v="MXN"/>
    <n v="24337589"/>
    <n v="3.3967719999999999"/>
    <n v="82669240.862708002"/>
    <n v="3.3250573809920119"/>
    <n v="1745360.9227080001"/>
    <n v="0"/>
    <n v="0"/>
    <n v="0"/>
    <n v="0"/>
    <n v="24337589"/>
    <n v="82669240.862708002"/>
    <s v="EPER"/>
    <n v="7414000005"/>
  </r>
  <r>
    <x v="11"/>
    <s v="ROBERT BOSCH MEXICO, S.A. DE C.V. (FONDO DE AHORRO 25D1)"/>
    <x v="0"/>
    <s v="NORMAL"/>
    <s v="MXN"/>
    <n v="8821206"/>
    <n v="3.3967719999999999"/>
    <n v="29963625.547031999"/>
    <n v="3.3152446411522414"/>
    <n v="719169.62703199999"/>
    <n v="0"/>
    <n v="0"/>
    <n v="0"/>
    <n v="0"/>
    <n v="8821206"/>
    <n v="29963625.547031999"/>
    <s v="EPER"/>
    <n v="7414000005"/>
  </r>
  <r>
    <x v="12"/>
    <s v="ROBERT BOSCH TOOL DE MÉXICO, S.A DE C.V. (FONDO DE AHORRO 41D0)"/>
    <x v="0"/>
    <s v="NORMAL"/>
    <s v="MXN"/>
    <n v="3179966"/>
    <n v="3.3967719999999999"/>
    <n v="10801619.469752001"/>
    <n v="3.3127502621097205"/>
    <n v="267186.26975199999"/>
    <n v="0"/>
    <n v="0"/>
    <n v="0"/>
    <n v="0"/>
    <n v="3179966"/>
    <n v="10801619.469752001"/>
    <s v="EPER"/>
    <n v="7414000005"/>
  </r>
  <r>
    <x v="13"/>
    <s v="ROBERT BOSCH MÉXICO SISTEMAS DE FRENOS, S. DE R.L. DE C.V. (FONDO DE A"/>
    <x v="0"/>
    <s v="NORMAL"/>
    <s v="MXN"/>
    <n v="7796087"/>
    <n v="3.3967719999999999"/>
    <n v="26481530.031164002"/>
    <n v="3.322790358804359"/>
    <n v="576767.31116399996"/>
    <n v="0"/>
    <n v="0"/>
    <n v="0"/>
    <n v="0"/>
    <n v="7796087"/>
    <n v="26481530.031164002"/>
    <s v="EPER"/>
    <n v="7414000005"/>
  </r>
  <r>
    <x v="14"/>
    <s v="ROBERT BOSCH SISTEMAS AUTOMOTRICES S.A DE C.V"/>
    <x v="0"/>
    <s v="NORMAL"/>
    <s v="MXN"/>
    <n v="28469656"/>
    <n v="3.3967719999999999"/>
    <n v="96704930.350431994"/>
    <n v="3.3137096229754235"/>
    <n v="2364757.3004319998"/>
    <n v="0"/>
    <n v="0"/>
    <n v="0"/>
    <n v="0"/>
    <n v="28469656"/>
    <n v="96704930.350431994"/>
    <s v="EPER"/>
    <n v="7414000005"/>
  </r>
  <r>
    <x v="15"/>
    <s v="ROBERT BOSCH SISTEMAS AUTOMOTRICES S.A. DE C.V."/>
    <x v="0"/>
    <s v="NORMAL"/>
    <s v="MXN"/>
    <n v="3169188"/>
    <n v="3.3967719999999999"/>
    <n v="10765009.061136"/>
    <n v="3.3152605651668505"/>
    <n v="258325.061136"/>
    <n v="0"/>
    <n v="0"/>
    <n v="0"/>
    <n v="0"/>
    <n v="3169188"/>
    <n v="10765009.061136"/>
    <s v="EPER"/>
    <n v="7414000005"/>
  </r>
  <r>
    <x v="16"/>
    <s v="FRENADOS MEXICANOS, S.A. DE C.V. (FONDO DE AHORRO 86F0)"/>
    <x v="0"/>
    <s v="NORMAL"/>
    <s v="MXN"/>
    <n v="6320761"/>
    <n v="3.3967719999999999"/>
    <n v="21470183.983491998"/>
    <n v="3.3152966929140337"/>
    <n v="514985.94349199999"/>
    <n v="0"/>
    <n v="0"/>
    <n v="0"/>
    <n v="0"/>
    <n v="6320761"/>
    <n v="21470183.983491998"/>
    <s v="EPER"/>
    <n v="7414000005"/>
  </r>
  <r>
    <x v="17"/>
    <s v="ROBERT BOSCH S DE RL DE CV (FONDO DE AHORRO 904W)"/>
    <x v="0"/>
    <s v="NORMAL"/>
    <s v="MXN"/>
    <n v="4114455"/>
    <n v="3.3967719999999999"/>
    <n v="13975865.53926"/>
    <n v="3.3142978207320288"/>
    <n v="339336.29926"/>
    <n v="0"/>
    <n v="0"/>
    <n v="0"/>
    <n v="0"/>
    <n v="4114455"/>
    <n v="13975865.53926"/>
    <s v="EPER"/>
    <n v="7414000005"/>
  </r>
  <r>
    <x v="18"/>
    <s v="BOSCH REXROTH S.A. DE C.V. (FONDO DE AHORRO MX10)"/>
    <x v="0"/>
    <s v="NORMAL"/>
    <s v="MXN"/>
    <n v="3098938"/>
    <n v="3.3967719999999999"/>
    <n v="10526385.828136001"/>
    <n v="3.3176955879723957"/>
    <n v="245052.898136"/>
    <n v="0"/>
    <n v="0"/>
    <n v="0"/>
    <n v="0"/>
    <n v="3098938"/>
    <n v="10526385.828136001"/>
    <s v="EPER"/>
    <n v="7414000005"/>
  </r>
  <r>
    <x v="19"/>
    <s v="BSH HOME APPLIANCES  S.A DE C.V (FONDO DE AHORRO)"/>
    <x v="0"/>
    <s v="NORMAL"/>
    <s v="MXN"/>
    <n v="2113"/>
    <n v="3.3967719999999999"/>
    <n v="7177.3792359999998"/>
    <n v="3.3172314245149077"/>
    <n v="168.06923599999999"/>
    <n v="0"/>
    <n v="0"/>
    <n v="0"/>
    <n v="0"/>
    <n v="2113"/>
    <n v="7177.3792359999998"/>
    <s v="EPER"/>
    <n v="7414000005"/>
  </r>
  <r>
    <x v="20"/>
    <s v="UNIVERSIDAD AUTONOMA DE BAJA C ALIFORNIA"/>
    <x v="65"/>
    <s v="NORMAL"/>
    <s v="MXN"/>
    <n v="1000000"/>
    <n v="9.0839700000000008"/>
    <n v="9083970"/>
    <n v="8.9878796600000008"/>
    <n v="96090.34"/>
    <n v="0"/>
    <n v="0"/>
    <n v="0"/>
    <n v="0"/>
    <n v="1000000"/>
    <n v="9083970"/>
    <s v="EPER"/>
    <n v="7414000005"/>
  </r>
  <r>
    <x v="20"/>
    <s v="UNIVERSIDAD AUTONOMA DE BAJA C ALIFORNIA"/>
    <x v="66"/>
    <s v="NORMAL"/>
    <s v="MXN"/>
    <n v="0"/>
    <n v="0"/>
    <n v="13205115.26"/>
    <n v="0"/>
    <n v="0"/>
    <n v="0"/>
    <n v="0"/>
    <n v="0"/>
    <n v="0"/>
    <n v="0"/>
    <n v="13205115.26"/>
    <s v="EPER"/>
    <n v="7414000005"/>
  </r>
  <r>
    <x v="21"/>
    <s v="BANCO SANTANDER MEXICO FID F/2003141-0"/>
    <x v="0"/>
    <s v="NORMAL"/>
    <s v="MXN"/>
    <n v="6684001"/>
    <n v="3.3967719999999999"/>
    <n v="22704027.444772001"/>
    <n v="3.3649632742424784"/>
    <n v="212609.554772"/>
    <n v="0"/>
    <n v="0"/>
    <n v="0"/>
    <n v="0"/>
    <n v="6684001"/>
    <n v="22704027.444772001"/>
    <s v="EPER"/>
    <n v="7414000005"/>
  </r>
  <r>
    <x v="21"/>
    <s v="BANCO SANTANDER MEXICO FID F/2003141-0"/>
    <x v="1"/>
    <s v="NORMAL"/>
    <s v="MXN"/>
    <n v="559952"/>
    <n v="137.94899000000001"/>
    <n v="77244812.848480001"/>
    <n v="140.51184022916249"/>
    <n v="-742431.23273000005"/>
    <n v="5021"/>
    <n v="692641.88"/>
    <n v="0"/>
    <n v="0"/>
    <n v="564973"/>
    <n v="77937454.728479996"/>
    <s v="EPER"/>
    <n v="7414000005"/>
  </r>
  <r>
    <x v="21"/>
    <s v="BANCO SANTANDER MEXICO FID F/2003141-0"/>
    <x v="2"/>
    <s v="NORMAL"/>
    <s v="MXN"/>
    <n v="67503934"/>
    <n v="3.6096119999999998"/>
    <n v="243663010.213608"/>
    <n v="3.6791899858754897"/>
    <n v="-2988264.55688"/>
    <n v="473326"/>
    <n v="1708523.21"/>
    <n v="0"/>
    <n v="0"/>
    <n v="67977260"/>
    <n v="245371533.42360801"/>
    <s v="EPER"/>
    <n v="7414000005"/>
  </r>
  <r>
    <x v="21"/>
    <s v="BANCO SANTANDER MEXICO FID F/2003141-0"/>
    <x v="3"/>
    <s v="NORMAL"/>
    <s v="MXN"/>
    <n v="31592596"/>
    <n v="2.1897980000000001"/>
    <n v="69181403.535607994"/>
    <n v="2.2407874993875145"/>
    <n v="-1211876.611822"/>
    <n v="182215"/>
    <n v="399014.04"/>
    <n v="0"/>
    <n v="0"/>
    <n v="31774811"/>
    <n v="69580417.575608"/>
    <s v="EPER"/>
    <n v="7414000005"/>
  </r>
  <r>
    <x v="21"/>
    <s v="BANCO SANTANDER MEXICO FID F/2003141-0"/>
    <x v="64"/>
    <s v="NORMAL"/>
    <s v="MXN"/>
    <n v="1644547"/>
    <n v="2.7668819999999998"/>
    <n v="4550267.4924539998"/>
    <n v="2.7954019495946301"/>
    <n v="-32240.689827999999"/>
    <n v="5299"/>
    <n v="14661.71"/>
    <n v="0"/>
    <n v="0"/>
    <n v="1649846"/>
    <n v="4564929.2024539998"/>
    <s v="EPER"/>
    <n v="7414000005"/>
  </r>
  <r>
    <x v="22"/>
    <s v="BCO.SANTANDER MEXICO S.A FID.2001672-1"/>
    <x v="0"/>
    <s v="NORMAL"/>
    <s v="MXN"/>
    <n v="7712290"/>
    <n v="3.3967719999999999"/>
    <n v="26196890.727880001"/>
    <n v="3.0015595069687473"/>
    <n v="3047993.35788"/>
    <n v="0"/>
    <n v="0"/>
    <n v="0"/>
    <n v="0"/>
    <n v="7712290"/>
    <n v="26196890.727880001"/>
    <s v="EPER"/>
    <n v="7414000005"/>
  </r>
  <r>
    <x v="23"/>
    <s v="BANCO MERCANTIL DE NORTE SA X CTA DEL FID/30203-7 DEUDA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3"/>
    <s v="BANCO MERCANTIL DE NORTE SA X CTA DEL FID/30203-7 DEUDA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3"/>
    <s v="BANCO MERCANTIL DE NORTE SA X CTA DEL FID/30203-7 DEUDA"/>
    <x v="68"/>
    <s v="NORMAL"/>
    <s v="MXN"/>
    <n v="0"/>
    <n v="0"/>
    <n v="0"/>
    <n v="0"/>
    <n v="0"/>
    <n v="0"/>
    <n v="0"/>
    <n v="0"/>
    <n v="0"/>
    <n v="0"/>
    <n v="0"/>
    <s v="EPER"/>
    <n v="7414000005"/>
  </r>
  <r>
    <x v="23"/>
    <s v="BANCO MERCANTIL DE NORTE SA X CTA DEL FID/30203-7 DEUDA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4"/>
    <s v="BANCO SANTANDER MEXICO FIDEICOMISO F/2001815 2"/>
    <x v="69"/>
    <s v="NORMAL"/>
    <s v="MXN"/>
    <n v="2442610"/>
    <n v="99.968271000000001"/>
    <n v="244183498.42730999"/>
    <n v="99.903049999999993"/>
    <n v="159309.46681000001"/>
    <n v="0"/>
    <n v="0"/>
    <n v="0"/>
    <n v="0"/>
    <n v="2442610"/>
    <n v="244183498.42730999"/>
    <s v="EPER"/>
    <n v="7414000005"/>
  </r>
  <r>
    <x v="24"/>
    <s v="BANCO SANTANDER MEXICO FIDEICOMISO F/2001815 2"/>
    <x v="15"/>
    <s v="NORMAL"/>
    <s v="MXN"/>
    <n v="2892930"/>
    <n v="9.190137"/>
    <n v="26586423.031410001"/>
    <n v="8.1527577010188637"/>
    <n v="3001065.6954015"/>
    <n v="0"/>
    <n v="0"/>
    <n v="0"/>
    <n v="0"/>
    <n v="2892930"/>
    <n v="26586423.031410001"/>
    <s v="EPER"/>
    <n v="7414000005"/>
  </r>
  <r>
    <x v="24"/>
    <s v="BANCO SANTANDER MEXICO FIDEICOMISO F/2001815 2"/>
    <x v="65"/>
    <s v="NORMAL"/>
    <s v="MXN"/>
    <n v="1000000"/>
    <n v="9.0839700000000008"/>
    <n v="9083970"/>
    <n v="8.9878796600000008"/>
    <n v="96090.34"/>
    <n v="0"/>
    <n v="0"/>
    <n v="0"/>
    <n v="0"/>
    <n v="1000000"/>
    <n v="9083970"/>
    <s v="EPER"/>
    <n v="7414000005"/>
  </r>
  <r>
    <x v="24"/>
    <s v="BANCO SANTANDER MEXICO FIDEICOMISO F/2001815 2"/>
    <x v="70"/>
    <s v="NORMAL"/>
    <s v="MXN"/>
    <n v="1618860"/>
    <n v="9.0112480000000001"/>
    <n v="14587948.937279999"/>
    <n v="8.9969798000000001"/>
    <n v="23098.218251999999"/>
    <n v="0"/>
    <n v="0"/>
    <n v="0"/>
    <n v="0"/>
    <n v="1618860"/>
    <n v="14587948.937279999"/>
    <s v="EPER"/>
    <n v="7414000005"/>
  </r>
  <r>
    <x v="24"/>
    <s v="BANCO SANTANDER MEXICO FIDEICOMISO F/2001815 2"/>
    <x v="71"/>
    <s v="NORMAL"/>
    <s v="MXN"/>
    <n v="16258930"/>
    <n v="8.3813510000000004"/>
    <n v="136271799.21443"/>
    <n v="8.2786636708894559"/>
    <n v="1669586.0958952999"/>
    <n v="0"/>
    <n v="0"/>
    <n v="0"/>
    <n v="0"/>
    <n v="16258930"/>
    <n v="136271799.21443"/>
    <s v="EPER"/>
    <n v="7414000005"/>
  </r>
  <r>
    <x v="24"/>
    <s v="BANCO SANTANDER MEXICO FIDEICOMISO F/2001815 2"/>
    <x v="16"/>
    <s v="NORMAL"/>
    <s v="MXN"/>
    <n v="13614860"/>
    <n v="8.2580650000000002"/>
    <n v="112432398.8459"/>
    <n v="8.2251008006336157"/>
    <n v="448802.9593854"/>
    <n v="0"/>
    <n v="0"/>
    <n v="0"/>
    <n v="0"/>
    <n v="13614860"/>
    <n v="112432398.8459"/>
    <s v="EPER"/>
    <n v="7414000005"/>
  </r>
  <r>
    <x v="24"/>
    <s v="BANCO SANTANDER MEXICO FIDEICOMISO F/2001815 2"/>
    <x v="26"/>
    <s v="NORMAL"/>
    <s v="MXN"/>
    <n v="14326"/>
    <n v="98.730349000000004"/>
    <n v="1414410.9797739999"/>
    <n v="104.81191507"/>
    <n v="-87124.515518820001"/>
    <n v="0"/>
    <n v="0"/>
    <n v="0"/>
    <n v="0"/>
    <n v="14326"/>
    <n v="1414410.9797739999"/>
    <s v="EPER"/>
    <n v="7414000005"/>
  </r>
  <r>
    <x v="24"/>
    <s v="BANCO SANTANDER MEXICO FIDEICOMISO F/2001815 2"/>
    <x v="67"/>
    <s v="NORMAL"/>
    <s v="MXN"/>
    <n v="66800"/>
    <n v="99.247497999999993"/>
    <n v="6629732.8663999997"/>
    <n v="101.04285588"/>
    <n v="-119929.906384"/>
    <n v="0"/>
    <n v="0"/>
    <n v="0"/>
    <n v="0"/>
    <n v="66800"/>
    <n v="6629732.8663999997"/>
    <s v="EPER"/>
    <n v="7414000005"/>
  </r>
  <r>
    <x v="24"/>
    <s v="BANCO SANTANDER MEXICO FIDEICOMISO F/2001815 2"/>
    <x v="30"/>
    <s v="NORMAL"/>
    <s v="MXN"/>
    <n v="255470"/>
    <n v="88.698122999999995"/>
    <n v="22659709.482810002"/>
    <n v="88.469977723711978"/>
    <n v="58284.273733299997"/>
    <n v="0"/>
    <n v="0"/>
    <n v="0"/>
    <n v="0"/>
    <n v="255470"/>
    <n v="22659709.482810002"/>
    <s v="EPER"/>
    <n v="7414000005"/>
  </r>
  <r>
    <x v="24"/>
    <s v="BANCO SANTANDER MEXICO FIDEICOMISO F/2001815 2"/>
    <x v="31"/>
    <s v="NORMAL"/>
    <s v="MXN"/>
    <n v="172930"/>
    <n v="93.314192000000006"/>
    <n v="16136823.22256"/>
    <n v="93.409382949999994"/>
    <n v="-16461.370983500001"/>
    <n v="0"/>
    <n v="0"/>
    <n v="0"/>
    <n v="0"/>
    <n v="172930"/>
    <n v="16136823.22256"/>
    <s v="EPER"/>
    <n v="7414000005"/>
  </r>
  <r>
    <x v="24"/>
    <s v="BANCO SANTANDER MEXICO FIDEICOMISO F/2001815 2"/>
    <x v="0"/>
    <s v="NORMAL"/>
    <s v="MXN"/>
    <n v="248346950"/>
    <n v="3.3967719999999999"/>
    <n v="843577966.04540002"/>
    <n v="3.3847077393944236"/>
    <n v="2996122.3254"/>
    <n v="0"/>
    <n v="0"/>
    <n v="0"/>
    <n v="0"/>
    <n v="248346950"/>
    <n v="843577966.04540002"/>
    <s v="EPER"/>
    <n v="7414000005"/>
  </r>
  <r>
    <x v="24"/>
    <s v="BANCO SANTANDER MEXICO FIDEICOMISO F/2001815 2"/>
    <x v="51"/>
    <s v="NORMAL"/>
    <s v="MXN"/>
    <n v="161854"/>
    <n v="775.69178699999998"/>
    <n v="125548818.49309801"/>
    <n v="756.45876883000005"/>
    <n v="3112940.92288718"/>
    <n v="0"/>
    <n v="0"/>
    <n v="0"/>
    <n v="0"/>
    <n v="161854"/>
    <n v="125548818.49309801"/>
    <s v="EPER"/>
    <n v="7414000005"/>
  </r>
  <r>
    <x v="25"/>
    <s v="BANCO SANTANDER MEXICO FIDEICOMISO F/2001815 3"/>
    <x v="69"/>
    <s v="NORMAL"/>
    <s v="MXN"/>
    <n v="0"/>
    <n v="0"/>
    <n v="0"/>
    <n v="0"/>
    <n v="0"/>
    <n v="0"/>
    <n v="0"/>
    <n v="0"/>
    <n v="0"/>
    <n v="0"/>
    <n v="0"/>
    <s v="EPER"/>
    <n v="7414000005"/>
  </r>
  <r>
    <x v="25"/>
    <s v="BANCO SANTANDER MEXICO FIDEICOMISO F/2001815 3"/>
    <x v="70"/>
    <s v="NORMAL"/>
    <s v="MXN"/>
    <n v="19990"/>
    <n v="9.0112480000000001"/>
    <n v="180134.84752000001"/>
    <n v="8.9969798000000001"/>
    <n v="285.221318"/>
    <n v="0"/>
    <n v="0"/>
    <n v="0"/>
    <n v="0"/>
    <n v="19990"/>
    <n v="180134.84752000001"/>
    <s v="EPER"/>
    <n v="7414000005"/>
  </r>
  <r>
    <x v="25"/>
    <s v="BANCO SANTANDER MEXICO FIDEICOMISO F/2001815 3"/>
    <x v="71"/>
    <s v="NORMAL"/>
    <s v="MXN"/>
    <n v="521630"/>
    <n v="8.3813510000000004"/>
    <n v="4371964.12213"/>
    <n v="8.2920811269821524"/>
    <n v="46565.843862299997"/>
    <n v="0"/>
    <n v="0"/>
    <n v="0"/>
    <n v="0"/>
    <n v="521630"/>
    <n v="4371964.12213"/>
    <s v="EPER"/>
    <n v="7414000005"/>
  </r>
  <r>
    <x v="25"/>
    <s v="BANCO SANTANDER MEXICO FIDEICOMISO F/2001815 3"/>
    <x v="16"/>
    <s v="NORMAL"/>
    <s v="MXN"/>
    <n v="36960"/>
    <n v="8.2580650000000002"/>
    <n v="305218.08240000001"/>
    <n v="8.2501711100000001"/>
    <n v="291.75817439999997"/>
    <n v="0"/>
    <n v="0"/>
    <n v="0"/>
    <n v="0"/>
    <n v="36960"/>
    <n v="305218.08240000001"/>
    <s v="EPER"/>
    <n v="7414000005"/>
  </r>
  <r>
    <x v="25"/>
    <s v="BANCO SANTANDER MEXICO FIDEICOMISO F/2001815 3"/>
    <x v="0"/>
    <s v="NORMAL"/>
    <s v="MXN"/>
    <n v="2807448"/>
    <n v="3.3967719999999999"/>
    <n v="9536260.7578560002"/>
    <n v="3.3352992361746328"/>
    <n v="172581.587856"/>
    <n v="0"/>
    <n v="0"/>
    <n v="0"/>
    <n v="0"/>
    <n v="2807448"/>
    <n v="9536260.7578560002"/>
    <s v="EPER"/>
    <n v="7414000005"/>
  </r>
  <r>
    <x v="26"/>
    <s v="BANCO SANTANDER MEXICO FIDEICOMISO F/2001815 4"/>
    <x v="69"/>
    <s v="NORMAL"/>
    <s v="MXN"/>
    <n v="143950"/>
    <n v="99.968271000000001"/>
    <n v="14390432.61045"/>
    <n v="99.903049999999993"/>
    <n v="9388.5629499999995"/>
    <n v="0"/>
    <n v="0"/>
    <n v="0"/>
    <n v="0"/>
    <n v="143950"/>
    <n v="14390432.61045"/>
    <s v="EPER"/>
    <n v="7414000005"/>
  </r>
  <r>
    <x v="26"/>
    <s v="BANCO SANTANDER MEXICO FIDEICOMISO F/2001815 4"/>
    <x v="72"/>
    <s v="NORMAL"/>
    <s v="MXN"/>
    <n v="801955"/>
    <n v="9.3381629999999998"/>
    <n v="7488786.5086650001"/>
    <n v="8.3235147061734889"/>
    <n v="813702.27247564006"/>
    <n v="0"/>
    <n v="0"/>
    <n v="0"/>
    <n v="0"/>
    <n v="801955"/>
    <n v="7488786.5086650001"/>
    <s v="EPER"/>
    <n v="7414000005"/>
  </r>
  <r>
    <x v="26"/>
    <s v="BANCO SANTANDER MEXICO FIDEICOMISO F/2001815 4"/>
    <x v="15"/>
    <s v="NORMAL"/>
    <s v="MXN"/>
    <n v="472120"/>
    <n v="9.190137"/>
    <n v="4338847.4804400001"/>
    <n v="8.2038586961442004"/>
    <n v="465641.71281639999"/>
    <n v="0"/>
    <n v="0"/>
    <n v="0"/>
    <n v="0"/>
    <n v="472120"/>
    <n v="4338847.4804400001"/>
    <s v="EPER"/>
    <n v="7414000005"/>
  </r>
  <r>
    <x v="26"/>
    <s v="BANCO SANTANDER MEXICO FIDEICOMISO F/2001815 4"/>
    <x v="70"/>
    <s v="NORMAL"/>
    <s v="MXN"/>
    <n v="131150"/>
    <n v="9.0112480000000001"/>
    <n v="1181825.1751999999"/>
    <n v="8.9969798000000001"/>
    <n v="1871.2744299999999"/>
    <n v="0"/>
    <n v="0"/>
    <n v="0"/>
    <n v="0"/>
    <n v="131150"/>
    <n v="1181825.1751999999"/>
    <s v="EPER"/>
    <n v="7414000005"/>
  </r>
  <r>
    <x v="26"/>
    <s v="BANCO SANTANDER MEXICO FIDEICOMISO F/2001815 4"/>
    <x v="71"/>
    <s v="NORMAL"/>
    <s v="MXN"/>
    <n v="653750"/>
    <n v="8.3813510000000004"/>
    <n v="5479308.2162499996"/>
    <n v="8.2905059257552587"/>
    <n v="59389.967287500003"/>
    <n v="0"/>
    <n v="0"/>
    <n v="0"/>
    <n v="0"/>
    <n v="653750"/>
    <n v="5479308.2162499996"/>
    <s v="EPER"/>
    <n v="7414000005"/>
  </r>
  <r>
    <x v="26"/>
    <s v="BANCO SANTANDER MEXICO FIDEICOMISO F/2001815 4"/>
    <x v="16"/>
    <s v="NORMAL"/>
    <s v="MXN"/>
    <n v="2051710"/>
    <n v="8.2580650000000002"/>
    <n v="16943154.54115"/>
    <n v="8.2227828533750387"/>
    <n v="72388.733051899995"/>
    <n v="0"/>
    <n v="0"/>
    <n v="0"/>
    <n v="0"/>
    <n v="2051710"/>
    <n v="16943154.54115"/>
    <s v="EPER"/>
    <n v="7414000005"/>
  </r>
  <r>
    <x v="26"/>
    <s v="BANCO SANTANDER MEXICO FIDEICOMISO F/2001815 4"/>
    <x v="26"/>
    <s v="NORMAL"/>
    <s v="MXN"/>
    <n v="2729"/>
    <n v="98.730349000000004"/>
    <n v="269435.12242099998"/>
    <n v="102.23717001"/>
    <n v="-9570.1145362900006"/>
    <n v="0"/>
    <n v="0"/>
    <n v="0"/>
    <n v="0"/>
    <n v="2729"/>
    <n v="269435.12242099998"/>
    <s v="EPER"/>
    <n v="7414000005"/>
  </r>
  <r>
    <x v="26"/>
    <s v="BANCO SANTANDER MEXICO FIDEICOMISO F/2001815 4"/>
    <x v="67"/>
    <s v="NORMAL"/>
    <s v="MXN"/>
    <n v="30"/>
    <n v="99.247497999999993"/>
    <n v="2977.4249399999999"/>
    <n v="101.04285588"/>
    <n v="-53.8607364"/>
    <n v="0"/>
    <n v="0"/>
    <n v="0"/>
    <n v="0"/>
    <n v="30"/>
    <n v="2977.4249399999999"/>
    <s v="EPER"/>
    <n v="7414000005"/>
  </r>
  <r>
    <x v="26"/>
    <s v="BANCO SANTANDER MEXICO FIDEICOMISO F/2001815 4"/>
    <x v="30"/>
    <s v="NORMAL"/>
    <s v="MXN"/>
    <n v="45561"/>
    <n v="88.698122999999995"/>
    <n v="4041175.1820029998"/>
    <n v="88.216911397561731"/>
    <n v="21924.481818690001"/>
    <n v="0"/>
    <n v="0"/>
    <n v="0"/>
    <n v="0"/>
    <n v="45561"/>
    <n v="4041175.1820029998"/>
    <s v="EPER"/>
    <n v="7414000005"/>
  </r>
  <r>
    <x v="26"/>
    <s v="BANCO SANTANDER MEXICO FIDEICOMISO F/2001815 4"/>
    <x v="31"/>
    <s v="NORMAL"/>
    <s v="MXN"/>
    <n v="10550"/>
    <n v="93.314192000000006"/>
    <n v="984464.72560000001"/>
    <n v="93.409382949999994"/>
    <n v="-1004.2645225"/>
    <n v="0"/>
    <n v="0"/>
    <n v="0"/>
    <n v="0"/>
    <n v="10550"/>
    <n v="984464.72560000001"/>
    <s v="EPER"/>
    <n v="7414000005"/>
  </r>
  <r>
    <x v="26"/>
    <s v="BANCO SANTANDER MEXICO FIDEICOMISO F/2001815 4"/>
    <x v="0"/>
    <s v="NORMAL"/>
    <s v="MXN"/>
    <n v="8085105"/>
    <n v="3.3967719999999999"/>
    <n v="27463258.281059999"/>
    <n v="3.3456055808799019"/>
    <n v="413685.87105999998"/>
    <n v="0"/>
    <n v="0"/>
    <n v="0"/>
    <n v="0"/>
    <n v="8085105"/>
    <n v="27463258.281059999"/>
    <s v="EPER"/>
    <n v="7414000005"/>
  </r>
  <r>
    <x v="26"/>
    <s v="BANCO SANTANDER MEXICO FIDEICOMISO F/2001815 4"/>
    <x v="73"/>
    <s v="NORMAL"/>
    <s v="MXN"/>
    <n v="0"/>
    <n v="0"/>
    <n v="0"/>
    <n v="0"/>
    <n v="0"/>
    <n v="0"/>
    <n v="0"/>
    <n v="0"/>
    <n v="0"/>
    <n v="0"/>
    <n v="0"/>
    <s v="EPER"/>
    <n v="7414000005"/>
  </r>
  <r>
    <x v="26"/>
    <s v="BANCO SANTANDER MEXICO FIDEICOMISO F/2001815 4"/>
    <x v="51"/>
    <s v="NORMAL"/>
    <s v="MXN"/>
    <n v="9642"/>
    <n v="775.69178699999998"/>
    <n v="7479220.2102539996"/>
    <n v="753.50427907000005"/>
    <n v="213931.95146106"/>
    <n v="0"/>
    <n v="0"/>
    <n v="0"/>
    <n v="0"/>
    <n v="9642"/>
    <n v="7479220.2102539996"/>
    <s v="EPER"/>
    <n v="7414000005"/>
  </r>
  <r>
    <x v="27"/>
    <s v="BANCO SANTANDER MEXICO FIDEICOMISO F/2001213 4"/>
    <x v="66"/>
    <s v="NORMAL"/>
    <s v="MXN"/>
    <n v="0"/>
    <n v="0"/>
    <n v="27265.21"/>
    <n v="0"/>
    <n v="0"/>
    <n v="0"/>
    <n v="0"/>
    <n v="0"/>
    <n v="0"/>
    <n v="0"/>
    <n v="27265.21"/>
    <s v="EPER"/>
    <n v="7414000005"/>
  </r>
  <r>
    <x v="28"/>
    <s v="BCO SANT MEX, SA CTA CONC PLANES PERS DE RET DEDUC CONSERVADOR"/>
    <x v="74"/>
    <s v="NORMAL"/>
    <s v="MXN"/>
    <n v="14805927"/>
    <n v="3.568238"/>
    <n v="52831071.346625999"/>
    <n v="3.4960300695795676"/>
    <n v="1069105.346626"/>
    <n v="0"/>
    <n v="0"/>
    <n v="0"/>
    <n v="0"/>
    <n v="14805927"/>
    <n v="52831071.346625999"/>
    <s v="EPER"/>
    <n v="7414000005"/>
  </r>
  <r>
    <x v="29"/>
    <s v="GESTION SANTANDER SA DE CV SO DE SICH CAJA AHORRO EMPLEADOS"/>
    <x v="75"/>
    <s v="NORMAL"/>
    <s v="MXN"/>
    <n v="13866"/>
    <n v="3.612981"/>
    <n v="50097.594546"/>
    <n v="3.6023748737920092"/>
    <n v="147.06454600000001"/>
    <n v="0"/>
    <n v="0"/>
    <n v="0"/>
    <n v="0"/>
    <n v="13866"/>
    <n v="50097.594546"/>
    <s v="EPER"/>
    <n v="7414000005"/>
  </r>
  <r>
    <x v="29"/>
    <s v="GESTION SANTANDER SA DE CV SO DE SICH CAJA AHORRO EMPLEADOS"/>
    <x v="76"/>
    <s v="NORMAL"/>
    <s v="MXN"/>
    <n v="68123"/>
    <n v="137.04691399999999"/>
    <n v="9336046.9224219993"/>
    <n v="128.63567223991896"/>
    <n v="572999.02242199995"/>
    <n v="0"/>
    <n v="0"/>
    <n v="0"/>
    <n v="0"/>
    <n v="68123"/>
    <n v="9336046.9224219993"/>
    <s v="EPER"/>
    <n v="7414000005"/>
  </r>
  <r>
    <x v="29"/>
    <s v="GESTION SANTANDER SA DE CV SO DE SICH CAJA AHORRO EMPLEADOS"/>
    <x v="77"/>
    <s v="NORMAL"/>
    <s v="MXN"/>
    <n v="1931031"/>
    <n v="3.6364960000000002"/>
    <n v="7022186.5073760003"/>
    <n v="3.4142295540568743"/>
    <n v="429203.39737600001"/>
    <n v="0"/>
    <n v="0"/>
    <n v="0"/>
    <n v="0"/>
    <n v="1931031"/>
    <n v="7022186.5073760003"/>
    <s v="EPER"/>
    <n v="7414000005"/>
  </r>
  <r>
    <x v="29"/>
    <s v="GESTION SANTANDER SA DE CV SO DE SICH CAJA AHORRO EMPLEADOS"/>
    <x v="78"/>
    <s v="NORMAL"/>
    <s v="MXN"/>
    <n v="3951965"/>
    <n v="2.1315040000000001"/>
    <n v="8423629.2053599991"/>
    <n v="1.9841541410412289"/>
    <n v="582321.48536000005"/>
    <n v="0"/>
    <n v="0"/>
    <n v="0"/>
    <n v="0"/>
    <n v="3951965"/>
    <n v="8423629.2053599991"/>
    <s v="EPER"/>
    <n v="7414000005"/>
  </r>
  <r>
    <x v="29"/>
    <s v="GESTION SANTANDER SA DE CV SO DE SICH CAJA AHORRO EMPLEADOS"/>
    <x v="79"/>
    <s v="NORMAL"/>
    <s v="MXN"/>
    <n v="90365"/>
    <n v="2.8149250000000001"/>
    <n v="254370.697625"/>
    <n v="2.6894211254357328"/>
    <n v="11341.157625"/>
    <n v="0"/>
    <n v="0"/>
    <n v="0"/>
    <n v="0"/>
    <n v="90365"/>
    <n v="254370.697625"/>
    <s v="EPER"/>
    <n v="7414000005"/>
  </r>
  <r>
    <x v="30"/>
    <s v="GESTION SANTANDER SA DE CV SOP SIPP"/>
    <x v="75"/>
    <s v="NORMAL"/>
    <s v="MXN"/>
    <n v="21987"/>
    <n v="3.612981"/>
    <n v="79438.613247000001"/>
    <n v="3.6023750397962431"/>
    <n v="233.19324700000001"/>
    <n v="0"/>
    <n v="0"/>
    <n v="0"/>
    <n v="0"/>
    <n v="21987"/>
    <n v="79438.613247000001"/>
    <s v="EPER"/>
    <n v="7414000005"/>
  </r>
  <r>
    <x v="30"/>
    <s v="GESTION SANTANDER SA DE CV SOP SIPP"/>
    <x v="76"/>
    <s v="NORMAL"/>
    <s v="MXN"/>
    <n v="158128"/>
    <n v="137.04691399999999"/>
    <n v="21670954.416992001"/>
    <n v="128.66331408732165"/>
    <n v="1325681.886992"/>
    <n v="0"/>
    <n v="0"/>
    <n v="0"/>
    <n v="0"/>
    <n v="158128"/>
    <n v="21670954.416992001"/>
    <s v="EPER"/>
    <n v="7414000005"/>
  </r>
  <r>
    <x v="30"/>
    <s v="GESTION SANTANDER SA DE CV SOP SIPP"/>
    <x v="77"/>
    <s v="NORMAL"/>
    <s v="MXN"/>
    <n v="4705909"/>
    <n v="3.6364960000000002"/>
    <n v="17113019.254864"/>
    <n v="3.4139943356320743"/>
    <n v="1047072.584864"/>
    <n v="0"/>
    <n v="0"/>
    <n v="0"/>
    <n v="0"/>
    <n v="4705909"/>
    <n v="17113019.254864"/>
    <s v="EPER"/>
    <n v="7414000005"/>
  </r>
  <r>
    <x v="30"/>
    <s v="GESTION SANTANDER SA DE CV SOP SIPP"/>
    <x v="78"/>
    <s v="NORMAL"/>
    <s v="MXN"/>
    <n v="8549913"/>
    <n v="2.1315040000000001"/>
    <n v="18224173.759151999"/>
    <n v="1.9836977861646077"/>
    <n v="1263730.2691520001"/>
    <n v="0"/>
    <n v="0"/>
    <n v="0"/>
    <n v="0"/>
    <n v="8549913"/>
    <n v="18224173.759151999"/>
    <s v="EPER"/>
    <n v="7414000005"/>
  </r>
  <r>
    <x v="30"/>
    <s v="GESTION SANTANDER SA DE CV SOP SIPP"/>
    <x v="79"/>
    <s v="NORMAL"/>
    <s v="MXN"/>
    <n v="197157"/>
    <n v="2.8149250000000001"/>
    <n v="554982.16822500003"/>
    <n v="2.6974165259158944"/>
    <n v="23167.618224999998"/>
    <n v="0"/>
    <n v="0"/>
    <n v="0"/>
    <n v="0"/>
    <n v="197157"/>
    <n v="554982.16822500003"/>
    <s v="EPER"/>
    <n v="7414000005"/>
  </r>
  <r>
    <x v="31"/>
    <s v="BANCO SANTANDER MEXICO SA FIDEICOMISO 20018231"/>
    <x v="0"/>
    <s v="NORMAL"/>
    <s v="MXN"/>
    <n v="9555686"/>
    <n v="3.3967719999999999"/>
    <n v="32458486.645592"/>
    <n v="2.7105275079151827"/>
    <n v="6557536.8855919996"/>
    <n v="0"/>
    <n v="0"/>
    <n v="0"/>
    <n v="0"/>
    <n v="9555686"/>
    <n v="32458486.645592"/>
    <s v="EPER"/>
    <n v="7414000005"/>
  </r>
  <r>
    <x v="31"/>
    <s v="BANCO SANTANDER MEXICO SA FIDEICOMISO 20018231"/>
    <x v="80"/>
    <s v="NORMAL"/>
    <s v="MXN"/>
    <n v="15625451"/>
    <n v="3.8832339999999999"/>
    <n v="60677282.588533998"/>
    <n v="2.6049145851854134"/>
    <n v="19974317.378534"/>
    <n v="0"/>
    <n v="0"/>
    <n v="0"/>
    <n v="0"/>
    <n v="15625451"/>
    <n v="60677282.588533998"/>
    <s v="EPER"/>
    <n v="7414000005"/>
  </r>
  <r>
    <x v="32"/>
    <s v="BANCO SANTANDER MEXICO SA FID 2000352-1"/>
    <x v="66"/>
    <s v="NORMAL"/>
    <s v="MXN"/>
    <n v="0"/>
    <n v="0"/>
    <n v="55443949.5"/>
    <n v="0"/>
    <n v="0"/>
    <n v="0"/>
    <n v="0"/>
    <n v="0"/>
    <n v="0"/>
    <n v="0"/>
    <n v="55443949.5"/>
    <s v="EPER"/>
    <n v="7414000005"/>
  </r>
  <r>
    <x v="32"/>
    <s v="BANCO SANTANDER MEXICO SA FID 2000352-1"/>
    <x v="67"/>
    <s v="NORMAL"/>
    <s v="MXN"/>
    <n v="7629"/>
    <n v="99.247497999999993"/>
    <n v="757159.16224199999"/>
    <n v="92.957888330563634"/>
    <n v="47983.432168129999"/>
    <n v="0"/>
    <n v="0"/>
    <n v="0"/>
    <n v="0"/>
    <n v="7629"/>
    <n v="757159.16224199999"/>
    <s v="EPER"/>
    <n v="7414000005"/>
  </r>
  <r>
    <x v="32"/>
    <s v="BANCO SANTANDER MEXICO SA FID 2000352-1"/>
    <x v="28"/>
    <s v="NORMAL"/>
    <s v="MXN"/>
    <n v="160"/>
    <n v="91.911821000000003"/>
    <n v="14705.89136"/>
    <n v="97.378761589999996"/>
    <n v="-874.71049440000002"/>
    <n v="0"/>
    <n v="0"/>
    <n v="0"/>
    <n v="0"/>
    <n v="160"/>
    <n v="14705.89136"/>
    <s v="EPER"/>
    <n v="7414000005"/>
  </r>
  <r>
    <x v="32"/>
    <s v="BANCO SANTANDER MEXICO SA FID 2000352-1"/>
    <x v="31"/>
    <s v="NORMAL"/>
    <s v="MXN"/>
    <n v="4160"/>
    <n v="93.314192000000006"/>
    <n v="388187.03872000001"/>
    <n v="107.81026574000001"/>
    <n v="-60303.666758400002"/>
    <n v="0"/>
    <n v="0"/>
    <n v="0"/>
    <n v="0"/>
    <n v="4160"/>
    <n v="388187.03872000001"/>
    <s v="EPER"/>
    <n v="7414000005"/>
  </r>
  <r>
    <x v="32"/>
    <s v="BANCO SANTANDER MEXICO SA FID 2000352-1"/>
    <x v="33"/>
    <s v="NORMAL"/>
    <s v="MXN"/>
    <n v="10190"/>
    <n v="94.870157000000006"/>
    <n v="966726.89983000001"/>
    <n v="118.51528435772326"/>
    <n v="-240943.8477752"/>
    <n v="0"/>
    <n v="0"/>
    <n v="0"/>
    <n v="0"/>
    <n v="10190"/>
    <n v="966726.89983000001"/>
    <s v="EPER"/>
    <n v="7414000005"/>
  </r>
  <r>
    <x v="32"/>
    <s v="BANCO SANTANDER MEXICO SA FID 2000352-1"/>
    <x v="34"/>
    <s v="NORMAL"/>
    <s v="MXN"/>
    <n v="4540"/>
    <n v="89.489464999999996"/>
    <n v="406282.17109999998"/>
    <n v="82.9037140776652"/>
    <n v="29899.309187399998"/>
    <n v="0"/>
    <n v="0"/>
    <n v="0"/>
    <n v="0"/>
    <n v="4540"/>
    <n v="406282.17109999998"/>
    <s v="EPER"/>
    <n v="7414000005"/>
  </r>
  <r>
    <x v="32"/>
    <s v="BANCO SANTANDER MEXICO SA FID 2000352-1"/>
    <x v="81"/>
    <s v="NORMAL"/>
    <s v="MXN"/>
    <n v="15768"/>
    <n v="101.45096599999999"/>
    <n v="1599678.831888"/>
    <n v="113.94762556988331"/>
    <n v="-197047.32809791999"/>
    <n v="0"/>
    <n v="0"/>
    <n v="0"/>
    <n v="0"/>
    <n v="15768"/>
    <n v="1599678.831888"/>
    <s v="EPER"/>
    <n v="7414000005"/>
  </r>
  <r>
    <x v="32"/>
    <s v="BANCO SANTANDER MEXICO SA FID 2000352-1"/>
    <x v="68"/>
    <s v="NORMAL"/>
    <s v="MXN"/>
    <n v="1866"/>
    <n v="89.643172000000007"/>
    <n v="167274.158952"/>
    <n v="117.68286983"/>
    <n v="-52322.076150779998"/>
    <n v="0"/>
    <n v="0"/>
    <n v="0"/>
    <n v="0"/>
    <n v="1866"/>
    <n v="167274.158952"/>
    <s v="EPER"/>
    <n v="7414000005"/>
  </r>
  <r>
    <x v="32"/>
    <s v="BANCO SANTANDER MEXICO SA FID 2000352-1"/>
    <x v="37"/>
    <s v="NORMAL"/>
    <s v="MXN"/>
    <n v="985"/>
    <n v="81.738860000000003"/>
    <n v="80512.777100000007"/>
    <n v="101.5451082"/>
    <n v="-19509.154477"/>
    <n v="0"/>
    <n v="0"/>
    <n v="0"/>
    <n v="0"/>
    <n v="985"/>
    <n v="80512.777100000007"/>
    <s v="EPER"/>
    <n v="7414000005"/>
  </r>
  <r>
    <x v="32"/>
    <s v="BANCO SANTANDER MEXICO SA FID 2000352-1"/>
    <x v="38"/>
    <s v="NORMAL"/>
    <s v="MXN"/>
    <n v="9218"/>
    <n v="83.200761"/>
    <n v="766944.61489800003"/>
    <n v="96.799409990000001"/>
    <n v="-125352.34638982"/>
    <n v="0"/>
    <n v="0"/>
    <n v="0"/>
    <n v="0"/>
    <n v="9218"/>
    <n v="766944.61489800003"/>
    <s v="EPER"/>
    <n v="7414000005"/>
  </r>
  <r>
    <x v="32"/>
    <s v="BANCO SANTANDER MEXICO SA FID 2000352-1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32"/>
    <s v="BANCO SANTANDER MEXICO SA FID 2000352-1"/>
    <x v="51"/>
    <s v="NORMAL"/>
    <s v="MXN"/>
    <n v="137609"/>
    <n v="775.69178699999998"/>
    <n v="106742171.117283"/>
    <n v="766.84932879343341"/>
    <n v="1216801.8313474201"/>
    <n v="0"/>
    <n v="0"/>
    <n v="0"/>
    <n v="0"/>
    <n v="137609"/>
    <n v="106742171.117283"/>
    <s v="EPER"/>
    <n v="7414000005"/>
  </r>
  <r>
    <x v="32"/>
    <s v="BANCO SANTANDER MEXICO SA FID 2000352-1"/>
    <x v="52"/>
    <s v="NORMAL"/>
    <s v="MXN"/>
    <n v="30479"/>
    <n v="747.17843200000004"/>
    <n v="22773251.428927999"/>
    <n v="741.74077517000001"/>
    <n v="165734.34252157001"/>
    <n v="0"/>
    <n v="0"/>
    <n v="0"/>
    <n v="0"/>
    <n v="30479"/>
    <n v="22773251.428927999"/>
    <s v="EPER"/>
    <n v="7414000005"/>
  </r>
  <r>
    <x v="32"/>
    <s v="BANCO SANTANDER MEXICO SA FID 2000352-1"/>
    <x v="53"/>
    <s v="NORMAL"/>
    <s v="MXN"/>
    <n v="65"/>
    <n v="765.92388300000005"/>
    <n v="49785.052394999999"/>
    <n v="781.86509464999995"/>
    <n v="-1036.17875725"/>
    <n v="0"/>
    <n v="0"/>
    <n v="0"/>
    <n v="0"/>
    <n v="65"/>
    <n v="49785.052394999999"/>
    <s v="EPER"/>
    <n v="7414000005"/>
  </r>
  <r>
    <x v="32"/>
    <s v="BANCO SANTANDER MEXICO SA FID 2000352-1"/>
    <x v="54"/>
    <s v="NORMAL"/>
    <s v="MXN"/>
    <n v="57"/>
    <n v="684.88915799999995"/>
    <n v="39038.682006000003"/>
    <n v="674.82119490000002"/>
    <n v="573.87389670000005"/>
    <n v="0"/>
    <n v="0"/>
    <n v="0"/>
    <n v="0"/>
    <n v="57"/>
    <n v="39038.682006000003"/>
    <s v="EPER"/>
    <n v="7414000005"/>
  </r>
  <r>
    <x v="32"/>
    <s v="BANCO SANTANDER MEXICO SA FID 2000352-1"/>
    <x v="55"/>
    <s v="NORMAL"/>
    <s v="MXN"/>
    <n v="26"/>
    <n v="772.926965"/>
    <n v="20096.10109"/>
    <n v="578.72789299999999"/>
    <n v="5049.1758719999998"/>
    <n v="0"/>
    <n v="0"/>
    <n v="0"/>
    <n v="0"/>
    <n v="26"/>
    <n v="20096.10109"/>
    <s v="EPER"/>
    <n v="7414000005"/>
  </r>
  <r>
    <x v="32"/>
    <s v="BANCO SANTANDER MEXICO SA FID 2000352-1"/>
    <x v="56"/>
    <s v="NORMAL"/>
    <s v="MXN"/>
    <n v="3"/>
    <n v="721.59464000000003"/>
    <n v="2164.7839199999999"/>
    <n v="10188.966527833334"/>
    <n v="-28402.115663500001"/>
    <n v="0"/>
    <n v="0"/>
    <n v="0"/>
    <n v="0"/>
    <n v="3"/>
    <n v="2164.7839199999999"/>
    <s v="EPER"/>
    <n v="7414000005"/>
  </r>
  <r>
    <x v="32"/>
    <s v="BANCO SANTANDER MEXICO SA FID 2000352-1"/>
    <x v="57"/>
    <s v="NORMAL"/>
    <s v="MXN"/>
    <n v="44"/>
    <n v="635.96311900000001"/>
    <n v="27982.377236"/>
    <n v="647.93802047999998"/>
    <n v="-526.89566511999999"/>
    <n v="0"/>
    <n v="0"/>
    <n v="0"/>
    <n v="0"/>
    <n v="44"/>
    <n v="27982.377236"/>
    <s v="EPER"/>
    <n v="7414000005"/>
  </r>
  <r>
    <x v="32"/>
    <s v="BANCO SANTANDER MEXICO SA FID 2000352-1"/>
    <x v="58"/>
    <s v="NORMAL"/>
    <s v="MXN"/>
    <n v="42"/>
    <n v="709.36974099999998"/>
    <n v="29793.529122"/>
    <n v="771.09918236999999"/>
    <n v="-2592.6365375400001"/>
    <n v="0"/>
    <n v="0"/>
    <n v="0"/>
    <n v="0"/>
    <n v="42"/>
    <n v="29793.529122"/>
    <s v="EPER"/>
    <n v="7414000005"/>
  </r>
  <r>
    <x v="32"/>
    <s v="BANCO SANTANDER MEXICO SA FID 2000352-1"/>
    <x v="59"/>
    <s v="NORMAL"/>
    <s v="MXN"/>
    <n v="14"/>
    <n v="694.41118700000004"/>
    <n v="9721.7566179999994"/>
    <n v="707.93932878999999"/>
    <n v="-189.39398506000001"/>
    <n v="0"/>
    <n v="0"/>
    <n v="0"/>
    <n v="0"/>
    <n v="14"/>
    <n v="9721.7566179999994"/>
    <s v="EPER"/>
    <n v="7414000005"/>
  </r>
  <r>
    <x v="33"/>
    <s v="BANCO SANTANDER MEXICO SA FIDEICOMISO F/2110597-1"/>
    <x v="0"/>
    <s v="NORMAL"/>
    <s v="MXN"/>
    <n v="4018547"/>
    <n v="3.3967719999999999"/>
    <n v="13650087.930283999"/>
    <n v="2.3201114930346716"/>
    <n v="4326610.8502839999"/>
    <n v="0"/>
    <n v="0"/>
    <n v="0"/>
    <n v="0"/>
    <n v="4018547"/>
    <n v="13650087.930283999"/>
    <s v="EPER"/>
    <n v="7414000005"/>
  </r>
  <r>
    <x v="33"/>
    <s v="BANCO SANTANDER MEXICO SA FIDEICOMISO F/2110597-1"/>
    <x v="83"/>
    <s v="NORMAL"/>
    <s v="MXN"/>
    <n v="338000000"/>
    <n v="2.106938"/>
    <n v="712145044"/>
    <n v="1.2627020459171598"/>
    <n v="285351752.48000002"/>
    <n v="0"/>
    <n v="0"/>
    <n v="0"/>
    <n v="0"/>
    <n v="338000000"/>
    <n v="712145044"/>
    <s v="EPER"/>
    <n v="7414000005"/>
  </r>
  <r>
    <x v="34"/>
    <s v="NAFINSA COMO FID.DEL FISO ART.16 LEY ADUANERA (CON MANDATO)"/>
    <x v="84"/>
    <s v="NORMAL"/>
    <s v="MXN"/>
    <n v="0"/>
    <n v="0"/>
    <n v="0"/>
    <n v="0"/>
    <n v="0"/>
    <n v="0"/>
    <n v="0"/>
    <n v="0"/>
    <n v="0"/>
    <n v="0"/>
    <n v="0"/>
    <s v="EPER"/>
    <n v="7414000005"/>
  </r>
  <r>
    <x v="35"/>
    <s v="BANCO SANTANDER MEXICO SA FIDEICOMISO  F/35740-0"/>
    <x v="85"/>
    <s v="NORMAL"/>
    <s v="MXN"/>
    <n v="610"/>
    <n v="97.654420999999999"/>
    <n v="59569.196810000001"/>
    <n v="98.224185000000006"/>
    <n v="-347.55604"/>
    <n v="0"/>
    <n v="0"/>
    <n v="0"/>
    <n v="0"/>
    <n v="610"/>
    <n v="59569.196810000001"/>
    <s v="EPER"/>
    <n v="7414000005"/>
  </r>
  <r>
    <x v="35"/>
    <s v="BANCO SANTANDER MEXICO SA FIDEICOMISO  F/35740-0"/>
    <x v="86"/>
    <s v="NORMAL"/>
    <s v="MXN"/>
    <n v="129882"/>
    <n v="9.4935880000000008"/>
    <n v="1233046.196616"/>
    <n v="8.4405498100000003"/>
    <n v="136770.70619358"/>
    <n v="0"/>
    <n v="0"/>
    <n v="0"/>
    <n v="0"/>
    <n v="129882"/>
    <n v="1233046.196616"/>
    <s v="EPER"/>
    <n v="7414000005"/>
  </r>
  <r>
    <x v="35"/>
    <s v="BANCO SANTANDER MEXICO SA FIDEICOMISO  F/35740-0"/>
    <x v="72"/>
    <s v="NORMAL"/>
    <s v="MXN"/>
    <n v="176890"/>
    <n v="9.3381629999999998"/>
    <n v="1651827.65307"/>
    <n v="8.3307969100000001"/>
    <n v="178192.98766010001"/>
    <n v="0"/>
    <n v="0"/>
    <n v="0"/>
    <n v="0"/>
    <n v="176890"/>
    <n v="1651827.65307"/>
    <s v="EPER"/>
    <n v="7414000005"/>
  </r>
  <r>
    <x v="35"/>
    <s v="BANCO SANTANDER MEXICO SA FIDEICOMISO  F/35740-0"/>
    <x v="26"/>
    <s v="NORMAL"/>
    <s v="MXN"/>
    <n v="7559"/>
    <n v="98.730349000000004"/>
    <n v="746302.70809099998"/>
    <n v="104.28077916390264"/>
    <n v="-41955.701608939999"/>
    <n v="0"/>
    <n v="0"/>
    <n v="0"/>
    <n v="0"/>
    <n v="7559"/>
    <n v="746302.70809099998"/>
    <s v="EPER"/>
    <n v="7414000005"/>
  </r>
  <r>
    <x v="35"/>
    <s v="BANCO SANTANDER MEXICO SA FIDEICOMISO  F/35740-0"/>
    <x v="67"/>
    <s v="NORMAL"/>
    <s v="MXN"/>
    <n v="9263"/>
    <n v="99.247497999999993"/>
    <n v="919329.57397400006"/>
    <n v="112.254154175536"/>
    <n v="-120480.65615399"/>
    <n v="0"/>
    <n v="0"/>
    <n v="0"/>
    <n v="0"/>
    <n v="9263"/>
    <n v="919329.57397400006"/>
    <s v="EPER"/>
    <n v="7414000005"/>
  </r>
  <r>
    <x v="35"/>
    <s v="BANCO SANTANDER MEXICO SA FIDEICOMISO  F/35740-0"/>
    <x v="27"/>
    <s v="NORMAL"/>
    <s v="MXN"/>
    <n v="3060"/>
    <n v="94.973146999999997"/>
    <n v="290617.82981999998"/>
    <n v="89.778084726895429"/>
    <n v="15896.8905557"/>
    <n v="0"/>
    <n v="0"/>
    <n v="0"/>
    <n v="0"/>
    <n v="3060"/>
    <n v="290617.82981999998"/>
    <s v="EPER"/>
    <n v="7414000005"/>
  </r>
  <r>
    <x v="35"/>
    <s v="BANCO SANTANDER MEXICO SA FIDEICOMISO  F/35740-0"/>
    <x v="28"/>
    <s v="NORMAL"/>
    <s v="MXN"/>
    <n v="10331"/>
    <n v="91.911821000000003"/>
    <n v="949541.02275100001"/>
    <n v="93.2088459"/>
    <n v="-13399.5642419"/>
    <n v="0"/>
    <n v="0"/>
    <n v="0"/>
    <n v="0"/>
    <n v="10331"/>
    <n v="949541.02275100001"/>
    <s v="EPER"/>
    <n v="7414000005"/>
  </r>
  <r>
    <x v="35"/>
    <s v="BANCO SANTANDER MEXICO SA FIDEICOMISO  F/35740-0"/>
    <x v="29"/>
    <s v="NORMAL"/>
    <s v="MXN"/>
    <n v="5390"/>
    <n v="92.954503000000003"/>
    <n v="501024.77117000002"/>
    <n v="93.326693087847872"/>
    <n v="-2006.1045735"/>
    <n v="0"/>
    <n v="0"/>
    <n v="0"/>
    <n v="0"/>
    <n v="5390"/>
    <n v="501024.77117000002"/>
    <s v="EPER"/>
    <n v="7414000005"/>
  </r>
  <r>
    <x v="35"/>
    <s v="BANCO SANTANDER MEXICO SA FIDEICOMISO  F/35740-0"/>
    <x v="30"/>
    <s v="NORMAL"/>
    <s v="MXN"/>
    <n v="5354"/>
    <n v="88.698122999999995"/>
    <n v="474889.75054199999"/>
    <n v="85.585677442756818"/>
    <n v="16664.033513480001"/>
    <n v="0"/>
    <n v="0"/>
    <n v="0"/>
    <n v="0"/>
    <n v="5354"/>
    <n v="474889.75054199999"/>
    <s v="EPER"/>
    <n v="7414000005"/>
  </r>
  <r>
    <x v="35"/>
    <s v="BANCO SANTANDER MEXICO SA FIDEICOMISO  F/35740-0"/>
    <x v="31"/>
    <s v="NORMAL"/>
    <s v="MXN"/>
    <n v="10230"/>
    <n v="93.314192000000006"/>
    <n v="954604.18415999995"/>
    <n v="98.836472145376348"/>
    <n v="-56492.925887199999"/>
    <n v="0"/>
    <n v="0"/>
    <n v="0"/>
    <n v="0"/>
    <n v="10230"/>
    <n v="954604.18415999995"/>
    <s v="EPER"/>
    <n v="7414000005"/>
  </r>
  <r>
    <x v="35"/>
    <s v="BANCO SANTANDER MEXICO SA FIDEICOMISO  F/35740-0"/>
    <x v="32"/>
    <s v="NORMAL"/>
    <s v="MXN"/>
    <n v="9410"/>
    <n v="94.864168000000006"/>
    <n v="892671.82088000001"/>
    <n v="96.406295566673748"/>
    <n v="-14511.420402399999"/>
    <n v="0"/>
    <n v="0"/>
    <n v="0"/>
    <n v="0"/>
    <n v="9410"/>
    <n v="892671.82088000001"/>
    <s v="EPER"/>
    <n v="7414000005"/>
  </r>
  <r>
    <x v="35"/>
    <s v="BANCO SANTANDER MEXICO SA FIDEICOMISO  F/35740-0"/>
    <x v="33"/>
    <s v="NORMAL"/>
    <s v="MXN"/>
    <n v="46161"/>
    <n v="94.870157000000006"/>
    <n v="4379301.3172770003"/>
    <n v="97.073413020367624"/>
    <n v="-101704.50115619"/>
    <n v="0"/>
    <n v="0"/>
    <n v="0"/>
    <n v="0"/>
    <n v="46161"/>
    <n v="4379301.3172770003"/>
    <s v="EPER"/>
    <n v="7414000005"/>
  </r>
  <r>
    <x v="35"/>
    <s v="BANCO SANTANDER MEXICO SA FIDEICOMISO  F/35740-0"/>
    <x v="34"/>
    <s v="NORMAL"/>
    <s v="MXN"/>
    <n v="12537"/>
    <n v="89.489464999999996"/>
    <n v="1121929.422705"/>
    <n v="91.602808392334694"/>
    <n v="-26494.986109699999"/>
    <n v="0"/>
    <n v="0"/>
    <n v="0"/>
    <n v="0"/>
    <n v="12537"/>
    <n v="1121929.422705"/>
    <s v="EPER"/>
    <n v="7414000005"/>
  </r>
  <r>
    <x v="35"/>
    <s v="BANCO SANTANDER MEXICO SA FIDEICOMISO  F/35740-0"/>
    <x v="35"/>
    <s v="NORMAL"/>
    <s v="MXN"/>
    <n v="24530"/>
    <n v="86.197128000000006"/>
    <n v="2114415.54984"/>
    <n v="89.62414919991032"/>
    <n v="-84064.830033799997"/>
    <n v="0"/>
    <n v="0"/>
    <n v="0"/>
    <n v="0"/>
    <n v="24530"/>
    <n v="2114415.54984"/>
    <s v="EPER"/>
    <n v="7414000005"/>
  </r>
  <r>
    <x v="35"/>
    <s v="BANCO SANTANDER MEXICO SA FIDEICOMISO  F/35740-0"/>
    <x v="36"/>
    <s v="NORMAL"/>
    <s v="MXN"/>
    <n v="14897"/>
    <n v="86.469353999999996"/>
    <n v="1288133.9665379999"/>
    <n v="90.762857651495608"/>
    <n v="-63960.323896330003"/>
    <n v="0"/>
    <n v="0"/>
    <n v="0"/>
    <n v="0"/>
    <n v="14897"/>
    <n v="1288133.9665379999"/>
    <s v="EPER"/>
    <n v="7414000005"/>
  </r>
  <r>
    <x v="35"/>
    <s v="BANCO SANTANDER MEXICO SA FIDEICOMISO  F/35740-0"/>
    <x v="81"/>
    <s v="NORMAL"/>
    <s v="MXN"/>
    <n v="863"/>
    <n v="101.45096599999999"/>
    <n v="87552.183657999994"/>
    <n v="114.11447106"/>
    <n v="-10928.604866780001"/>
    <n v="0"/>
    <n v="0"/>
    <n v="0"/>
    <n v="0"/>
    <n v="863"/>
    <n v="87552.183657999994"/>
    <s v="EPER"/>
    <n v="7414000005"/>
  </r>
  <r>
    <x v="35"/>
    <s v="BANCO SANTANDER MEXICO SA FIDEICOMISO  F/35740-0"/>
    <x v="68"/>
    <s v="NORMAL"/>
    <s v="MXN"/>
    <n v="735"/>
    <n v="89.643172000000007"/>
    <n v="65887.731419999996"/>
    <n v="108.47711812999999"/>
    <n v="-13842.95040555"/>
    <n v="0"/>
    <n v="0"/>
    <n v="0"/>
    <n v="0"/>
    <n v="735"/>
    <n v="65887.731419999996"/>
    <s v="EPER"/>
    <n v="7414000005"/>
  </r>
  <r>
    <x v="35"/>
    <s v="BANCO SANTANDER MEXICO SA FIDEICOMISO  F/35740-0"/>
    <x v="37"/>
    <s v="NORMAL"/>
    <s v="MXN"/>
    <n v="16762"/>
    <n v="81.738860000000003"/>
    <n v="1370106.7713200001"/>
    <n v="86.366601686218829"/>
    <n v="-77570.206144399999"/>
    <n v="0"/>
    <n v="0"/>
    <n v="0"/>
    <n v="0"/>
    <n v="16762"/>
    <n v="1370106.7713200001"/>
    <s v="EPER"/>
    <n v="7414000005"/>
  </r>
  <r>
    <x v="35"/>
    <s v="BANCO SANTANDER MEXICO SA FIDEICOMISO  F/35740-0"/>
    <x v="38"/>
    <s v="NORMAL"/>
    <s v="MXN"/>
    <n v="3135"/>
    <n v="83.200761"/>
    <n v="260834.38573499999"/>
    <n v="94.401034177942577"/>
    <n v="-35112.85641285"/>
    <n v="0"/>
    <n v="0"/>
    <n v="0"/>
    <n v="0"/>
    <n v="3135"/>
    <n v="260834.38573499999"/>
    <s v="EPER"/>
    <n v="7414000005"/>
  </r>
  <r>
    <x v="35"/>
    <s v="BANCO SANTANDER MEXICO SA FIDEICOMISO  F/35740-0"/>
    <x v="39"/>
    <s v="NORMAL"/>
    <s v="MXN"/>
    <n v="28277"/>
    <n v="82.159907000000004"/>
    <n v="2323235.6902390001"/>
    <n v="84.062520635517913"/>
    <n v="-53800.205771540001"/>
    <n v="0"/>
    <n v="0"/>
    <n v="0"/>
    <n v="0"/>
    <n v="28277"/>
    <n v="2323235.6902390001"/>
    <s v="EPER"/>
    <n v="7414000005"/>
  </r>
  <r>
    <x v="35"/>
    <s v="BANCO SANTANDER MEXICO SA FIDEICOMISO  F/35740-0"/>
    <x v="87"/>
    <s v="NORMAL"/>
    <s v="MXN"/>
    <n v="0"/>
    <n v="0"/>
    <n v="0"/>
    <n v="0"/>
    <n v="0"/>
    <n v="0"/>
    <n v="0"/>
    <n v="0"/>
    <n v="0"/>
    <n v="0"/>
    <n v="0"/>
    <s v="EPER"/>
    <n v="7414000005"/>
  </r>
  <r>
    <x v="35"/>
    <s v="BANCO SANTANDER MEXICO SA FIDEICOMISO  F/35740-0"/>
    <x v="88"/>
    <s v="NORMAL"/>
    <s v="MXN"/>
    <n v="21690"/>
    <n v="98.007834000000003"/>
    <n v="2125789.91946"/>
    <n v="89.821179151327797"/>
    <n v="177568.5436677"/>
    <n v="0"/>
    <n v="0"/>
    <n v="0"/>
    <n v="0"/>
    <n v="21690"/>
    <n v="2125789.91946"/>
    <s v="EPER"/>
    <n v="7414000005"/>
  </r>
  <r>
    <x v="35"/>
    <s v="BANCO SANTANDER MEXICO SA FIDEICOMISO  F/35740-0"/>
    <x v="89"/>
    <s v="NORMAL"/>
    <s v="MXN"/>
    <n v="4188210"/>
    <n v="3.1390400000000001"/>
    <n v="13146958.7184"/>
    <n v="2.374308757201764"/>
    <n v="3202855.0384"/>
    <n v="0"/>
    <n v="0"/>
    <n v="0"/>
    <n v="0"/>
    <n v="4188210"/>
    <n v="13146958.7184"/>
    <s v="EPER"/>
    <n v="7414000005"/>
  </r>
  <r>
    <x v="35"/>
    <s v="BANCO SANTANDER MEXICO SA FIDEICOMISO  F/35740-0"/>
    <x v="0"/>
    <s v="NORMAL"/>
    <s v="MXN"/>
    <n v="847437"/>
    <n v="3.3967719999999999"/>
    <n v="2878550.273364"/>
    <n v="3.3030302075552518"/>
    <n v="79440.263363999999"/>
    <n v="0"/>
    <n v="0"/>
    <n v="0"/>
    <n v="0"/>
    <n v="847437"/>
    <n v="2878550.273364"/>
    <s v="EPER"/>
    <n v="7414000005"/>
  </r>
  <r>
    <x v="35"/>
    <s v="BANCO SANTANDER MEXICO SA FIDEICOMISO  F/35740-0"/>
    <x v="51"/>
    <s v="NORMAL"/>
    <s v="MXN"/>
    <n v="2308"/>
    <n v="775.69178699999998"/>
    <n v="1790296.6443960001"/>
    <n v="766.69784126000002"/>
    <n v="20758.026767920001"/>
    <n v="0"/>
    <n v="0"/>
    <n v="0"/>
    <n v="0"/>
    <n v="2308"/>
    <n v="1790296.6443960001"/>
    <s v="EPER"/>
    <n v="7414000005"/>
  </r>
  <r>
    <x v="35"/>
    <s v="BANCO SANTANDER MEXICO SA FIDEICOMISO  F/35740-0"/>
    <x v="52"/>
    <s v="NORMAL"/>
    <s v="MXN"/>
    <n v="3687"/>
    <n v="747.17843200000004"/>
    <n v="2754846.8787839999"/>
    <n v="723.89957231611061"/>
    <n v="85829.155654500006"/>
    <n v="0"/>
    <n v="0"/>
    <n v="0"/>
    <n v="0"/>
    <n v="3687"/>
    <n v="2754846.8787839999"/>
    <s v="EPER"/>
    <n v="7414000005"/>
  </r>
  <r>
    <x v="35"/>
    <s v="BANCO SANTANDER MEXICO SA FIDEICOMISO  F/35740-0"/>
    <x v="53"/>
    <s v="NORMAL"/>
    <s v="MXN"/>
    <n v="1155"/>
    <n v="765.92388300000005"/>
    <n v="884642.08486499998"/>
    <n v="752.73890871038964"/>
    <n v="15228.6453045"/>
    <n v="0"/>
    <n v="0"/>
    <n v="0"/>
    <n v="0"/>
    <n v="1155"/>
    <n v="884642.08486499998"/>
    <s v="EPER"/>
    <n v="7414000005"/>
  </r>
  <r>
    <x v="35"/>
    <s v="BANCO SANTANDER MEXICO SA FIDEICOMISO  F/35740-0"/>
    <x v="54"/>
    <s v="NORMAL"/>
    <s v="MXN"/>
    <n v="2111"/>
    <n v="684.88915799999995"/>
    <n v="1445801.012538"/>
    <n v="680.64370190023681"/>
    <n v="8962.1578265999997"/>
    <n v="0"/>
    <n v="0"/>
    <n v="0"/>
    <n v="0"/>
    <n v="2111"/>
    <n v="1445801.012538"/>
    <s v="EPER"/>
    <n v="7414000005"/>
  </r>
  <r>
    <x v="35"/>
    <s v="BANCO SANTANDER MEXICO SA FIDEICOMISO  F/35740-0"/>
    <x v="55"/>
    <s v="NORMAL"/>
    <s v="MXN"/>
    <n v="1208"/>
    <n v="772.926965"/>
    <n v="933695.77372000006"/>
    <n v="801.70523519389076"/>
    <n v="-34764.15039422"/>
    <n v="0"/>
    <n v="0"/>
    <n v="0"/>
    <n v="0"/>
    <n v="1208"/>
    <n v="933695.77372000006"/>
    <s v="EPER"/>
    <n v="7414000005"/>
  </r>
  <r>
    <x v="35"/>
    <s v="BANCO SANTANDER MEXICO SA FIDEICOMISO  F/35740-0"/>
    <x v="56"/>
    <s v="NORMAL"/>
    <s v="MXN"/>
    <n v="1315"/>
    <n v="721.59464000000003"/>
    <n v="948896.95160000003"/>
    <n v="757.25098799905709"/>
    <n v="-46888.097618760003"/>
    <n v="0"/>
    <n v="0"/>
    <n v="0"/>
    <n v="0"/>
    <n v="1315"/>
    <n v="948896.95160000003"/>
    <s v="EPER"/>
    <n v="7414000005"/>
  </r>
  <r>
    <x v="35"/>
    <s v="BANCO SANTANDER MEXICO SA FIDEICOMISO  F/35740-0"/>
    <x v="57"/>
    <s v="NORMAL"/>
    <s v="MXN"/>
    <n v="703"/>
    <n v="635.96311900000001"/>
    <n v="447082.07265699998"/>
    <n v="647.93802047999998"/>
    <n v="-8418.3557404399999"/>
    <n v="0"/>
    <n v="0"/>
    <n v="0"/>
    <n v="0"/>
    <n v="703"/>
    <n v="447082.07265699998"/>
    <s v="EPER"/>
    <n v="7414000005"/>
  </r>
  <r>
    <x v="35"/>
    <s v="BANCO SANTANDER MEXICO SA FIDEICOMISO  F/35740-0"/>
    <x v="58"/>
    <s v="NORMAL"/>
    <s v="MXN"/>
    <n v="1585"/>
    <n v="709.36974099999998"/>
    <n v="1124351.0394850001"/>
    <n v="724.70531170327445"/>
    <n v="-24306.87956469"/>
    <n v="0"/>
    <n v="0"/>
    <n v="0"/>
    <n v="0"/>
    <n v="1585"/>
    <n v="1124351.0394850001"/>
    <s v="EPER"/>
    <n v="7414000005"/>
  </r>
  <r>
    <x v="35"/>
    <s v="BANCO SANTANDER MEXICO SA FIDEICOMISO  F/35740-0"/>
    <x v="59"/>
    <s v="NORMAL"/>
    <s v="MXN"/>
    <n v="2848"/>
    <n v="694.41118700000004"/>
    <n v="1977683.060576"/>
    <n v="725.77152153504915"/>
    <n v="-89314.232755820005"/>
    <n v="0"/>
    <n v="0"/>
    <n v="0"/>
    <n v="0"/>
    <n v="2848"/>
    <n v="1977683.060576"/>
    <s v="EPER"/>
    <n v="7414000005"/>
  </r>
  <r>
    <x v="36"/>
    <s v="BANCO SANTANDER MEXICO SA FIDEICOMISO  F/35740-0"/>
    <x v="85"/>
    <s v="NORMAL"/>
    <s v="MXN"/>
    <n v="517"/>
    <n v="97.654420999999999"/>
    <n v="50487.335657000003"/>
    <n v="98.224185000000006"/>
    <n v="-294.56798800000001"/>
    <n v="0"/>
    <n v="0"/>
    <n v="0"/>
    <n v="0"/>
    <n v="517"/>
    <n v="50487.335657000003"/>
    <s v="EPER"/>
    <n v="7414000005"/>
  </r>
  <r>
    <x v="36"/>
    <s v="BANCO SANTANDER MEXICO SA FIDEICOMISO  F/35740-0"/>
    <x v="86"/>
    <s v="NORMAL"/>
    <s v="MXN"/>
    <n v="111169"/>
    <n v="9.4935880000000008"/>
    <n v="1055392.6843719999"/>
    <n v="8.4405498100000003"/>
    <n v="117065.20254411"/>
    <n v="0"/>
    <n v="0"/>
    <n v="0"/>
    <n v="0"/>
    <n v="111169"/>
    <n v="1055392.6843719999"/>
    <s v="EPER"/>
    <n v="7414000005"/>
  </r>
  <r>
    <x v="36"/>
    <s v="BANCO SANTANDER MEXICO SA FIDEICOMISO  F/35740-0"/>
    <x v="72"/>
    <s v="NORMAL"/>
    <s v="MXN"/>
    <n v="151380"/>
    <n v="9.3381629999999998"/>
    <n v="1413611.11494"/>
    <n v="8.3307969100000001"/>
    <n v="152495.07870419999"/>
    <n v="0"/>
    <n v="0"/>
    <n v="0"/>
    <n v="0"/>
    <n v="151380"/>
    <n v="1413611.11494"/>
    <s v="EPER"/>
    <n v="7414000005"/>
  </r>
  <r>
    <x v="36"/>
    <s v="BANCO SANTANDER MEXICO SA FIDEICOMISO  F/35740-0"/>
    <x v="26"/>
    <s v="NORMAL"/>
    <s v="MXN"/>
    <n v="6408"/>
    <n v="98.730349000000004"/>
    <n v="632664.07639199996"/>
    <n v="104.31018780918852"/>
    <n v="-35755.607089279998"/>
    <n v="0"/>
    <n v="0"/>
    <n v="0"/>
    <n v="0"/>
    <n v="6408"/>
    <n v="632664.07639199996"/>
    <s v="EPER"/>
    <n v="7414000005"/>
  </r>
  <r>
    <x v="36"/>
    <s v="BANCO SANTANDER MEXICO SA FIDEICOMISO  F/35740-0"/>
    <x v="67"/>
    <s v="NORMAL"/>
    <s v="MXN"/>
    <n v="7929"/>
    <n v="99.247497999999993"/>
    <n v="786933.41164199996"/>
    <n v="112.2401488518817"/>
    <n v="-103018.72860457"/>
    <n v="0"/>
    <n v="0"/>
    <n v="0"/>
    <n v="0"/>
    <n v="7929"/>
    <n v="786933.41164199996"/>
    <s v="EPER"/>
    <n v="7414000005"/>
  </r>
  <r>
    <x v="36"/>
    <s v="BANCO SANTANDER MEXICO SA FIDEICOMISO  F/35740-0"/>
    <x v="27"/>
    <s v="NORMAL"/>
    <s v="MXN"/>
    <n v="2610"/>
    <n v="94.973146999999997"/>
    <n v="247879.91367000001"/>
    <n v="89.776975398927206"/>
    <n v="13562.007878799999"/>
    <n v="0"/>
    <n v="0"/>
    <n v="0"/>
    <n v="0"/>
    <n v="2610"/>
    <n v="247879.91367000001"/>
    <s v="EPER"/>
    <n v="7414000005"/>
  </r>
  <r>
    <x v="36"/>
    <s v="BANCO SANTANDER MEXICO SA FIDEICOMISO  F/35740-0"/>
    <x v="28"/>
    <s v="NORMAL"/>
    <s v="MXN"/>
    <n v="8849"/>
    <n v="91.911821000000003"/>
    <n v="813327.70402900001"/>
    <n v="93.2088459"/>
    <n v="-11477.373340100001"/>
    <n v="0"/>
    <n v="0"/>
    <n v="0"/>
    <n v="0"/>
    <n v="8849"/>
    <n v="813327.70402900001"/>
    <s v="EPER"/>
    <n v="7414000005"/>
  </r>
  <r>
    <x v="36"/>
    <s v="BANCO SANTANDER MEXICO SA FIDEICOMISO  F/35740-0"/>
    <x v="29"/>
    <s v="NORMAL"/>
    <s v="MXN"/>
    <n v="4630"/>
    <n v="92.954503000000003"/>
    <n v="430379.34889000002"/>
    <n v="93.325851670388772"/>
    <n v="-1719.3443439"/>
    <n v="0"/>
    <n v="0"/>
    <n v="0"/>
    <n v="0"/>
    <n v="4630"/>
    <n v="430379.34889000002"/>
    <s v="EPER"/>
    <n v="7414000005"/>
  </r>
  <r>
    <x v="36"/>
    <s v="BANCO SANTANDER MEXICO SA FIDEICOMISO  F/35740-0"/>
    <x v="30"/>
    <s v="NORMAL"/>
    <s v="MXN"/>
    <n v="4584"/>
    <n v="88.698122999999995"/>
    <n v="406592.195832"/>
    <n v="85.585976865994766"/>
    <n v="14266.077878280001"/>
    <n v="0"/>
    <n v="0"/>
    <n v="0"/>
    <n v="0"/>
    <n v="4584"/>
    <n v="406592.195832"/>
    <s v="EPER"/>
    <n v="7414000005"/>
  </r>
  <r>
    <x v="36"/>
    <s v="BANCO SANTANDER MEXICO SA FIDEICOMISO  F/35740-0"/>
    <x v="31"/>
    <s v="NORMAL"/>
    <s v="MXN"/>
    <n v="8740"/>
    <n v="93.314192000000006"/>
    <n v="815566.03807999997"/>
    <n v="98.652228244038895"/>
    <n v="-46654.436772900001"/>
    <n v="0"/>
    <n v="0"/>
    <n v="0"/>
    <n v="0"/>
    <n v="8740"/>
    <n v="815566.03807999997"/>
    <s v="EPER"/>
    <n v="7414000005"/>
  </r>
  <r>
    <x v="36"/>
    <s v="BANCO SANTANDER MEXICO SA FIDEICOMISO  F/35740-0"/>
    <x v="32"/>
    <s v="NORMAL"/>
    <s v="MXN"/>
    <n v="8050"/>
    <n v="94.864168000000006"/>
    <n v="763656.55240000004"/>
    <n v="96.406456791875783"/>
    <n v="-12415.4247746"/>
    <n v="0"/>
    <n v="0"/>
    <n v="0"/>
    <n v="0"/>
    <n v="8050"/>
    <n v="763656.55240000004"/>
    <s v="EPER"/>
    <n v="7414000005"/>
  </r>
  <r>
    <x v="36"/>
    <s v="BANCO SANTANDER MEXICO SA FIDEICOMISO  F/35740-0"/>
    <x v="33"/>
    <s v="NORMAL"/>
    <s v="MXN"/>
    <n v="22164"/>
    <n v="94.870157000000006"/>
    <n v="2102702.1597480001"/>
    <n v="96.826569857579855"/>
    <n v="-43361.934575400002"/>
    <n v="0"/>
    <n v="0"/>
    <n v="0"/>
    <n v="0"/>
    <n v="22164"/>
    <n v="2102702.1597480001"/>
    <s v="EPER"/>
    <n v="7414000005"/>
  </r>
  <r>
    <x v="36"/>
    <s v="BANCO SANTANDER MEXICO SA FIDEICOMISO  F/35740-0"/>
    <x v="34"/>
    <s v="NORMAL"/>
    <s v="MXN"/>
    <n v="8482"/>
    <n v="89.489464999999996"/>
    <n v="759049.64213000005"/>
    <n v="90.484544077868421"/>
    <n v="-8440.2607384799994"/>
    <n v="0"/>
    <n v="0"/>
    <n v="0"/>
    <n v="0"/>
    <n v="8482"/>
    <n v="759049.64213000005"/>
    <s v="EPER"/>
    <n v="7414000005"/>
  </r>
  <r>
    <x v="36"/>
    <s v="BANCO SANTANDER MEXICO SA FIDEICOMISO  F/35740-0"/>
    <x v="35"/>
    <s v="NORMAL"/>
    <s v="MXN"/>
    <n v="18360"/>
    <n v="86.197128000000006"/>
    <n v="1582579.2700799999"/>
    <n v="89.64878798292483"/>
    <n v="-63372.477286499998"/>
    <n v="0"/>
    <n v="0"/>
    <n v="0"/>
    <n v="0"/>
    <n v="18360"/>
    <n v="1582579.2700799999"/>
    <s v="EPER"/>
    <n v="7414000005"/>
  </r>
  <r>
    <x v="36"/>
    <s v="BANCO SANTANDER MEXICO SA FIDEICOMISO  F/35740-0"/>
    <x v="36"/>
    <s v="NORMAL"/>
    <s v="MXN"/>
    <n v="20994"/>
    <n v="86.469353999999996"/>
    <n v="1815337.617876"/>
    <n v="90.893867012348764"/>
    <n v="-92888.226181249993"/>
    <n v="0"/>
    <n v="0"/>
    <n v="0"/>
    <n v="0"/>
    <n v="20994"/>
    <n v="1815337.617876"/>
    <s v="EPER"/>
    <n v="7414000005"/>
  </r>
  <r>
    <x v="36"/>
    <s v="BANCO SANTANDER MEXICO SA FIDEICOMISO  F/35740-0"/>
    <x v="81"/>
    <s v="NORMAL"/>
    <s v="MXN"/>
    <n v="739"/>
    <n v="101.45096599999999"/>
    <n v="74972.263873999997"/>
    <n v="114.11447106"/>
    <n v="-9358.3302393400008"/>
    <n v="0"/>
    <n v="0"/>
    <n v="0"/>
    <n v="0"/>
    <n v="739"/>
    <n v="74972.263873999997"/>
    <s v="EPER"/>
    <n v="7414000005"/>
  </r>
  <r>
    <x v="36"/>
    <s v="BANCO SANTANDER MEXICO SA FIDEICOMISO  F/35740-0"/>
    <x v="68"/>
    <s v="NORMAL"/>
    <s v="MXN"/>
    <n v="634"/>
    <n v="89.643172000000007"/>
    <n v="56833.771048000002"/>
    <n v="108.47711812999999"/>
    <n v="-11940.72184642"/>
    <n v="0"/>
    <n v="0"/>
    <n v="0"/>
    <n v="0"/>
    <n v="634"/>
    <n v="56833.771048000002"/>
    <s v="EPER"/>
    <n v="7414000005"/>
  </r>
  <r>
    <x v="36"/>
    <s v="BANCO SANTANDER MEXICO SA FIDEICOMISO  F/35740-0"/>
    <x v="37"/>
    <s v="NORMAL"/>
    <s v="MXN"/>
    <n v="15271"/>
    <n v="81.738860000000003"/>
    <n v="1248234.13106"/>
    <n v="86.434963932790254"/>
    <n v="-71714.203157640004"/>
    <n v="0"/>
    <n v="0"/>
    <n v="0"/>
    <n v="0"/>
    <n v="15271"/>
    <n v="1248234.13106"/>
    <s v="EPER"/>
    <n v="7414000005"/>
  </r>
  <r>
    <x v="36"/>
    <s v="BANCO SANTANDER MEXICO SA FIDEICOMISO  F/35740-0"/>
    <x v="38"/>
    <s v="NORMAL"/>
    <s v="MXN"/>
    <n v="3549"/>
    <n v="83.200761"/>
    <n v="295279.50078900001"/>
    <n v="93.143183912344327"/>
    <n v="-35285.658915909997"/>
    <n v="0"/>
    <n v="0"/>
    <n v="0"/>
    <n v="0"/>
    <n v="3549"/>
    <n v="295279.50078900001"/>
    <s v="EPER"/>
    <n v="7414000005"/>
  </r>
  <r>
    <x v="36"/>
    <s v="BANCO SANTANDER MEXICO SA FIDEICOMISO  F/35740-0"/>
    <x v="39"/>
    <s v="NORMAL"/>
    <s v="MXN"/>
    <n v="25610"/>
    <n v="82.159907000000004"/>
    <n v="2104115.2182700001"/>
    <n v="83.989124130640377"/>
    <n v="-46846.2507157"/>
    <n v="0"/>
    <n v="0"/>
    <n v="0"/>
    <n v="0"/>
    <n v="25610"/>
    <n v="2104115.2182700001"/>
    <s v="EPER"/>
    <n v="7414000005"/>
  </r>
  <r>
    <x v="36"/>
    <s v="BANCO SANTANDER MEXICO SA FIDEICOMISO  F/35740-0"/>
    <x v="88"/>
    <s v="NORMAL"/>
    <s v="MXN"/>
    <n v="18558"/>
    <n v="98.007834000000003"/>
    <n v="1818829.383372"/>
    <n v="89.820929565081371"/>
    <n v="151932.57250322"/>
    <n v="0"/>
    <n v="0"/>
    <n v="0"/>
    <n v="0"/>
    <n v="18558"/>
    <n v="1818829.383372"/>
    <s v="EPER"/>
    <n v="7414000005"/>
  </r>
  <r>
    <x v="36"/>
    <s v="BANCO SANTANDER MEXICO SA FIDEICOMISO  F/35740-0"/>
    <x v="89"/>
    <s v="NORMAL"/>
    <s v="MXN"/>
    <n v="3582960"/>
    <n v="3.1390400000000001"/>
    <n v="11247054.758400001"/>
    <n v="2.3738999123629623"/>
    <n v="2741466.3284"/>
    <n v="0"/>
    <n v="0"/>
    <n v="0"/>
    <n v="0"/>
    <n v="3582960"/>
    <n v="11247054.758400001"/>
    <s v="EPER"/>
    <n v="7414000005"/>
  </r>
  <r>
    <x v="36"/>
    <s v="BANCO SANTANDER MEXICO SA FIDEICOMISO  F/35740-0"/>
    <x v="0"/>
    <s v="NORMAL"/>
    <s v="MXN"/>
    <n v="1026763"/>
    <n v="3.3967719999999999"/>
    <n v="3487679.8090360002"/>
    <n v="3.2938378087250904"/>
    <n v="105689.019036"/>
    <n v="0"/>
    <n v="0"/>
    <n v="0"/>
    <n v="0"/>
    <n v="1026763"/>
    <n v="3487679.8090360002"/>
    <s v="EPER"/>
    <n v="7414000005"/>
  </r>
  <r>
    <x v="36"/>
    <s v="BANCO SANTANDER MEXICO SA FIDEICOMISO  F/35740-0"/>
    <x v="51"/>
    <s v="NORMAL"/>
    <s v="MXN"/>
    <n v="1979"/>
    <n v="775.69178699999998"/>
    <n v="1535094.046473"/>
    <n v="766.69784126000002"/>
    <n v="17799.018619459999"/>
    <n v="0"/>
    <n v="0"/>
    <n v="0"/>
    <n v="0"/>
    <n v="1979"/>
    <n v="1535094.046473"/>
    <s v="EPER"/>
    <n v="7414000005"/>
  </r>
  <r>
    <x v="36"/>
    <s v="BANCO SANTANDER MEXICO SA FIDEICOMISO  F/35740-0"/>
    <x v="52"/>
    <s v="NORMAL"/>
    <s v="MXN"/>
    <n v="3163"/>
    <n v="747.17843200000004"/>
    <n v="2363325.3804159998"/>
    <n v="723.86476962782172"/>
    <n v="73741.114083199995"/>
    <n v="0"/>
    <n v="0"/>
    <n v="0"/>
    <n v="0"/>
    <n v="3163"/>
    <n v="2363325.3804159998"/>
    <s v="EPER"/>
    <n v="7414000005"/>
  </r>
  <r>
    <x v="36"/>
    <s v="BANCO SANTANDER MEXICO SA FIDEICOMISO  F/35740-0"/>
    <x v="53"/>
    <s v="NORMAL"/>
    <s v="MXN"/>
    <n v="1006"/>
    <n v="765.92388300000005"/>
    <n v="770519.42629800003"/>
    <n v="752.47319028974152"/>
    <n v="13531.396866519999"/>
    <n v="0"/>
    <n v="0"/>
    <n v="0"/>
    <n v="0"/>
    <n v="1006"/>
    <n v="770519.42629800003"/>
    <s v="EPER"/>
    <n v="7414000005"/>
  </r>
  <r>
    <x v="36"/>
    <s v="BANCO SANTANDER MEXICO SA FIDEICOMISO  F/35740-0"/>
    <x v="54"/>
    <s v="NORMAL"/>
    <s v="MXN"/>
    <n v="1813"/>
    <n v="684.88915799999995"/>
    <n v="1241704.043454"/>
    <n v="680.5910191140099"/>
    <n v="7792.5258002999999"/>
    <n v="0"/>
    <n v="0"/>
    <n v="0"/>
    <n v="0"/>
    <n v="1813"/>
    <n v="1241704.043454"/>
    <s v="EPER"/>
    <n v="7414000005"/>
  </r>
  <r>
    <x v="36"/>
    <s v="BANCO SANTANDER MEXICO SA FIDEICOMISO  F/35740-0"/>
    <x v="55"/>
    <s v="NORMAL"/>
    <s v="MXN"/>
    <n v="1035"/>
    <n v="772.926965"/>
    <n v="799979.40877500002"/>
    <n v="801.69943516787441"/>
    <n v="-29779.50662375"/>
    <n v="0"/>
    <n v="0"/>
    <n v="0"/>
    <n v="0"/>
    <n v="1035"/>
    <n v="799979.40877500002"/>
    <s v="EPER"/>
    <n v="7414000005"/>
  </r>
  <r>
    <x v="36"/>
    <s v="BANCO SANTANDER MEXICO SA FIDEICOMISO  F/35740-0"/>
    <x v="56"/>
    <s v="NORMAL"/>
    <s v="MXN"/>
    <n v="1123"/>
    <n v="721.59464000000003"/>
    <n v="810350.78072000004"/>
    <n v="757.24852496216386"/>
    <n v="-40039.312812509997"/>
    <n v="0"/>
    <n v="0"/>
    <n v="0"/>
    <n v="0"/>
    <n v="1123"/>
    <n v="810350.78072000004"/>
    <s v="EPER"/>
    <n v="7414000005"/>
  </r>
  <r>
    <x v="36"/>
    <s v="BANCO SANTANDER MEXICO SA FIDEICOMISO  F/35740-0"/>
    <x v="57"/>
    <s v="NORMAL"/>
    <s v="MXN"/>
    <n v="597"/>
    <n v="635.96311900000001"/>
    <n v="379669.982043"/>
    <n v="647.93802047999998"/>
    <n v="-7149.0161835600002"/>
    <n v="0"/>
    <n v="0"/>
    <n v="0"/>
    <n v="0"/>
    <n v="597"/>
    <n v="379669.982043"/>
    <s v="EPER"/>
    <n v="7414000005"/>
  </r>
  <r>
    <x v="36"/>
    <s v="BANCO SANTANDER MEXICO SA FIDEICOMISO  F/35740-0"/>
    <x v="58"/>
    <s v="NORMAL"/>
    <s v="MXN"/>
    <n v="1496"/>
    <n v="709.36974099999998"/>
    <n v="1061217.1325360001"/>
    <n v="728.64687149318854"/>
    <n v="-28838.58721781"/>
    <n v="0"/>
    <n v="0"/>
    <n v="0"/>
    <n v="0"/>
    <n v="1496"/>
    <n v="1061217.1325360001"/>
    <s v="EPER"/>
    <n v="7414000005"/>
  </r>
  <r>
    <x v="36"/>
    <s v="BANCO SANTANDER MEXICO SA FIDEICOMISO  F/35740-0"/>
    <x v="59"/>
    <s v="NORMAL"/>
    <s v="MXN"/>
    <n v="2427"/>
    <n v="694.41118700000004"/>
    <n v="1685335.9508489999"/>
    <n v="725.92860517697568"/>
    <n v="-76492.773915519996"/>
    <n v="0"/>
    <n v="0"/>
    <n v="0"/>
    <n v="0"/>
    <n v="2427"/>
    <n v="1685335.9508489999"/>
    <s v="EPER"/>
    <n v="7414000005"/>
  </r>
  <r>
    <x v="37"/>
    <s v="BANCO SANTANDER MEXICO SA FIDEICOMISO  F/2002506-1"/>
    <x v="85"/>
    <s v="NORMAL"/>
    <s v="MXN"/>
    <n v="1971"/>
    <n v="97.654420999999999"/>
    <n v="192476.86379100001"/>
    <n v="98.224185000000006"/>
    <n v="-1123.004844"/>
    <n v="0"/>
    <n v="0"/>
    <n v="0"/>
    <n v="0"/>
    <n v="1971"/>
    <n v="192476.86379100001"/>
    <s v="EPER"/>
    <n v="7414000005"/>
  </r>
  <r>
    <x v="37"/>
    <s v="BANCO SANTANDER MEXICO SA FIDEICOMISO  F/2002506-1"/>
    <x v="86"/>
    <s v="NORMAL"/>
    <s v="MXN"/>
    <n v="422686"/>
    <n v="9.4935880000000008"/>
    <n v="4012806.7373680002"/>
    <n v="8.4405498100000003"/>
    <n v="445104.50037834002"/>
    <n v="0"/>
    <n v="0"/>
    <n v="0"/>
    <n v="0"/>
    <n v="422686"/>
    <n v="4012806.7373680002"/>
    <s v="EPER"/>
    <n v="7414000005"/>
  </r>
  <r>
    <x v="37"/>
    <s v="BANCO SANTANDER MEXICO SA FIDEICOMISO  F/2002506-1"/>
    <x v="72"/>
    <s v="NORMAL"/>
    <s v="MXN"/>
    <n v="575690"/>
    <n v="9.3381629999999998"/>
    <n v="5375887.0574700003"/>
    <n v="8.3307969100000001"/>
    <n v="579930.58435210004"/>
    <n v="0"/>
    <n v="0"/>
    <n v="0"/>
    <n v="0"/>
    <n v="575690"/>
    <n v="5375887.0574700003"/>
    <s v="EPER"/>
    <n v="7414000005"/>
  </r>
  <r>
    <x v="37"/>
    <s v="BANCO SANTANDER MEXICO SA FIDEICOMISO  F/2002506-1"/>
    <x v="26"/>
    <s v="NORMAL"/>
    <s v="MXN"/>
    <n v="23232"/>
    <n v="98.730349000000004"/>
    <n v="2293703.4679680001"/>
    <n v="104.65571289378099"/>
    <n v="-137658.05398031999"/>
    <n v="0"/>
    <n v="0"/>
    <n v="0"/>
    <n v="0"/>
    <n v="23232"/>
    <n v="2293703.4679680001"/>
    <s v="EPER"/>
    <n v="7414000005"/>
  </r>
  <r>
    <x v="37"/>
    <s v="BANCO SANTANDER MEXICO SA FIDEICOMISO  F/2002506-1"/>
    <x v="67"/>
    <s v="NORMAL"/>
    <s v="MXN"/>
    <n v="31335"/>
    <n v="99.247497999999993"/>
    <n v="3109920.3498300002"/>
    <n v="112.37579195702409"/>
    <n v="-411375.09114335"/>
    <n v="0"/>
    <n v="0"/>
    <n v="0"/>
    <n v="0"/>
    <n v="31335"/>
    <n v="3109920.3498300002"/>
    <s v="EPER"/>
    <n v="7414000005"/>
  </r>
  <r>
    <x v="37"/>
    <s v="BANCO SANTANDER MEXICO SA FIDEICOMISO  F/2002506-1"/>
    <x v="27"/>
    <s v="NORMAL"/>
    <s v="MXN"/>
    <n v="9920"/>
    <n v="94.973146999999997"/>
    <n v="942133.61823999998"/>
    <n v="89.778146203931456"/>
    <n v="51534.407896999997"/>
    <n v="0"/>
    <n v="0"/>
    <n v="0"/>
    <n v="0"/>
    <n v="9920"/>
    <n v="942133.61823999998"/>
    <s v="EPER"/>
    <n v="7414000005"/>
  </r>
  <r>
    <x v="37"/>
    <s v="BANCO SANTANDER MEXICO SA FIDEICOMISO  F/2002506-1"/>
    <x v="28"/>
    <s v="NORMAL"/>
    <s v="MXN"/>
    <n v="33911"/>
    <n v="91.911821000000003"/>
    <n v="3116821.7619309998"/>
    <n v="93.2088459"/>
    <n v="-43983.411383899998"/>
    <n v="0"/>
    <n v="0"/>
    <n v="0"/>
    <n v="0"/>
    <n v="33911"/>
    <n v="3116821.7619309998"/>
    <s v="EPER"/>
    <n v="7414000005"/>
  </r>
  <r>
    <x v="37"/>
    <s v="BANCO SANTANDER MEXICO SA FIDEICOMISO  F/2002506-1"/>
    <x v="29"/>
    <s v="NORMAL"/>
    <s v="MXN"/>
    <n v="17490"/>
    <n v="92.954503000000003"/>
    <n v="1625774.2574700001"/>
    <n v="93.326299851440822"/>
    <n v="-6502.7269317"/>
    <n v="0"/>
    <n v="0"/>
    <n v="0"/>
    <n v="0"/>
    <n v="17490"/>
    <n v="1625774.2574700001"/>
    <s v="EPER"/>
    <n v="7414000005"/>
  </r>
  <r>
    <x v="37"/>
    <s v="BANCO SANTANDER MEXICO SA FIDEICOMISO  F/2002506-1"/>
    <x v="30"/>
    <s v="NORMAL"/>
    <s v="MXN"/>
    <n v="17357"/>
    <n v="88.698122999999995"/>
    <n v="1539533.320911"/>
    <n v="85.583216460166497"/>
    <n v="54065.432811890001"/>
    <n v="0"/>
    <n v="0"/>
    <n v="0"/>
    <n v="0"/>
    <n v="17357"/>
    <n v="1539533.320911"/>
    <s v="EPER"/>
    <n v="7414000005"/>
  </r>
  <r>
    <x v="37"/>
    <s v="BANCO SANTANDER MEXICO SA FIDEICOMISO  F/2002506-1"/>
    <x v="31"/>
    <s v="NORMAL"/>
    <s v="MXN"/>
    <n v="33880"/>
    <n v="93.314192000000006"/>
    <n v="3161484.8249599999"/>
    <n v="98.894973383435655"/>
    <n v="-189076.87327079999"/>
    <n v="0"/>
    <n v="0"/>
    <n v="0"/>
    <n v="0"/>
    <n v="33880"/>
    <n v="3161484.8249599999"/>
    <s v="EPER"/>
    <n v="7414000005"/>
  </r>
  <r>
    <x v="37"/>
    <s v="BANCO SANTANDER MEXICO SA FIDEICOMISO  F/2002506-1"/>
    <x v="32"/>
    <s v="NORMAL"/>
    <s v="MXN"/>
    <n v="30730"/>
    <n v="94.864168000000006"/>
    <n v="2915175.88264"/>
    <n v="96.403544792235607"/>
    <n v="-47305.048825400001"/>
    <n v="0"/>
    <n v="0"/>
    <n v="0"/>
    <n v="0"/>
    <n v="30730"/>
    <n v="2915175.88264"/>
    <s v="EPER"/>
    <n v="7414000005"/>
  </r>
  <r>
    <x v="37"/>
    <s v="BANCO SANTANDER MEXICO SA FIDEICOMISO  F/2002506-1"/>
    <x v="33"/>
    <s v="NORMAL"/>
    <s v="MXN"/>
    <n v="89129"/>
    <n v="94.870157000000006"/>
    <n v="8455682.2232530005"/>
    <n v="96.750571777887103"/>
    <n v="-167599.48873829999"/>
    <n v="0"/>
    <n v="0"/>
    <n v="0"/>
    <n v="0"/>
    <n v="89129"/>
    <n v="8455682.2232530005"/>
    <s v="EPER"/>
    <n v="7414000005"/>
  </r>
  <r>
    <x v="37"/>
    <s v="BANCO SANTANDER MEXICO SA FIDEICOMISO  F/2002506-1"/>
    <x v="34"/>
    <s v="NORMAL"/>
    <s v="MXN"/>
    <n v="41710"/>
    <n v="89.489464999999996"/>
    <n v="3732605.5851500002"/>
    <n v="90.958526981819702"/>
    <n v="-61274.575261700003"/>
    <n v="0"/>
    <n v="0"/>
    <n v="0"/>
    <n v="0"/>
    <n v="41710"/>
    <n v="3732605.5851500002"/>
    <s v="EPER"/>
    <n v="7414000005"/>
  </r>
  <r>
    <x v="37"/>
    <s v="BANCO SANTANDER MEXICO SA FIDEICOMISO  F/2002506-1"/>
    <x v="35"/>
    <s v="NORMAL"/>
    <s v="MXN"/>
    <n v="83750"/>
    <n v="86.197128000000006"/>
    <n v="7219009.4699999997"/>
    <n v="89.67892150592597"/>
    <n v="-291600.2061213"/>
    <n v="0"/>
    <n v="0"/>
    <n v="0"/>
    <n v="0"/>
    <n v="83750"/>
    <n v="7219009.4699999997"/>
    <s v="EPER"/>
    <n v="7414000005"/>
  </r>
  <r>
    <x v="37"/>
    <s v="BANCO SANTANDER MEXICO SA FIDEICOMISO  F/2002506-1"/>
    <x v="36"/>
    <s v="NORMAL"/>
    <s v="MXN"/>
    <n v="66571"/>
    <n v="86.469353999999996"/>
    <n v="5756351.3651339998"/>
    <n v="90.709951541621876"/>
    <n v="-282300.81894331001"/>
    <n v="0"/>
    <n v="0"/>
    <n v="0"/>
    <n v="0"/>
    <n v="66571"/>
    <n v="5756351.3651339998"/>
    <s v="EPER"/>
    <n v="7414000005"/>
  </r>
  <r>
    <x v="37"/>
    <s v="BANCO SANTANDER MEXICO SA FIDEICOMISO  F/2002506-1"/>
    <x v="81"/>
    <s v="NORMAL"/>
    <s v="MXN"/>
    <n v="2803"/>
    <n v="101.45096599999999"/>
    <n v="284367.05769799999"/>
    <n v="114.11447106"/>
    <n v="-35495.804683180002"/>
    <n v="0"/>
    <n v="0"/>
    <n v="0"/>
    <n v="0"/>
    <n v="2803"/>
    <n v="284367.05769799999"/>
    <s v="EPER"/>
    <n v="7414000005"/>
  </r>
  <r>
    <x v="37"/>
    <s v="BANCO SANTANDER MEXICO SA FIDEICOMISO  F/2002506-1"/>
    <x v="68"/>
    <s v="NORMAL"/>
    <s v="MXN"/>
    <n v="2448"/>
    <n v="89.643172000000007"/>
    <n v="219446.485056"/>
    <n v="108.47711812999999"/>
    <n v="-46105.500126239996"/>
    <n v="0"/>
    <n v="0"/>
    <n v="0"/>
    <n v="0"/>
    <n v="2448"/>
    <n v="219446.485056"/>
    <s v="EPER"/>
    <n v="7414000005"/>
  </r>
  <r>
    <x v="37"/>
    <s v="BANCO SANTANDER MEXICO SA FIDEICOMISO  F/2002506-1"/>
    <x v="37"/>
    <s v="NORMAL"/>
    <s v="MXN"/>
    <n v="57775"/>
    <n v="81.738860000000003"/>
    <n v="4722462.6365"/>
    <n v="86.431341162410732"/>
    <n v="-271108.09915828001"/>
    <n v="0"/>
    <n v="0"/>
    <n v="0"/>
    <n v="0"/>
    <n v="57775"/>
    <n v="4722462.6365"/>
    <s v="EPER"/>
    <n v="7414000005"/>
  </r>
  <r>
    <x v="37"/>
    <s v="BANCO SANTANDER MEXICO SA FIDEICOMISO  F/2002506-1"/>
    <x v="38"/>
    <s v="NORMAL"/>
    <s v="MXN"/>
    <n v="16984"/>
    <n v="83.200761"/>
    <n v="1413081.7248239999"/>
    <n v="92.435743429566656"/>
    <n v="-156846.94158376"/>
    <n v="0"/>
    <n v="0"/>
    <n v="0"/>
    <n v="0"/>
    <n v="16984"/>
    <n v="1413081.7248239999"/>
    <s v="EPER"/>
    <n v="7414000005"/>
  </r>
  <r>
    <x v="37"/>
    <s v="BANCO SANTANDER MEXICO SA FIDEICOMISO  F/2002506-1"/>
    <x v="39"/>
    <s v="NORMAL"/>
    <s v="MXN"/>
    <n v="82572"/>
    <n v="82.159907000000004"/>
    <n v="6784107.8408040004"/>
    <n v="84.188416131988319"/>
    <n v="-167498.05604654"/>
    <n v="0"/>
    <n v="0"/>
    <n v="0"/>
    <n v="0"/>
    <n v="82572"/>
    <n v="6784107.8408040004"/>
    <s v="EPER"/>
    <n v="7414000005"/>
  </r>
  <r>
    <x v="37"/>
    <s v="BANCO SANTANDER MEXICO SA FIDEICOMISO  F/2002506-1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37"/>
    <s v="BANCO SANTANDER MEXICO SA FIDEICOMISO  F/2002506-1"/>
    <x v="88"/>
    <s v="NORMAL"/>
    <s v="MXN"/>
    <n v="72279"/>
    <n v="98.007834000000003"/>
    <n v="7083908.2336860001"/>
    <n v="89.811540712579585"/>
    <n v="592419.88252145995"/>
    <n v="0"/>
    <n v="0"/>
    <n v="0"/>
    <n v="0"/>
    <n v="72279"/>
    <n v="7083908.2336860001"/>
    <s v="EPER"/>
    <n v="7414000005"/>
  </r>
  <r>
    <x v="37"/>
    <s v="BANCO SANTANDER MEXICO SA FIDEICOMISO  F/2002506-1"/>
    <x v="0"/>
    <s v="NORMAL"/>
    <s v="MXN"/>
    <n v="3047659"/>
    <n v="3.3967719999999999"/>
    <n v="10352202.756748"/>
    <n v="3.3096765681462395"/>
    <n v="265437.17674800003"/>
    <n v="0"/>
    <n v="0"/>
    <n v="0"/>
    <n v="0"/>
    <n v="3047659"/>
    <n v="10352202.756748"/>
    <s v="EPER"/>
    <n v="7414000005"/>
  </r>
  <r>
    <x v="37"/>
    <s v="BANCO SANTANDER MEXICO SA FIDEICOMISO  F/2002506-1"/>
    <x v="51"/>
    <s v="NORMAL"/>
    <s v="MXN"/>
    <n v="5861"/>
    <n v="775.69178699999998"/>
    <n v="4546329.5636069998"/>
    <n v="766.69784126000002"/>
    <n v="52713.515982140001"/>
    <n v="0"/>
    <n v="0"/>
    <n v="0"/>
    <n v="0"/>
    <n v="5861"/>
    <n v="4546329.5636069998"/>
    <s v="EPER"/>
    <n v="7414000005"/>
  </r>
  <r>
    <x v="37"/>
    <s v="BANCO SANTANDER MEXICO SA FIDEICOMISO  F/2002506-1"/>
    <x v="52"/>
    <s v="NORMAL"/>
    <s v="MXN"/>
    <n v="12002"/>
    <n v="747.17843200000004"/>
    <n v="8967635.5408640001"/>
    <n v="723.84327280451589"/>
    <n v="280068.58066420001"/>
    <n v="0"/>
    <n v="0"/>
    <n v="0"/>
    <n v="0"/>
    <n v="12002"/>
    <n v="8967635.5408640001"/>
    <s v="EPER"/>
    <n v="7414000005"/>
  </r>
  <r>
    <x v="37"/>
    <s v="BANCO SANTANDER MEXICO SA FIDEICOMISO  F/2002506-1"/>
    <x v="53"/>
    <s v="NORMAL"/>
    <s v="MXN"/>
    <n v="3840"/>
    <n v="765.92388300000005"/>
    <n v="2941147.7107199999"/>
    <n v="752.52974169119796"/>
    <n v="51433.5026258"/>
    <n v="0"/>
    <n v="0"/>
    <n v="0"/>
    <n v="0"/>
    <n v="3840"/>
    <n v="2941147.7107199999"/>
    <s v="EPER"/>
    <n v="7414000005"/>
  </r>
  <r>
    <x v="37"/>
    <s v="BANCO SANTANDER MEXICO SA FIDEICOMISO  F/2002506-1"/>
    <x v="54"/>
    <s v="NORMAL"/>
    <s v="MXN"/>
    <n v="12221"/>
    <n v="684.88915799999995"/>
    <n v="8370030.3999180002"/>
    <n v="678.03104617035433"/>
    <n v="83812.984670100006"/>
    <n v="0"/>
    <n v="0"/>
    <n v="0"/>
    <n v="0"/>
    <n v="12221"/>
    <n v="8370030.3999180002"/>
    <s v="EPER"/>
    <n v="7414000005"/>
  </r>
  <r>
    <x v="37"/>
    <s v="BANCO SANTANDER MEXICO SA FIDEICOMISO  F/2002506-1"/>
    <x v="55"/>
    <s v="NORMAL"/>
    <s v="MXN"/>
    <n v="793"/>
    <n v="772.926965"/>
    <n v="612931.08324499999"/>
    <n v="798.93664675000002"/>
    <n v="-20625.677627749999"/>
    <n v="0"/>
    <n v="0"/>
    <n v="0"/>
    <n v="0"/>
    <n v="793"/>
    <n v="612931.08324499999"/>
    <s v="EPER"/>
    <n v="7414000005"/>
  </r>
  <r>
    <x v="37"/>
    <s v="BANCO SANTANDER MEXICO SA FIDEICOMISO  F/2002506-1"/>
    <x v="56"/>
    <s v="NORMAL"/>
    <s v="MXN"/>
    <n v="4837"/>
    <n v="721.59464000000003"/>
    <n v="3490353.2736800001"/>
    <n v="757.14391105401694"/>
    <n v="-171951.82408828"/>
    <n v="0"/>
    <n v="0"/>
    <n v="0"/>
    <n v="0"/>
    <n v="4837"/>
    <n v="3490353.2736800001"/>
    <s v="EPER"/>
    <n v="7414000005"/>
  </r>
  <r>
    <x v="37"/>
    <s v="BANCO SANTANDER MEXICO SA FIDEICOMISO  F/2002506-1"/>
    <x v="57"/>
    <s v="NORMAL"/>
    <s v="MXN"/>
    <n v="2287"/>
    <n v="635.96311900000001"/>
    <n v="1454447.6531529999"/>
    <n v="647.93802047999998"/>
    <n v="-27386.59968476"/>
    <n v="0"/>
    <n v="0"/>
    <n v="0"/>
    <n v="0"/>
    <n v="2287"/>
    <n v="1454447.6531529999"/>
    <s v="EPER"/>
    <n v="7414000005"/>
  </r>
  <r>
    <x v="37"/>
    <s v="BANCO SANTANDER MEXICO SA FIDEICOMISO  F/2002506-1"/>
    <x v="58"/>
    <s v="NORMAL"/>
    <s v="MXN"/>
    <n v="5175"/>
    <n v="709.36974099999998"/>
    <n v="3670988.4096749998"/>
    <n v="724.7392342995015"/>
    <n v="-79537.127824919997"/>
    <n v="0"/>
    <n v="0"/>
    <n v="0"/>
    <n v="0"/>
    <n v="5175"/>
    <n v="3670988.4096749998"/>
    <s v="EPER"/>
    <n v="7414000005"/>
  </r>
  <r>
    <x v="37"/>
    <s v="BANCO SANTANDER MEXICO SA FIDEICOMISO  F/2002506-1"/>
    <x v="59"/>
    <s v="NORMAL"/>
    <s v="MXN"/>
    <n v="9197"/>
    <n v="694.41118700000004"/>
    <n v="6386499.6868390003"/>
    <n v="721.263691953288"/>
    <n v="-246962.48805538999"/>
    <n v="0"/>
    <n v="0"/>
    <n v="0"/>
    <n v="0"/>
    <n v="9197"/>
    <n v="6386499.6868390003"/>
    <s v="EPER"/>
    <n v="7414000005"/>
  </r>
  <r>
    <x v="38"/>
    <s v="BANCO SANTANDER MEXICO SA FIDEICOMISO  F/2002507-1"/>
    <x v="85"/>
    <s v="NORMAL"/>
    <s v="MXN"/>
    <n v="35"/>
    <n v="97.654420999999999"/>
    <n v="3417.9047350000001"/>
    <n v="98.224185000000006"/>
    <n v="-19.941739999999999"/>
    <n v="0"/>
    <n v="0"/>
    <n v="0"/>
    <n v="0"/>
    <n v="35"/>
    <n v="3417.9047350000001"/>
    <s v="EPER"/>
    <n v="7414000005"/>
  </r>
  <r>
    <x v="38"/>
    <s v="BANCO SANTANDER MEXICO SA FIDEICOMISO  F/2002507-1"/>
    <x v="26"/>
    <s v="NORMAL"/>
    <s v="MXN"/>
    <n v="389"/>
    <n v="98.730349000000004"/>
    <n v="38406.105760999999"/>
    <n v="104.81191507"/>
    <n v="-2365.7292012299999"/>
    <n v="0"/>
    <n v="0"/>
    <n v="0"/>
    <n v="0"/>
    <n v="389"/>
    <n v="38406.105760999999"/>
    <s v="EPER"/>
    <n v="7414000005"/>
  </r>
  <r>
    <x v="38"/>
    <s v="BANCO SANTANDER MEXICO SA FIDEICOMISO  F/2002507-1"/>
    <x v="67"/>
    <s v="NORMAL"/>
    <s v="MXN"/>
    <n v="742"/>
    <n v="99.247497999999993"/>
    <n v="73641.643515999996"/>
    <n v="112.90833475762803"/>
    <n v="-10136.34087416"/>
    <n v="0"/>
    <n v="0"/>
    <n v="0"/>
    <n v="0"/>
    <n v="742"/>
    <n v="73641.643515999996"/>
    <s v="EPER"/>
    <n v="7414000005"/>
  </r>
  <r>
    <x v="38"/>
    <s v="BANCO SANTANDER MEXICO SA FIDEICOMISO  F/2002507-1"/>
    <x v="27"/>
    <s v="NORMAL"/>
    <s v="MXN"/>
    <n v="190"/>
    <n v="94.973146999999997"/>
    <n v="18044.897929999999"/>
    <n v="89.786778143157889"/>
    <n v="985.41008280000005"/>
    <n v="0"/>
    <n v="0"/>
    <n v="0"/>
    <n v="0"/>
    <n v="190"/>
    <n v="18044.897929999999"/>
    <s v="EPER"/>
    <n v="7414000005"/>
  </r>
  <r>
    <x v="38"/>
    <s v="BANCO SANTANDER MEXICO SA FIDEICOMISO  F/2002507-1"/>
    <x v="28"/>
    <s v="NORMAL"/>
    <s v="MXN"/>
    <n v="673"/>
    <n v="91.911821000000003"/>
    <n v="61856.655532999997"/>
    <n v="93.2088459"/>
    <n v="-872.89775770000006"/>
    <n v="0"/>
    <n v="0"/>
    <n v="0"/>
    <n v="0"/>
    <n v="673"/>
    <n v="61856.655532999997"/>
    <s v="EPER"/>
    <n v="7414000005"/>
  </r>
  <r>
    <x v="38"/>
    <s v="BANCO SANTANDER MEXICO SA FIDEICOMISO  F/2002507-1"/>
    <x v="29"/>
    <s v="NORMAL"/>
    <s v="MXN"/>
    <n v="290"/>
    <n v="92.954503000000003"/>
    <n v="26956.80587"/>
    <n v="93.332995301034487"/>
    <n v="-109.76276729999999"/>
    <n v="0"/>
    <n v="0"/>
    <n v="0"/>
    <n v="0"/>
    <n v="290"/>
    <n v="26956.80587"/>
    <s v="EPER"/>
    <n v="7414000005"/>
  </r>
  <r>
    <x v="38"/>
    <s v="BANCO SANTANDER MEXICO SA FIDEICOMISO  F/2002507-1"/>
    <x v="30"/>
    <s v="NORMAL"/>
    <s v="MXN"/>
    <n v="316"/>
    <n v="88.698122999999995"/>
    <n v="28028.606867999999"/>
    <n v="85.568848202151898"/>
    <n v="988.85083612000005"/>
    <n v="0"/>
    <n v="0"/>
    <n v="0"/>
    <n v="0"/>
    <n v="316"/>
    <n v="28028.606867999999"/>
    <s v="EPER"/>
    <n v="7414000005"/>
  </r>
  <r>
    <x v="38"/>
    <s v="BANCO SANTANDER MEXICO SA FIDEICOMISO  F/2002507-1"/>
    <x v="31"/>
    <s v="NORMAL"/>
    <s v="MXN"/>
    <n v="1310"/>
    <n v="93.314192000000006"/>
    <n v="122241.59152"/>
    <n v="96.714839917862591"/>
    <n v="-4454.8487723999997"/>
    <n v="0"/>
    <n v="0"/>
    <n v="0"/>
    <n v="0"/>
    <n v="1310"/>
    <n v="122241.59152"/>
    <s v="EPER"/>
    <n v="7414000005"/>
  </r>
  <r>
    <x v="38"/>
    <s v="BANCO SANTANDER MEXICO SA FIDEICOMISO  F/2002507-1"/>
    <x v="32"/>
    <s v="NORMAL"/>
    <s v="MXN"/>
    <n v="570"/>
    <n v="94.864168000000006"/>
    <n v="54072.57576"/>
    <n v="96.385970966842109"/>
    <n v="-867.42769109999995"/>
    <n v="0"/>
    <n v="0"/>
    <n v="0"/>
    <n v="0"/>
    <n v="570"/>
    <n v="54072.57576"/>
    <s v="EPER"/>
    <n v="7414000005"/>
  </r>
  <r>
    <x v="38"/>
    <s v="BANCO SANTANDER MEXICO SA FIDEICOMISO  F/2002507-1"/>
    <x v="33"/>
    <s v="NORMAL"/>
    <s v="MXN"/>
    <n v="1483"/>
    <n v="94.870157000000006"/>
    <n v="140692.44283099999"/>
    <n v="96.965956425219147"/>
    <n v="-3108.0705475999998"/>
    <n v="0"/>
    <n v="0"/>
    <n v="0"/>
    <n v="0"/>
    <n v="1483"/>
    <n v="140692.44283099999"/>
    <s v="EPER"/>
    <n v="7414000005"/>
  </r>
  <r>
    <x v="38"/>
    <s v="BANCO SANTANDER MEXICO SA FIDEICOMISO  F/2002507-1"/>
    <x v="34"/>
    <s v="NORMAL"/>
    <s v="MXN"/>
    <n v="162"/>
    <n v="89.489464999999996"/>
    <n v="14497.29333"/>
    <n v="92.773634099999995"/>
    <n v="-532.03539420000004"/>
    <n v="0"/>
    <n v="0"/>
    <n v="0"/>
    <n v="0"/>
    <n v="162"/>
    <n v="14497.29333"/>
    <s v="EPER"/>
    <n v="7414000005"/>
  </r>
  <r>
    <x v="38"/>
    <s v="BANCO SANTANDER MEXICO SA FIDEICOMISO  F/2002507-1"/>
    <x v="35"/>
    <s v="NORMAL"/>
    <s v="MXN"/>
    <n v="1320"/>
    <n v="86.197128000000006"/>
    <n v="113780.20896"/>
    <n v="89.427180993787886"/>
    <n v="-4263.6699517999996"/>
    <n v="0"/>
    <n v="0"/>
    <n v="0"/>
    <n v="0"/>
    <n v="1320"/>
    <n v="113780.20896"/>
    <s v="EPER"/>
    <n v="7414000005"/>
  </r>
  <r>
    <x v="38"/>
    <s v="BANCO SANTANDER MEXICO SA FIDEICOMISO  F/2002507-1"/>
    <x v="36"/>
    <s v="NORMAL"/>
    <s v="MXN"/>
    <n v="60"/>
    <n v="86.469353999999996"/>
    <n v="5188.1612400000004"/>
    <n v="112.18590945"/>
    <n v="-1542.9933269999999"/>
    <n v="0"/>
    <n v="0"/>
    <n v="0"/>
    <n v="0"/>
    <n v="60"/>
    <n v="5188.1612400000004"/>
    <s v="EPER"/>
    <n v="7414000005"/>
  </r>
  <r>
    <x v="38"/>
    <s v="BANCO SANTANDER MEXICO SA FIDEICOMISO  F/2002507-1"/>
    <x v="81"/>
    <s v="NORMAL"/>
    <s v="MXN"/>
    <n v="59"/>
    <n v="101.45096599999999"/>
    <n v="5985.6069939999998"/>
    <n v="114.11447106"/>
    <n v="-747.14679853999996"/>
    <n v="0"/>
    <n v="0"/>
    <n v="0"/>
    <n v="0"/>
    <n v="59"/>
    <n v="5985.6069939999998"/>
    <s v="EPER"/>
    <n v="7414000005"/>
  </r>
  <r>
    <x v="38"/>
    <s v="BANCO SANTANDER MEXICO SA FIDEICOMISO  F/2002507-1"/>
    <x v="68"/>
    <s v="NORMAL"/>
    <s v="MXN"/>
    <n v="63"/>
    <n v="89.643172000000007"/>
    <n v="5647.5198360000004"/>
    <n v="108.47711812999999"/>
    <n v="-1186.5386061900001"/>
    <n v="0"/>
    <n v="0"/>
    <n v="0"/>
    <n v="0"/>
    <n v="63"/>
    <n v="5647.5198360000004"/>
    <s v="EPER"/>
    <n v="7414000005"/>
  </r>
  <r>
    <x v="38"/>
    <s v="BANCO SANTANDER MEXICO SA FIDEICOMISO  F/2002507-1"/>
    <x v="37"/>
    <s v="NORMAL"/>
    <s v="MXN"/>
    <n v="809"/>
    <n v="81.738860000000003"/>
    <n v="66126.737739999997"/>
    <n v="86.177542760939431"/>
    <n v="-3590.8943536000002"/>
    <n v="0"/>
    <n v="0"/>
    <n v="0"/>
    <n v="0"/>
    <n v="809"/>
    <n v="66126.737739999997"/>
    <s v="EPER"/>
    <n v="7414000005"/>
  </r>
  <r>
    <x v="38"/>
    <s v="BANCO SANTANDER MEXICO SA FIDEICOMISO  F/2002507-1"/>
    <x v="38"/>
    <s v="NORMAL"/>
    <s v="MXN"/>
    <n v="235"/>
    <n v="83.200761"/>
    <n v="19552.178834999999"/>
    <n v="94.885158046170218"/>
    <n v="-2745.8333058500002"/>
    <n v="0"/>
    <n v="0"/>
    <n v="0"/>
    <n v="0"/>
    <n v="235"/>
    <n v="19552.178834999999"/>
    <s v="EPER"/>
    <n v="7414000005"/>
  </r>
  <r>
    <x v="38"/>
    <s v="BANCO SANTANDER MEXICO SA FIDEICOMISO  F/2002507-1"/>
    <x v="39"/>
    <s v="NORMAL"/>
    <s v="MXN"/>
    <n v="263"/>
    <n v="82.159907000000004"/>
    <n v="21608.055541000002"/>
    <n v="86.420874420000004"/>
    <n v="-1120.6344314600001"/>
    <n v="0"/>
    <n v="0"/>
    <n v="0"/>
    <n v="0"/>
    <n v="263"/>
    <n v="21608.055541000002"/>
    <s v="EPER"/>
    <n v="7414000005"/>
  </r>
  <r>
    <x v="38"/>
    <s v="BANCO SANTANDER MEXICO SA FIDEICOMISO  F/2002507-1"/>
    <x v="88"/>
    <s v="NORMAL"/>
    <s v="MXN"/>
    <n v="1706"/>
    <n v="98.007834000000003"/>
    <n v="167201.36480400001"/>
    <n v="89.8322275917116"/>
    <n v="13947.584532540001"/>
    <n v="0"/>
    <n v="0"/>
    <n v="0"/>
    <n v="0"/>
    <n v="1706"/>
    <n v="167201.36480400001"/>
    <s v="EPER"/>
    <n v="7414000005"/>
  </r>
  <r>
    <x v="38"/>
    <s v="BANCO SANTANDER MEXICO SA FIDEICOMISO  F/2002507-1"/>
    <x v="89"/>
    <s v="NORMAL"/>
    <s v="MXN"/>
    <n v="212990"/>
    <n v="3.1390400000000001"/>
    <n v="668584.12959999999"/>
    <n v="2.3135499788722473"/>
    <n v="175821.11960000001"/>
    <n v="0"/>
    <n v="0"/>
    <n v="0"/>
    <n v="0"/>
    <n v="212990"/>
    <n v="668584.12959999999"/>
    <s v="EPER"/>
    <n v="7414000005"/>
  </r>
  <r>
    <x v="38"/>
    <s v="BANCO SANTANDER MEXICO SA FIDEICOMISO  F/2002507-1"/>
    <x v="0"/>
    <s v="NORMAL"/>
    <s v="MXN"/>
    <n v="54702"/>
    <n v="3.3967719999999999"/>
    <n v="185810.22194399999"/>
    <n v="3.2923437899893973"/>
    <n v="5712.4319439999999"/>
    <n v="0"/>
    <n v="0"/>
    <n v="0"/>
    <n v="0"/>
    <n v="54702"/>
    <n v="185810.22194399999"/>
    <s v="EPER"/>
    <n v="7414000005"/>
  </r>
  <r>
    <x v="38"/>
    <s v="BANCO SANTANDER MEXICO SA FIDEICOMISO  F/2002507-1"/>
    <x v="51"/>
    <s v="NORMAL"/>
    <s v="MXN"/>
    <n v="221"/>
    <n v="775.69178699999998"/>
    <n v="171427.88492700001"/>
    <n v="766.69784126000002"/>
    <n v="1987.66200854"/>
    <n v="0"/>
    <n v="0"/>
    <n v="0"/>
    <n v="0"/>
    <n v="221"/>
    <n v="171427.88492700001"/>
    <s v="EPER"/>
    <n v="7414000005"/>
  </r>
  <r>
    <x v="38"/>
    <s v="BANCO SANTANDER MEXICO SA FIDEICOMISO  F/2002507-1"/>
    <x v="52"/>
    <s v="NORMAL"/>
    <s v="MXN"/>
    <n v="195"/>
    <n v="747.17843200000004"/>
    <n v="145699.79423999999"/>
    <n v="723.27277492615383"/>
    <n v="4661.6031294000004"/>
    <n v="0"/>
    <n v="0"/>
    <n v="0"/>
    <n v="0"/>
    <n v="195"/>
    <n v="145699.79423999999"/>
    <s v="EPER"/>
    <n v="7414000005"/>
  </r>
  <r>
    <x v="38"/>
    <s v="BANCO SANTANDER MEXICO SA FIDEICOMISO  F/2002507-1"/>
    <x v="53"/>
    <s v="NORMAL"/>
    <s v="MXN"/>
    <n v="71"/>
    <n v="765.92388300000005"/>
    <n v="54380.595693000003"/>
    <n v="755.62436577450705"/>
    <n v="731.26572300999999"/>
    <n v="0"/>
    <n v="0"/>
    <n v="0"/>
    <n v="0"/>
    <n v="71"/>
    <n v="54380.595693000003"/>
    <s v="EPER"/>
    <n v="7414000005"/>
  </r>
  <r>
    <x v="38"/>
    <s v="BANCO SANTANDER MEXICO SA FIDEICOMISO  F/2002507-1"/>
    <x v="54"/>
    <s v="NORMAL"/>
    <s v="MXN"/>
    <n v="137"/>
    <n v="684.88915799999995"/>
    <n v="93829.814645999999"/>
    <n v="678.63896544744523"/>
    <n v="856.27637970000001"/>
    <n v="0"/>
    <n v="0"/>
    <n v="0"/>
    <n v="0"/>
    <n v="137"/>
    <n v="93829.814645999999"/>
    <s v="EPER"/>
    <n v="7414000005"/>
  </r>
  <r>
    <x v="38"/>
    <s v="BANCO SANTANDER MEXICO SA FIDEICOMISO  F/2002507-1"/>
    <x v="55"/>
    <s v="NORMAL"/>
    <s v="MXN"/>
    <n v="65"/>
    <n v="772.926965"/>
    <n v="50240.252724999998"/>
    <n v="801.54097862599997"/>
    <n v="-1859.91088569"/>
    <n v="0"/>
    <n v="0"/>
    <n v="0"/>
    <n v="0"/>
    <n v="65"/>
    <n v="50240.252724999998"/>
    <s v="EPER"/>
    <n v="7414000005"/>
  </r>
  <r>
    <x v="38"/>
    <s v="BANCO SANTANDER MEXICO SA FIDEICOMISO  F/2002507-1"/>
    <x v="56"/>
    <s v="NORMAL"/>
    <s v="MXN"/>
    <n v="68"/>
    <n v="721.59464000000003"/>
    <n v="49068.435519999999"/>
    <n v="757.11254959897053"/>
    <n v="-2415.2178527299998"/>
    <n v="0"/>
    <n v="0"/>
    <n v="0"/>
    <n v="0"/>
    <n v="68"/>
    <n v="49068.435519999999"/>
    <s v="EPER"/>
    <n v="7414000005"/>
  </r>
  <r>
    <x v="38"/>
    <s v="BANCO SANTANDER MEXICO SA FIDEICOMISO  F/2002507-1"/>
    <x v="57"/>
    <s v="NORMAL"/>
    <s v="MXN"/>
    <n v="31"/>
    <n v="635.96311900000001"/>
    <n v="19714.856689"/>
    <n v="647.93802047999998"/>
    <n v="-371.22194588000002"/>
    <n v="0"/>
    <n v="0"/>
    <n v="0"/>
    <n v="0"/>
    <n v="31"/>
    <n v="19714.856689"/>
    <s v="EPER"/>
    <n v="7414000005"/>
  </r>
  <r>
    <x v="38"/>
    <s v="BANCO SANTANDER MEXICO SA FIDEICOMISO  F/2002507-1"/>
    <x v="58"/>
    <s v="NORMAL"/>
    <s v="MXN"/>
    <n v="97"/>
    <n v="709.36974099999998"/>
    <n v="68808.864877"/>
    <n v="724.63651936999997"/>
    <n v="-1480.8775018900001"/>
    <n v="0"/>
    <n v="0"/>
    <n v="0"/>
    <n v="0"/>
    <n v="97"/>
    <n v="68808.864877"/>
    <s v="EPER"/>
    <n v="7414000005"/>
  </r>
  <r>
    <x v="38"/>
    <s v="BANCO SANTANDER MEXICO SA FIDEICOMISO  F/2002507-1"/>
    <x v="59"/>
    <s v="NORMAL"/>
    <s v="MXN"/>
    <n v="222"/>
    <n v="694.41118700000004"/>
    <n v="154159.28351400001"/>
    <n v="720.77534897378382"/>
    <n v="-5852.8439581800003"/>
    <n v="0"/>
    <n v="0"/>
    <n v="0"/>
    <n v="0"/>
    <n v="222"/>
    <n v="154159.28351400001"/>
    <s v="EPER"/>
    <n v="7414000005"/>
  </r>
  <r>
    <x v="39"/>
    <s v="INVESTIGACIONES Y ESTUDIOS SUPERIORES SC (FONDO DE AHORRO)"/>
    <x v="90"/>
    <s v="NORMAL"/>
    <s v="MXN"/>
    <n v="8579692"/>
    <n v="3.4005040000000002"/>
    <n v="29175276.964768"/>
    <n v="3.3808276835578712"/>
    <n v="168816.73476799999"/>
    <n v="0"/>
    <n v="0"/>
    <n v="0"/>
    <n v="0"/>
    <n v="8579692"/>
    <n v="29175276.964768"/>
    <s v="EPER"/>
    <n v="7414000005"/>
  </r>
  <r>
    <x v="40"/>
    <s v="BANCO NACIONAL DE MÉXICO, S.A. X CTA. DEL FID. 5073632"/>
    <x v="91"/>
    <s v="NORMAL"/>
    <s v="MXN"/>
    <n v="0"/>
    <n v="0"/>
    <n v="0"/>
    <n v="0"/>
    <n v="0"/>
    <n v="0"/>
    <n v="0"/>
    <n v="0"/>
    <n v="0"/>
    <n v="0"/>
    <n v="0"/>
    <s v="EPER"/>
    <n v="7414000005"/>
  </r>
  <r>
    <x v="41"/>
    <s v="BANCO SANTANDER MEXICO S. A. FIDEICOMISO F/2002670-5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42"/>
    <s v="BANCO SANTANDER MEXICO S. A. FIDEICOMISO F/2002670-6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43"/>
    <s v="BANCO SANTANDER MEXICO S. A. FIDEICOMISO F/2002670-2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44"/>
    <s v="CAJA DE PREVISION Y AHORROS DEL S N T S S"/>
    <x v="9"/>
    <s v="NORMAL"/>
    <s v="MXN"/>
    <n v="682"/>
    <n v="9469.6491050000004"/>
    <n v="6458300.6896099998"/>
    <n v="9977.4"/>
    <n v="-346286.11038999999"/>
    <n v="0"/>
    <n v="0"/>
    <n v="0"/>
    <n v="0"/>
    <n v="682"/>
    <n v="6458300.6896099998"/>
    <s v="EPER"/>
    <n v="7414000005"/>
  </r>
  <r>
    <x v="44"/>
    <s v="CAJA DE PREVISION Y AHORROS DEL S N T S S"/>
    <x v="92"/>
    <s v="NORMAL"/>
    <s v="MXN"/>
    <n v="300000"/>
    <n v="100.000056"/>
    <n v="30000016.800000001"/>
    <n v="100"/>
    <n v="16.8"/>
    <n v="0"/>
    <n v="0"/>
    <n v="0"/>
    <n v="0"/>
    <n v="300000"/>
    <n v="30000016.800000001"/>
    <s v="EPER"/>
    <n v="7414000005"/>
  </r>
  <r>
    <x v="44"/>
    <s v="CAJA DE PREVISION Y AHORROS DEL S N T S S"/>
    <x v="69"/>
    <s v="NORMAL"/>
    <s v="MXN"/>
    <n v="2269560"/>
    <n v="99.968271000000001"/>
    <n v="226883989.13076001"/>
    <n v="99.896581785896828"/>
    <n v="162702.97276"/>
    <n v="0"/>
    <n v="0"/>
    <n v="0"/>
    <n v="0"/>
    <n v="2269560"/>
    <n v="226883989.13076001"/>
    <s v="EPER"/>
    <n v="7414000005"/>
  </r>
  <r>
    <x v="44"/>
    <s v="CAJA DE PREVISION Y AHORROS DEL S N T S S"/>
    <x v="93"/>
    <s v="NORMAL"/>
    <s v="MXN"/>
    <n v="5000000"/>
    <n v="99.949897000000007"/>
    <n v="499749485"/>
    <n v="99.893904000000006"/>
    <n v="279965"/>
    <n v="0"/>
    <n v="0"/>
    <n v="0"/>
    <n v="0"/>
    <n v="5000000"/>
    <n v="499749485"/>
    <s v="EPER"/>
    <n v="7414000005"/>
  </r>
  <r>
    <x v="44"/>
    <s v="CAJA DE PREVISION Y AHORROS DEL S N T S S"/>
    <x v="94"/>
    <s v="NORMAL"/>
    <s v="MXN"/>
    <n v="246400"/>
    <n v="99.629997000000003"/>
    <n v="24548831.2608"/>
    <n v="99.126983839999994"/>
    <n v="123942.442624"/>
    <n v="0"/>
    <n v="0"/>
    <n v="0"/>
    <n v="0"/>
    <n v="246400"/>
    <n v="24548831.2608"/>
    <s v="EPER"/>
    <n v="7414000005"/>
  </r>
  <r>
    <x v="44"/>
    <s v="CAJA DE PREVISION Y AHORROS DEL S N T S S"/>
    <x v="95"/>
    <s v="NORMAL"/>
    <s v="MXN"/>
    <n v="1000000"/>
    <n v="99.183683000000002"/>
    <n v="99183683"/>
    <n v="99.051699999999997"/>
    <n v="131983"/>
    <n v="0"/>
    <n v="0"/>
    <n v="0"/>
    <n v="0"/>
    <n v="1000000"/>
    <n v="99183683"/>
    <s v="EPER"/>
    <n v="7414000005"/>
  </r>
  <r>
    <x v="44"/>
    <s v="CAJA DE PREVISION Y AHORROS DEL S N T S S"/>
    <x v="96"/>
    <s v="NORMAL"/>
    <s v="MXN"/>
    <n v="2000000"/>
    <n v="99.694078000000005"/>
    <n v="199388156"/>
    <n v="99.673544739999997"/>
    <n v="41066.519999999997"/>
    <n v="0"/>
    <n v="0"/>
    <n v="0"/>
    <n v="0"/>
    <n v="2000000"/>
    <n v="199388156"/>
    <s v="EPER"/>
    <n v="7414000005"/>
  </r>
  <r>
    <x v="44"/>
    <s v="CAJA DE PREVISION Y AHORROS DEL S N T S S"/>
    <x v="97"/>
    <s v="NORMAL"/>
    <s v="MXN"/>
    <n v="25593"/>
    <n v="91.971306999999996"/>
    <n v="2353821.6600509998"/>
    <n v="100"/>
    <n v="-205478.33994899999"/>
    <n v="0"/>
    <n v="0"/>
    <n v="0"/>
    <n v="0"/>
    <n v="25593"/>
    <n v="2353821.6600509998"/>
    <s v="EPER"/>
    <n v="7414000005"/>
  </r>
  <r>
    <x v="44"/>
    <s v="CAJA DE PREVISION Y AHORROS DEL S N T S S"/>
    <x v="85"/>
    <s v="NORMAL"/>
    <s v="MXN"/>
    <n v="29143"/>
    <n v="97.654420999999999"/>
    <n v="2845942.7912030001"/>
    <n v="98.224185000000006"/>
    <n v="-16604.632251999999"/>
    <n v="0"/>
    <n v="0"/>
    <n v="0"/>
    <n v="0"/>
    <n v="29143"/>
    <n v="2845942.7912030001"/>
    <s v="EPER"/>
    <n v="7414000005"/>
  </r>
  <r>
    <x v="44"/>
    <s v="CAJA DE PREVISION Y AHORROS DEL S N T S S"/>
    <x v="15"/>
    <s v="NORMAL"/>
    <s v="MXN"/>
    <n v="5900000"/>
    <n v="9.190137"/>
    <n v="54221808.299999997"/>
    <n v="8.1723636899999992"/>
    <n v="6004862.5290000001"/>
    <n v="0"/>
    <n v="0"/>
    <n v="0"/>
    <n v="0"/>
    <n v="5900000"/>
    <n v="54221808.299999997"/>
    <s v="EPER"/>
    <n v="7414000005"/>
  </r>
  <r>
    <x v="44"/>
    <s v="CAJA DE PREVISION Y AHORROS DEL S N T S S"/>
    <x v="65"/>
    <s v="NORMAL"/>
    <s v="MXN"/>
    <n v="3500000"/>
    <n v="9.0839700000000008"/>
    <n v="31793895"/>
    <n v="8.9878796600000008"/>
    <n v="336316.19"/>
    <n v="0"/>
    <n v="0"/>
    <n v="0"/>
    <n v="0"/>
    <n v="3500000"/>
    <n v="31793895"/>
    <s v="EPER"/>
    <n v="7414000005"/>
  </r>
  <r>
    <x v="44"/>
    <s v="CAJA DE PREVISION Y AHORROS DEL S N T S S"/>
    <x v="70"/>
    <s v="NORMAL"/>
    <s v="MXN"/>
    <n v="2805920"/>
    <n v="9.0112480000000001"/>
    <n v="25284840.988159999"/>
    <n v="8.9969798000000001"/>
    <n v="40035.427744000001"/>
    <n v="0"/>
    <n v="0"/>
    <n v="0"/>
    <n v="0"/>
    <n v="2805920"/>
    <n v="25284840.988159999"/>
    <s v="EPER"/>
    <n v="7414000005"/>
  </r>
  <r>
    <x v="44"/>
    <s v="CAJA DE PREVISION Y AHORROS DEL S N T S S"/>
    <x v="71"/>
    <s v="NORMAL"/>
    <s v="MXN"/>
    <n v="17243600"/>
    <n v="8.3813510000000004"/>
    <n v="144524664.1036"/>
    <n v="8.2713826212420489"/>
    <n v="1896250.7359505999"/>
    <n v="0"/>
    <n v="0"/>
    <n v="0"/>
    <n v="0"/>
    <n v="17243600"/>
    <n v="144524664.1036"/>
    <s v="EPER"/>
    <n v="7414000005"/>
  </r>
  <r>
    <x v="44"/>
    <s v="CAJA DE PREVISION Y AHORROS DEL S N T S S"/>
    <x v="16"/>
    <s v="NORMAL"/>
    <s v="MXN"/>
    <n v="9957484"/>
    <n v="8.2580650000000002"/>
    <n v="82229550.108459994"/>
    <n v="8.2572237890671545"/>
    <n v="8376.3444044400003"/>
    <n v="0"/>
    <n v="0"/>
    <n v="0"/>
    <n v="0"/>
    <n v="9957484"/>
    <n v="82229550.108459994"/>
    <s v="EPER"/>
    <n v="7414000005"/>
  </r>
  <r>
    <x v="44"/>
    <s v="CAJA DE PREVISION Y AHORROS DEL S N T S S"/>
    <x v="98"/>
    <s v="NORMAL"/>
    <s v="MXN"/>
    <n v="263860"/>
    <n v="93.248425999999995"/>
    <n v="24604529.684360001"/>
    <n v="96.751658399322366"/>
    <n v="-924362.90088520001"/>
    <n v="0"/>
    <n v="0"/>
    <n v="0"/>
    <n v="0"/>
    <n v="263860"/>
    <n v="24604529.684360001"/>
    <s v="EPER"/>
    <n v="7414000005"/>
  </r>
  <r>
    <x v="44"/>
    <s v="CAJA DE PREVISION Y AHORROS DEL S N T S S"/>
    <x v="66"/>
    <s v="NORMAL"/>
    <s v="MXN"/>
    <n v="0"/>
    <n v="0"/>
    <n v="26779266.66"/>
    <n v="0"/>
    <n v="0"/>
    <n v="0"/>
    <n v="0"/>
    <n v="0"/>
    <n v="0"/>
    <n v="0"/>
    <n v="26779266.66"/>
    <s v="EPER"/>
    <n v="7414000005"/>
  </r>
  <r>
    <x v="44"/>
    <s v="CAJA DE PREVISION Y AHORROS DEL S N T S S"/>
    <x v="99"/>
    <s v="NORMAL"/>
    <s v="MXN"/>
    <n v="200000"/>
    <n v="99.999758999999997"/>
    <n v="19999951.800000001"/>
    <n v="100"/>
    <n v="-48.2"/>
    <n v="0"/>
    <n v="0"/>
    <n v="0"/>
    <n v="0"/>
    <n v="200000"/>
    <n v="19999951.800000001"/>
    <s v="EPER"/>
    <n v="7414000005"/>
  </r>
  <r>
    <x v="44"/>
    <s v="CAJA DE PREVISION Y AHORROS DEL S N T S S"/>
    <x v="100"/>
    <s v="NORMAL"/>
    <s v="MXN"/>
    <n v="177980"/>
    <n v="99.963265000000007"/>
    <n v="17791461.9047"/>
    <n v="100"/>
    <n v="-6538.0953"/>
    <n v="0"/>
    <n v="0"/>
    <n v="0"/>
    <n v="0"/>
    <n v="177980"/>
    <n v="17791461.9047"/>
    <s v="EPER"/>
    <n v="7414000005"/>
  </r>
  <r>
    <x v="44"/>
    <s v="CAJA DE PREVISION Y AHORROS DEL S N T S S"/>
    <x v="101"/>
    <s v="NORMAL"/>
    <s v="MXN"/>
    <n v="98500"/>
    <n v="100.020889"/>
    <n v="9852057.5665000007"/>
    <n v="100"/>
    <n v="2057.5664999999999"/>
    <n v="0"/>
    <n v="0"/>
    <n v="0"/>
    <n v="0"/>
    <n v="98500"/>
    <n v="9852057.5665000007"/>
    <s v="EPER"/>
    <n v="7414000005"/>
  </r>
  <r>
    <x v="44"/>
    <s v="CAJA DE PREVISION Y AHORROS DEL S N T S S"/>
    <x v="67"/>
    <s v="NORMAL"/>
    <s v="MXN"/>
    <n v="218639"/>
    <n v="99.247497999999993"/>
    <n v="21699373.715222001"/>
    <n v="113.85269369559191"/>
    <n v="-3193265.3816885198"/>
    <n v="0"/>
    <n v="0"/>
    <n v="0"/>
    <n v="0"/>
    <n v="218639"/>
    <n v="21699373.715222001"/>
    <s v="EPER"/>
    <n v="7414000005"/>
  </r>
  <r>
    <x v="44"/>
    <s v="CAJA DE PREVISION Y AHORROS DEL S N T S S"/>
    <x v="34"/>
    <s v="NORMAL"/>
    <s v="MXN"/>
    <n v="80000"/>
    <n v="89.489464999999996"/>
    <n v="7159157.2000000002"/>
    <n v="92.406682059999994"/>
    <n v="-233377.36480000001"/>
    <n v="0"/>
    <n v="0"/>
    <n v="0"/>
    <n v="0"/>
    <n v="80000"/>
    <n v="7159157.2000000002"/>
    <s v="EPER"/>
    <n v="7414000005"/>
  </r>
  <r>
    <x v="44"/>
    <s v="CAJA DE PREVISION Y AHORROS DEL S N T S S"/>
    <x v="35"/>
    <s v="NORMAL"/>
    <s v="MXN"/>
    <n v="1193710"/>
    <n v="86.197128000000006"/>
    <n v="102894373.66487999"/>
    <n v="88.601538131157653"/>
    <n v="-2870168.4176642001"/>
    <n v="0"/>
    <n v="0"/>
    <n v="0"/>
    <n v="0"/>
    <n v="1193710"/>
    <n v="102894373.66487999"/>
    <s v="EPER"/>
    <n v="7414000005"/>
  </r>
  <r>
    <x v="44"/>
    <s v="CAJA DE PREVISION Y AHORROS DEL S N T S S"/>
    <x v="46"/>
    <s v="NORMAL"/>
    <s v="MXN"/>
    <n v="180000"/>
    <n v="99.999184999999997"/>
    <n v="17999853.300000001"/>
    <n v="100"/>
    <n v="-146.69999999999999"/>
    <n v="0"/>
    <n v="0"/>
    <n v="0"/>
    <n v="0"/>
    <n v="180000"/>
    <n v="17999853.300000001"/>
    <s v="EPER"/>
    <n v="7414000005"/>
  </r>
  <r>
    <x v="44"/>
    <s v="CAJA DE PREVISION Y AHORROS DEL S N T S S"/>
    <x v="102"/>
    <s v="NORMAL"/>
    <s v="MXN"/>
    <n v="59620"/>
    <n v="100.38890499999999"/>
    <n v="5985186.5160999997"/>
    <n v="91.398345289999995"/>
    <n v="536017.16991020006"/>
    <n v="0"/>
    <n v="0"/>
    <n v="0"/>
    <n v="0"/>
    <n v="59620"/>
    <n v="5985186.5160999997"/>
    <s v="EPER"/>
    <n v="7414000005"/>
  </r>
  <r>
    <x v="44"/>
    <s v="CAJA DE PREVISION Y AHORROS DEL S N T S S"/>
    <x v="51"/>
    <s v="NORMAL"/>
    <s v="MXN"/>
    <n v="110182"/>
    <n v="775.69178699999998"/>
    <n v="85467272.475234002"/>
    <n v="767.99907064386025"/>
    <n v="847598.87355219002"/>
    <n v="0"/>
    <n v="0"/>
    <n v="0"/>
    <n v="0"/>
    <n v="110182"/>
    <n v="85467272.475234002"/>
    <s v="EPER"/>
    <n v="7414000005"/>
  </r>
  <r>
    <x v="44"/>
    <s v="CAJA DE PREVISION Y AHORROS DEL S N T S S"/>
    <x v="52"/>
    <s v="NORMAL"/>
    <s v="MXN"/>
    <n v="84113"/>
    <n v="747.17843200000004"/>
    <n v="62847419.450815998"/>
    <n v="727.52431638487747"/>
    <n v="1653166.6267347999"/>
    <n v="0"/>
    <n v="0"/>
    <n v="0"/>
    <n v="0"/>
    <n v="84113"/>
    <n v="62847419.450815998"/>
    <s v="EPER"/>
    <n v="7414000005"/>
  </r>
  <r>
    <x v="44"/>
    <s v="CAJA DE PREVISION Y AHORROS DEL S N T S S"/>
    <x v="103"/>
    <s v="NORMAL"/>
    <s v="MXN"/>
    <n v="110950"/>
    <n v="100.04252700000001"/>
    <n v="11099718.370650001"/>
    <n v="100"/>
    <n v="4718.3706499999998"/>
    <n v="0"/>
    <n v="0"/>
    <n v="0"/>
    <n v="0"/>
    <n v="110950"/>
    <n v="11099718.370650001"/>
    <s v="EPER"/>
    <n v="7414000005"/>
  </r>
  <r>
    <x v="45"/>
    <s v="NACIONAL FINANCIERA SNC COMO FIDUCIARIA DEL FID 80722 PENSIONES PMI"/>
    <x v="12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04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05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06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07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08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09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10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11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12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13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91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14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15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16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17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18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51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46"/>
    <s v="BANCO SANTANDER MEXICO SA FIDEICOMISO F/2003285-1"/>
    <x v="9"/>
    <s v="NORMAL"/>
    <s v="MXN"/>
    <n v="156"/>
    <n v="9469.6491050000004"/>
    <n v="1477265.2603800001"/>
    <n v="9977.4"/>
    <n v="-79209.139620000002"/>
    <n v="0"/>
    <n v="0"/>
    <n v="0"/>
    <n v="0"/>
    <n v="156"/>
    <n v="1477265.2603800001"/>
    <s v="EPER"/>
    <n v="7414000005"/>
  </r>
  <r>
    <x v="46"/>
    <s v="BANCO SANTANDER MEXICO SA FIDEICOMISO F/2003285-1"/>
    <x v="92"/>
    <s v="NORMAL"/>
    <s v="MXN"/>
    <n v="200000"/>
    <n v="100.000056"/>
    <n v="20000011.199999999"/>
    <n v="100"/>
    <n v="11.2"/>
    <n v="0"/>
    <n v="0"/>
    <n v="0"/>
    <n v="0"/>
    <n v="200000"/>
    <n v="20000011.199999999"/>
    <s v="EPER"/>
    <n v="7414000005"/>
  </r>
  <r>
    <x v="46"/>
    <s v="BANCO SANTANDER MEXICO SA FIDEICOMISO F/2003285-1"/>
    <x v="13"/>
    <s v="NORMAL"/>
    <s v="MXN"/>
    <n v="118580"/>
    <n v="100.000484"/>
    <n v="11858057.392720001"/>
    <n v="100"/>
    <n v="57.392719999999997"/>
    <n v="0"/>
    <n v="0"/>
    <n v="0"/>
    <n v="0"/>
    <n v="118580"/>
    <n v="11858057.392720001"/>
    <s v="EPER"/>
    <n v="7414000005"/>
  </r>
  <r>
    <x v="46"/>
    <s v="BANCO SANTANDER MEXICO SA FIDEICOMISO F/2003285-1"/>
    <x v="119"/>
    <s v="NORMAL"/>
    <s v="MXN"/>
    <n v="71101"/>
    <n v="99.764358000000001"/>
    <n v="7093345.6181579996"/>
    <n v="99.612017969999997"/>
    <n v="10831.528473030001"/>
    <n v="0"/>
    <n v="0"/>
    <n v="0"/>
    <n v="0"/>
    <n v="71101"/>
    <n v="7093345.6181579996"/>
    <s v="EPER"/>
    <n v="7414000005"/>
  </r>
  <r>
    <x v="46"/>
    <s v="BANCO SANTANDER MEXICO SA FIDEICOMISO F/2003285-1"/>
    <x v="94"/>
    <s v="NORMAL"/>
    <s v="MXN"/>
    <n v="174270"/>
    <n v="99.629997000000003"/>
    <n v="17362519.577190001"/>
    <n v="99.126983839999994"/>
    <n v="87660.103393199999"/>
    <n v="0"/>
    <n v="0"/>
    <n v="0"/>
    <n v="0"/>
    <n v="174270"/>
    <n v="17362519.577190001"/>
    <s v="EPER"/>
    <n v="7414000005"/>
  </r>
  <r>
    <x v="46"/>
    <s v="BANCO SANTANDER MEXICO SA FIDEICOMISO F/2003285-1"/>
    <x v="97"/>
    <s v="NORMAL"/>
    <s v="MXN"/>
    <n v="25593"/>
    <n v="91.971306999999996"/>
    <n v="2353821.6600509998"/>
    <n v="100"/>
    <n v="-205478.33994899999"/>
    <n v="0"/>
    <n v="0"/>
    <n v="0"/>
    <n v="0"/>
    <n v="25593"/>
    <n v="2353821.6600509998"/>
    <s v="EPER"/>
    <n v="7414000005"/>
  </r>
  <r>
    <x v="46"/>
    <s v="BANCO SANTANDER MEXICO SA FIDEICOMISO F/2003285-1"/>
    <x v="85"/>
    <s v="NORMAL"/>
    <s v="MXN"/>
    <n v="59819"/>
    <n v="97.654420999999999"/>
    <n v="5841589.8097989997"/>
    <n v="98.949900466490575"/>
    <n v="-77494.286206000004"/>
    <n v="0"/>
    <n v="0"/>
    <n v="0"/>
    <n v="0"/>
    <n v="59819"/>
    <n v="5841589.8097989997"/>
    <s v="EPER"/>
    <n v="7414000005"/>
  </r>
  <r>
    <x v="46"/>
    <s v="BANCO SANTANDER MEXICO SA FIDEICOMISO F/2003285-1"/>
    <x v="120"/>
    <s v="NORMAL"/>
    <s v="MXN"/>
    <n v="67470"/>
    <n v="98.859247999999994"/>
    <n v="6670033.4625599999"/>
    <n v="100"/>
    <n v="-76966.53744"/>
    <n v="0"/>
    <n v="0"/>
    <n v="0"/>
    <n v="0"/>
    <n v="67470"/>
    <n v="6670033.4625599999"/>
    <s v="EPER"/>
    <n v="7414000005"/>
  </r>
  <r>
    <x v="46"/>
    <s v="BANCO SANTANDER MEXICO SA FIDEICOMISO F/2003285-1"/>
    <x v="121"/>
    <s v="NORMAL"/>
    <s v="MXN"/>
    <n v="2500000"/>
    <n v="9.8627230000000008"/>
    <n v="24656807.5"/>
    <n v="9.7229553800000001"/>
    <n v="349419.05"/>
    <n v="0"/>
    <n v="0"/>
    <n v="0"/>
    <n v="0"/>
    <n v="2500000"/>
    <n v="24656807.5"/>
    <s v="EPER"/>
    <n v="7414000005"/>
  </r>
  <r>
    <x v="46"/>
    <s v="BANCO SANTANDER MEXICO SA FIDEICOMISO F/2003285-1"/>
    <x v="72"/>
    <s v="NORMAL"/>
    <s v="MXN"/>
    <n v="2975681"/>
    <n v="9.3381629999999998"/>
    <n v="27787394.214003"/>
    <n v="8.3307969100000001"/>
    <n v="2997600.1340572899"/>
    <n v="0"/>
    <n v="0"/>
    <n v="0"/>
    <n v="0"/>
    <n v="2975681"/>
    <n v="27787394.214003"/>
    <s v="EPER"/>
    <n v="7414000005"/>
  </r>
  <r>
    <x v="46"/>
    <s v="BANCO SANTANDER MEXICO SA FIDEICOMISO F/2003285-1"/>
    <x v="15"/>
    <s v="NORMAL"/>
    <s v="MXN"/>
    <n v="6929010"/>
    <n v="9.190137"/>
    <n v="63678551.174369998"/>
    <n v="8.199106487495861"/>
    <n v="6866860.3314463003"/>
    <n v="0"/>
    <n v="0"/>
    <n v="0"/>
    <n v="0"/>
    <n v="6929010"/>
    <n v="63678551.174369998"/>
    <s v="EPER"/>
    <n v="7414000005"/>
  </r>
  <r>
    <x v="46"/>
    <s v="BANCO SANTANDER MEXICO SA FIDEICOMISO F/2003285-1"/>
    <x v="65"/>
    <s v="NORMAL"/>
    <s v="MXN"/>
    <n v="3440000"/>
    <n v="9.0839700000000008"/>
    <n v="31248856.800000001"/>
    <n v="8.9878796600000008"/>
    <n v="330550.7696"/>
    <n v="0"/>
    <n v="0"/>
    <n v="0"/>
    <n v="0"/>
    <n v="3440000"/>
    <n v="31248856.800000001"/>
    <s v="EPER"/>
    <n v="7414000005"/>
  </r>
  <r>
    <x v="46"/>
    <s v="BANCO SANTANDER MEXICO SA FIDEICOMISO F/2003285-1"/>
    <x v="70"/>
    <s v="NORMAL"/>
    <s v="MXN"/>
    <n v="1842650"/>
    <n v="9.0112480000000001"/>
    <n v="16604576.1272"/>
    <n v="8.9969798000000001"/>
    <n v="26291.298729999999"/>
    <n v="0"/>
    <n v="0"/>
    <n v="0"/>
    <n v="0"/>
    <n v="1842650"/>
    <n v="16604576.1272"/>
    <s v="EPER"/>
    <n v="7414000005"/>
  </r>
  <r>
    <x v="46"/>
    <s v="BANCO SANTANDER MEXICO SA FIDEICOMISO F/2003285-1"/>
    <x v="122"/>
    <s v="NORMAL"/>
    <s v="MXN"/>
    <n v="10000000"/>
    <n v="8.5044190000000004"/>
    <n v="85044190"/>
    <n v="8.2167949300000007"/>
    <n v="2876240.7"/>
    <n v="0"/>
    <n v="0"/>
    <n v="0"/>
    <n v="0"/>
    <n v="10000000"/>
    <n v="85044190"/>
    <s v="EPER"/>
    <n v="7414000005"/>
  </r>
  <r>
    <x v="46"/>
    <s v="BANCO SANTANDER MEXICO SA FIDEICOMISO F/2003285-1"/>
    <x v="71"/>
    <s v="NORMAL"/>
    <s v="MXN"/>
    <n v="3836130"/>
    <n v="8.3813510000000004"/>
    <n v="32151952.011629999"/>
    <n v="8.2778259505331935"/>
    <n v="397135.54801109998"/>
    <n v="0"/>
    <n v="0"/>
    <n v="0"/>
    <n v="0"/>
    <n v="3836130"/>
    <n v="32151952.011629999"/>
    <s v="EPER"/>
    <n v="7414000005"/>
  </r>
  <r>
    <x v="46"/>
    <s v="BANCO SANTANDER MEXICO SA FIDEICOMISO F/2003285-1"/>
    <x v="16"/>
    <s v="NORMAL"/>
    <s v="MXN"/>
    <n v="4472190"/>
    <n v="8.2580650000000002"/>
    <n v="36931635.712350003"/>
    <n v="8.2431905926248437"/>
    <n v="66521.175919100002"/>
    <n v="0"/>
    <n v="0"/>
    <n v="0"/>
    <n v="0"/>
    <n v="4472190"/>
    <n v="36931635.712350003"/>
    <s v="EPER"/>
    <n v="7414000005"/>
  </r>
  <r>
    <x v="46"/>
    <s v="BANCO SANTANDER MEXICO SA FIDEICOMISO F/2003285-1"/>
    <x v="98"/>
    <s v="NORMAL"/>
    <s v="MXN"/>
    <n v="315960"/>
    <n v="93.248425999999995"/>
    <n v="29462772.678959999"/>
    <n v="97.17965882"/>
    <n v="-1242112.3218072001"/>
    <n v="0"/>
    <n v="0"/>
    <n v="0"/>
    <n v="0"/>
    <n v="315960"/>
    <n v="29462772.678959999"/>
    <s v="EPER"/>
    <n v="7414000005"/>
  </r>
  <r>
    <x v="46"/>
    <s v="BANCO SANTANDER MEXICO SA FIDEICOMISO F/2003285-1"/>
    <x v="123"/>
    <s v="NORMAL"/>
    <s v="MXN"/>
    <n v="7195"/>
    <n v="744.63981999999999"/>
    <n v="5357683.5049000001"/>
    <n v="681.10709999999995"/>
    <n v="457117.9204"/>
    <n v="0"/>
    <n v="0"/>
    <n v="0"/>
    <n v="0"/>
    <n v="7195"/>
    <n v="5357683.5049000001"/>
    <s v="EPER"/>
    <n v="7414000005"/>
  </r>
  <r>
    <x v="46"/>
    <s v="BANCO SANTANDER MEXICO SA FIDEICOMISO F/2003285-1"/>
    <x v="124"/>
    <s v="NORMAL"/>
    <s v="MXN"/>
    <n v="170000"/>
    <n v="72.270214999999993"/>
    <n v="12285936.550000001"/>
    <n v="108.07997091"/>
    <n v="-6087658.5047000004"/>
    <n v="0"/>
    <n v="0"/>
    <n v="0"/>
    <n v="0"/>
    <n v="170000"/>
    <n v="12285936.550000001"/>
    <s v="EPER"/>
    <n v="7414000005"/>
  </r>
  <r>
    <x v="46"/>
    <s v="BANCO SANTANDER MEXICO SA FIDEICOMISO F/2003285-1"/>
    <x v="125"/>
    <s v="NORMAL"/>
    <s v="MXN"/>
    <n v="339985"/>
    <n v="99.999157999999994"/>
    <n v="33998213.73263"/>
    <n v="99.999891800520615"/>
    <n v="-249.48116999999999"/>
    <n v="0"/>
    <n v="0"/>
    <n v="0"/>
    <n v="0"/>
    <n v="339985"/>
    <n v="33998213.73263"/>
    <s v="EPER"/>
    <n v="7414000005"/>
  </r>
  <r>
    <x v="46"/>
    <s v="BANCO SANTANDER MEXICO SA FIDEICOMISO F/2003285-1"/>
    <x v="66"/>
    <s v="NORMAL"/>
    <s v="MXN"/>
    <n v="0"/>
    <n v="0"/>
    <n v="75048349.030000001"/>
    <n v="0"/>
    <n v="0"/>
    <n v="0"/>
    <n v="0"/>
    <n v="0"/>
    <n v="0"/>
    <n v="0"/>
    <n v="75048349.030000001"/>
    <s v="EPER"/>
    <n v="7414000005"/>
  </r>
  <r>
    <x v="46"/>
    <s v="BANCO SANTANDER MEXICO SA FIDEICOMISO F/2003285-1"/>
    <x v="100"/>
    <s v="NORMAL"/>
    <s v="MXN"/>
    <n v="122020"/>
    <n v="99.963265000000007"/>
    <n v="12197517.5953"/>
    <n v="100"/>
    <n v="-4482.4047"/>
    <n v="0"/>
    <n v="0"/>
    <n v="0"/>
    <n v="0"/>
    <n v="122020"/>
    <n v="12197517.5953"/>
    <s v="EPER"/>
    <n v="7414000005"/>
  </r>
  <r>
    <x v="46"/>
    <s v="BANCO SANTANDER MEXICO SA FIDEICOMISO F/2003285-1"/>
    <x v="126"/>
    <s v="NORMAL"/>
    <s v="MXN"/>
    <n v="24263"/>
    <n v="307.22749900000002"/>
    <n v="7454260.8082370004"/>
    <n v="577.02305865000005"/>
    <n v="-6546049.6637879498"/>
    <n v="0"/>
    <n v="0"/>
    <n v="0"/>
    <n v="0"/>
    <n v="24263"/>
    <n v="7454260.8082370004"/>
    <s v="EPER"/>
    <n v="7414000005"/>
  </r>
  <r>
    <x v="46"/>
    <s v="BANCO SANTANDER MEXICO SA FIDEICOMISO F/2003285-1"/>
    <x v="101"/>
    <s v="NORMAL"/>
    <s v="MXN"/>
    <n v="2320"/>
    <n v="100.020889"/>
    <n v="232048.46247999999"/>
    <n v="100"/>
    <n v="48.462479999999999"/>
    <n v="0"/>
    <n v="0"/>
    <n v="0"/>
    <n v="0"/>
    <n v="2320"/>
    <n v="232048.46247999999"/>
    <s v="EPER"/>
    <n v="7414000005"/>
  </r>
  <r>
    <x v="46"/>
    <s v="BANCO SANTANDER MEXICO SA FIDEICOMISO F/2003285-1"/>
    <x v="26"/>
    <s v="NORMAL"/>
    <s v="MXN"/>
    <n v="53861"/>
    <n v="98.730349000000004"/>
    <n v="5317715.3274889998"/>
    <n v="111.89286593999999"/>
    <n v="-708946.32490533998"/>
    <n v="0"/>
    <n v="0"/>
    <n v="0"/>
    <n v="0"/>
    <n v="53861"/>
    <n v="5317715.3274889998"/>
    <s v="EPER"/>
    <n v="7414000005"/>
  </r>
  <r>
    <x v="46"/>
    <s v="BANCO SANTANDER MEXICO SA FIDEICOMISO F/2003285-1"/>
    <x v="67"/>
    <s v="NORMAL"/>
    <s v="MXN"/>
    <n v="40037"/>
    <n v="99.247497999999993"/>
    <n v="3973572.077426"/>
    <n v="101.04285588"/>
    <n v="-71880.74344156"/>
    <n v="0"/>
    <n v="0"/>
    <n v="0"/>
    <n v="0"/>
    <n v="40037"/>
    <n v="3973572.077426"/>
    <s v="EPER"/>
    <n v="7414000005"/>
  </r>
  <r>
    <x v="46"/>
    <s v="BANCO SANTANDER MEXICO SA FIDEICOMISO F/2003285-1"/>
    <x v="27"/>
    <s v="NORMAL"/>
    <s v="MXN"/>
    <n v="89801"/>
    <n v="94.973146999999997"/>
    <n v="8528683.5737469997"/>
    <n v="90.447894919999996"/>
    <n v="406372.16203607997"/>
    <n v="0"/>
    <n v="0"/>
    <n v="0"/>
    <n v="0"/>
    <n v="89801"/>
    <n v="8528683.5737469997"/>
    <s v="EPER"/>
    <n v="7414000005"/>
  </r>
  <r>
    <x v="46"/>
    <s v="BANCO SANTANDER MEXICO SA FIDEICOMISO F/2003285-1"/>
    <x v="28"/>
    <s v="NORMAL"/>
    <s v="MXN"/>
    <n v="148267"/>
    <n v="91.911821000000003"/>
    <n v="13627489.964206999"/>
    <n v="90.233927210000004"/>
    <n v="248776.27856193"/>
    <n v="0"/>
    <n v="0"/>
    <n v="0"/>
    <n v="0"/>
    <n v="148267"/>
    <n v="13627489.964206999"/>
    <s v="EPER"/>
    <n v="7414000005"/>
  </r>
  <r>
    <x v="46"/>
    <s v="BANCO SANTANDER MEXICO SA FIDEICOMISO F/2003285-1"/>
    <x v="29"/>
    <s v="NORMAL"/>
    <s v="MXN"/>
    <n v="436390"/>
    <n v="92.954503000000003"/>
    <n v="40564415.564170003"/>
    <n v="93.254954157532708"/>
    <n v="-131113.88063570001"/>
    <n v="0"/>
    <n v="0"/>
    <n v="0"/>
    <n v="0"/>
    <n v="436390"/>
    <n v="40564415.564170003"/>
    <s v="EPER"/>
    <n v="7414000005"/>
  </r>
  <r>
    <x v="46"/>
    <s v="BANCO SANTANDER MEXICO SA FIDEICOMISO F/2003285-1"/>
    <x v="30"/>
    <s v="NORMAL"/>
    <s v="MXN"/>
    <n v="235182"/>
    <n v="88.698122999999995"/>
    <n v="20860201.963385999"/>
    <n v="85.523933509142793"/>
    <n v="746512.23283878004"/>
    <n v="0"/>
    <n v="0"/>
    <n v="0"/>
    <n v="0"/>
    <n v="235182"/>
    <n v="20860201.963385999"/>
    <s v="EPER"/>
    <n v="7414000005"/>
  </r>
  <r>
    <x v="46"/>
    <s v="BANCO SANTANDER MEXICO SA FIDEICOMISO F/2003285-1"/>
    <x v="31"/>
    <s v="NORMAL"/>
    <s v="MXN"/>
    <n v="183660"/>
    <n v="93.314192000000006"/>
    <n v="17138084.502719998"/>
    <n v="94.568815266643256"/>
    <n v="-230424.10915169999"/>
    <n v="0"/>
    <n v="0"/>
    <n v="0"/>
    <n v="0"/>
    <n v="183660"/>
    <n v="17138084.502719998"/>
    <s v="EPER"/>
    <n v="7414000005"/>
  </r>
  <r>
    <x v="46"/>
    <s v="BANCO SANTANDER MEXICO SA FIDEICOMISO F/2003285-1"/>
    <x v="32"/>
    <s v="NORMAL"/>
    <s v="MXN"/>
    <n v="166000"/>
    <n v="94.864168000000006"/>
    <n v="15747451.888"/>
    <n v="96.596719710000002"/>
    <n v="-287603.58386000001"/>
    <n v="0"/>
    <n v="0"/>
    <n v="0"/>
    <n v="0"/>
    <n v="166000"/>
    <n v="15747451.888"/>
    <s v="EPER"/>
    <n v="7414000005"/>
  </r>
  <r>
    <x v="46"/>
    <s v="BANCO SANTANDER MEXICO SA FIDEICOMISO F/2003285-1"/>
    <x v="33"/>
    <s v="NORMAL"/>
    <s v="MXN"/>
    <n v="701874"/>
    <n v="94.870157000000006"/>
    <n v="66586896.574217997"/>
    <n v="97.304096292830337"/>
    <n v="-1708318.707216"/>
    <n v="0"/>
    <n v="0"/>
    <n v="0"/>
    <n v="0"/>
    <n v="701874"/>
    <n v="66586896.574217997"/>
    <s v="EPER"/>
    <n v="7414000005"/>
  </r>
  <r>
    <x v="46"/>
    <s v="BANCO SANTANDER MEXICO SA FIDEICOMISO F/2003285-1"/>
    <x v="34"/>
    <s v="NORMAL"/>
    <s v="MXN"/>
    <n v="653249"/>
    <n v="89.489464999999996"/>
    <n v="58458903.521784998"/>
    <n v="90.174177705816263"/>
    <n v="-447287.89036177"/>
    <n v="0"/>
    <n v="0"/>
    <n v="0"/>
    <n v="0"/>
    <n v="653249"/>
    <n v="58458903.521784998"/>
    <s v="EPER"/>
    <n v="7414000005"/>
  </r>
  <r>
    <x v="46"/>
    <s v="BANCO SANTANDER MEXICO SA FIDEICOMISO F/2003285-1"/>
    <x v="35"/>
    <s v="NORMAL"/>
    <s v="MXN"/>
    <n v="584310"/>
    <n v="86.197128000000006"/>
    <n v="50365843.861680001"/>
    <n v="90.605575695102942"/>
    <n v="-2575900.0727256001"/>
    <n v="0"/>
    <n v="0"/>
    <n v="0"/>
    <n v="0"/>
    <n v="584310"/>
    <n v="50365843.861680001"/>
    <s v="EPER"/>
    <n v="7414000005"/>
  </r>
  <r>
    <x v="46"/>
    <s v="BANCO SANTANDER MEXICO SA FIDEICOMISO F/2003285-1"/>
    <x v="127"/>
    <s v="NORMAL"/>
    <s v="MXN"/>
    <n v="240000"/>
    <n v="100.210615"/>
    <n v="24050547.600000001"/>
    <n v="100"/>
    <n v="50547.6"/>
    <n v="0"/>
    <n v="0"/>
    <n v="0"/>
    <n v="0"/>
    <n v="240000"/>
    <n v="24050547.600000001"/>
    <s v="EPER"/>
    <n v="7414000005"/>
  </r>
  <r>
    <x v="46"/>
    <s v="BANCO SANTANDER MEXICO SA FIDEICOMISO F/2003285-1"/>
    <x v="46"/>
    <s v="NORMAL"/>
    <s v="MXN"/>
    <n v="120000"/>
    <n v="99.999184999999997"/>
    <n v="11999902.199999999"/>
    <n v="100"/>
    <n v="-97.8"/>
    <n v="0"/>
    <n v="0"/>
    <n v="0"/>
    <n v="0"/>
    <n v="120000"/>
    <n v="11999902.199999999"/>
    <s v="EPER"/>
    <n v="7414000005"/>
  </r>
  <r>
    <x v="46"/>
    <s v="BANCO SANTANDER MEXICO SA FIDEICOMISO F/2003285-1"/>
    <x v="0"/>
    <s v="NORMAL"/>
    <s v="MXN"/>
    <n v="2058365"/>
    <n v="3.3967719999999999"/>
    <n v="6991796.5977800004"/>
    <n v="3.3875257012240296"/>
    <n v="19032.25778"/>
    <n v="0"/>
    <n v="0"/>
    <n v="0"/>
    <n v="0"/>
    <n v="2058365"/>
    <n v="6991796.5977800004"/>
    <s v="EPER"/>
    <n v="7414000005"/>
  </r>
  <r>
    <x v="46"/>
    <s v="BANCO SANTANDER MEXICO SA FIDEICOMISO F/2003285-1"/>
    <x v="128"/>
    <s v="NORMAL"/>
    <s v="MXN"/>
    <n v="36518"/>
    <n v="267.07593400000002"/>
    <n v="9753078.9578120001"/>
    <n v="552.04336675000002"/>
    <n v="-10406440.7091645"/>
    <n v="0"/>
    <n v="0"/>
    <n v="0"/>
    <n v="0"/>
    <n v="36518"/>
    <n v="9753078.9578120001"/>
    <s v="EPER"/>
    <n v="7414000005"/>
  </r>
  <r>
    <x v="46"/>
    <s v="BANCO SANTANDER MEXICO SA FIDEICOMISO F/2003285-1"/>
    <x v="51"/>
    <s v="NORMAL"/>
    <s v="MXN"/>
    <n v="84090"/>
    <n v="775.69178699999998"/>
    <n v="65227922.368830003"/>
    <n v="766.69784126000002"/>
    <n v="756300.89727660001"/>
    <n v="0"/>
    <n v="0"/>
    <n v="0"/>
    <n v="0"/>
    <n v="84090"/>
    <n v="65227922.368830003"/>
    <s v="EPER"/>
    <n v="7414000005"/>
  </r>
  <r>
    <x v="46"/>
    <s v="BANCO SANTANDER MEXICO SA FIDEICOMISO F/2003285-1"/>
    <x v="52"/>
    <s v="NORMAL"/>
    <s v="MXN"/>
    <n v="160215"/>
    <n v="747.17843200000004"/>
    <n v="119709192.48288"/>
    <n v="728.00954708517929"/>
    <n v="3071142.8966279998"/>
    <n v="0"/>
    <n v="0"/>
    <n v="0"/>
    <n v="0"/>
    <n v="160215"/>
    <n v="119709192.48288"/>
    <s v="EPER"/>
    <n v="7414000005"/>
  </r>
  <r>
    <x v="46"/>
    <s v="BANCO SANTANDER MEXICO SA FIDEICOMISO F/2003285-1"/>
    <x v="53"/>
    <s v="NORMAL"/>
    <s v="MXN"/>
    <n v="63926"/>
    <n v="765.92388300000005"/>
    <n v="48962450.144657999"/>
    <n v="760.42390526120016"/>
    <n v="351591.57693052001"/>
    <n v="0"/>
    <n v="0"/>
    <n v="0"/>
    <n v="0"/>
    <n v="63926"/>
    <n v="48962450.144657999"/>
    <s v="EPER"/>
    <n v="7414000005"/>
  </r>
  <r>
    <x v="46"/>
    <s v="BANCO SANTANDER MEXICO SA FIDEICOMISO F/2003285-1"/>
    <x v="54"/>
    <s v="NORMAL"/>
    <s v="MXN"/>
    <n v="58619"/>
    <n v="684.88915799999995"/>
    <n v="40147517.552801996"/>
    <n v="681.11163602531769"/>
    <n v="221434.56063389999"/>
    <n v="0"/>
    <n v="0"/>
    <n v="0"/>
    <n v="0"/>
    <n v="58619"/>
    <n v="40147517.552801996"/>
    <s v="EPER"/>
    <n v="7414000005"/>
  </r>
  <r>
    <x v="46"/>
    <s v="BANCO SANTANDER MEXICO SA FIDEICOMISO F/2003285-1"/>
    <x v="103"/>
    <s v="NORMAL"/>
    <s v="MXN"/>
    <n v="75940"/>
    <n v="100.04252700000001"/>
    <n v="7597229.5003800001"/>
    <n v="100"/>
    <n v="3229.50038"/>
    <n v="0"/>
    <n v="0"/>
    <n v="0"/>
    <n v="0"/>
    <n v="75940"/>
    <n v="7597229.5003800001"/>
    <s v="EPER"/>
    <n v="7414000005"/>
  </r>
  <r>
    <x v="47"/>
    <s v="ALMACENADORA SUR SA DE CV ORG. AUX. DEL CDTO.(RESERVA DE CONTINGENCIA)"/>
    <x v="66"/>
    <s v="NORMAL"/>
    <s v="MXN"/>
    <n v="0"/>
    <n v="0"/>
    <n v="4492036.28"/>
    <n v="0"/>
    <n v="0"/>
    <n v="0"/>
    <n v="0"/>
    <n v="0"/>
    <n v="0"/>
    <n v="0"/>
    <n v="4492036.28"/>
    <s v="EPER"/>
    <n v="7414000005"/>
  </r>
  <r>
    <x v="48"/>
    <s v="PRAXAIR MEXICO S DE RL DE CV"/>
    <x v="28"/>
    <s v="NORMAL"/>
    <s v="MXN"/>
    <n v="0"/>
    <n v="0"/>
    <n v="0"/>
    <n v="0"/>
    <n v="0"/>
    <n v="0"/>
    <n v="0"/>
    <n v="0"/>
    <n v="0"/>
    <n v="0"/>
    <n v="0"/>
    <s v="EPER"/>
    <n v="7414000005"/>
  </r>
  <r>
    <x v="48"/>
    <s v="PRAXAIR MEXICO S DE RL DE CV"/>
    <x v="30"/>
    <s v="NORMAL"/>
    <s v="MXN"/>
    <n v="0"/>
    <n v="88.698122999999995"/>
    <n v="0"/>
    <n v="0"/>
    <n v="24807.903617"/>
    <n v="0"/>
    <n v="0"/>
    <n v="0"/>
    <n v="0"/>
    <n v="0"/>
    <n v="0"/>
    <s v="EPER"/>
    <n v="7414000005"/>
  </r>
  <r>
    <x v="48"/>
    <s v="PRAXAIR MEXICO S DE RL DE CV"/>
    <x v="51"/>
    <s v="NORMAL"/>
    <s v="MXN"/>
    <n v="0"/>
    <n v="0"/>
    <n v="0"/>
    <n v="0"/>
    <n v="0"/>
    <n v="0"/>
    <n v="0"/>
    <n v="0"/>
    <n v="0"/>
    <n v="0"/>
    <n v="0"/>
    <s v="EPER"/>
    <n v="7414000005"/>
  </r>
  <r>
    <x v="48"/>
    <s v="PRAXAIR MEXICO S DE RL DE CV"/>
    <x v="53"/>
    <s v="NORMAL"/>
    <s v="MXN"/>
    <n v="0"/>
    <n v="0"/>
    <n v="0"/>
    <n v="0"/>
    <n v="0"/>
    <n v="0"/>
    <n v="0"/>
    <n v="0"/>
    <n v="0"/>
    <n v="0"/>
    <n v="0"/>
    <s v="EPER"/>
    <n v="7414000005"/>
  </r>
  <r>
    <x v="49"/>
    <s v="BREMBO MEXICO SA DE CV FONDO DE AHORRO"/>
    <x v="129"/>
    <s v="NORMAL"/>
    <s v="MXN"/>
    <n v="10262296"/>
    <n v="3.137273"/>
    <n v="32195624.158808"/>
    <n v="3.0983933078913335"/>
    <n v="398994.90880799998"/>
    <n v="0"/>
    <n v="0"/>
    <n v="0"/>
    <n v="0"/>
    <n v="10262296"/>
    <n v="32195624.158808"/>
    <s v="EPER"/>
    <n v="7414000005"/>
  </r>
  <r>
    <x v="50"/>
    <s v="OPERADORA TURISTICA HOTELERA SA DE CV (FONDO DE AHORRO"/>
    <x v="90"/>
    <s v="NORMAL"/>
    <s v="MXN"/>
    <n v="7751406"/>
    <n v="3.4005040000000002"/>
    <n v="26358687.108624"/>
    <n v="3.3514449159288007"/>
    <n v="380276.878624"/>
    <n v="0"/>
    <n v="0"/>
    <n v="0"/>
    <n v="0"/>
    <n v="7751406"/>
    <n v="26358687.108624"/>
    <s v="EPER"/>
    <n v="7414000005"/>
  </r>
  <r>
    <x v="51"/>
    <s v="SEGUROS EL POTOSI,S.A.FDO.PENS.APOR.EMPL"/>
    <x v="0"/>
    <s v="NORMAL"/>
    <s v="MXN"/>
    <n v="11517763"/>
    <n v="3.3967719999999999"/>
    <n v="39123214.861036003"/>
    <n v="2.6670145930247044"/>
    <n v="8405172.8610360008"/>
    <n v="0"/>
    <n v="0"/>
    <n v="0"/>
    <n v="0"/>
    <n v="11517763"/>
    <n v="39123214.861036003"/>
    <s v="EPER"/>
    <n v="7414000005"/>
  </r>
  <r>
    <x v="52"/>
    <s v="SEGUROS EL POTOSI,S.A.FDO.DE PENSIONES CONTRIBUCION DEFINIDA"/>
    <x v="0"/>
    <s v="NORMAL"/>
    <s v="MXN"/>
    <n v="8864858"/>
    <n v="3.3967719999999999"/>
    <n v="30111901.438375998"/>
    <n v="2.6494372972471751"/>
    <n v="6625016.0183760002"/>
    <n v="0"/>
    <n v="0"/>
    <n v="0"/>
    <n v="0"/>
    <n v="8864858"/>
    <n v="30111901.438375998"/>
    <s v="EPER"/>
    <n v="7414000005"/>
  </r>
  <r>
    <x v="53"/>
    <s v="SAINT GOBAIN AMERICA SA DE CV"/>
    <x v="90"/>
    <s v="NORMAL"/>
    <s v="MXN"/>
    <n v="1317319"/>
    <n v="3.4005040000000002"/>
    <n v="4479548.5287760003"/>
    <n v="3.3565880018431375"/>
    <n v="57851.378775999998"/>
    <n v="0"/>
    <n v="0"/>
    <n v="0"/>
    <n v="0"/>
    <n v="1317319"/>
    <n v="4479548.5287760003"/>
    <s v="EPER"/>
    <n v="7414000005"/>
  </r>
  <r>
    <x v="54"/>
    <s v="SAINT GOBAIN AMERICA SA DE CV"/>
    <x v="90"/>
    <s v="NORMAL"/>
    <s v="MXN"/>
    <n v="1154409"/>
    <n v="3.4005040000000002"/>
    <n v="3925572.4221359999"/>
    <n v="3.3594489647949728"/>
    <n v="47394.302135999998"/>
    <n v="0"/>
    <n v="0"/>
    <n v="0"/>
    <n v="0"/>
    <n v="1154409"/>
    <n v="3925572.4221359999"/>
    <s v="EPER"/>
    <n v="7414000005"/>
  </r>
  <r>
    <x v="55"/>
    <s v="SAINT GOBAIN MEXICO, S.A. DE C.V."/>
    <x v="90"/>
    <s v="NORMAL"/>
    <s v="MXN"/>
    <n v="4543958"/>
    <n v="3.4005040000000002"/>
    <n v="15451747.354831999"/>
    <n v="3.3481034617837575"/>
    <n v="238105.844832"/>
    <n v="0"/>
    <n v="0"/>
    <n v="0"/>
    <n v="0"/>
    <n v="4543958"/>
    <n v="15451747.354831999"/>
    <s v="EPER"/>
    <n v="7414000005"/>
  </r>
  <r>
    <x v="56"/>
    <s v="SAINT GOBAIN MEXICO, S.A. DE C.V."/>
    <x v="90"/>
    <s v="NORMAL"/>
    <s v="MXN"/>
    <n v="12948845"/>
    <n v="3.4005040000000002"/>
    <n v="44032599.217880003"/>
    <n v="3.3493369285059789"/>
    <n v="662554.47788000002"/>
    <n v="0"/>
    <n v="0"/>
    <n v="0"/>
    <n v="0"/>
    <n v="12948845"/>
    <n v="44032599.217880003"/>
    <s v="EPER"/>
    <n v="7414000005"/>
  </r>
  <r>
    <x v="57"/>
    <s v="SAINT-GOBAIN GYPSUM OPERADORA SA DE CV"/>
    <x v="90"/>
    <s v="NORMAL"/>
    <s v="MXN"/>
    <n v="241684"/>
    <n v="3.4005040000000002"/>
    <n v="821847.40873599995"/>
    <n v="3.3571302610019695"/>
    <n v="10482.738735999999"/>
    <n v="0"/>
    <n v="0"/>
    <n v="0"/>
    <n v="0"/>
    <n v="241684"/>
    <n v="821847.40873599995"/>
    <s v="EPER"/>
    <n v="7414000005"/>
  </r>
  <r>
    <x v="58"/>
    <s v="SAINT GOBAIN ABRASIVOS SA DE CV (FDO DE AHORRO EMPLEADOS)"/>
    <x v="90"/>
    <s v="NORMAL"/>
    <s v="MXN"/>
    <n v="868633"/>
    <n v="3.4005040000000002"/>
    <n v="2953789.9910320002"/>
    <n v="3.3584008436244077"/>
    <n v="36572.191032000002"/>
    <n v="0"/>
    <n v="0"/>
    <n v="0"/>
    <n v="0"/>
    <n v="868633"/>
    <n v="2953789.9910320002"/>
    <s v="EPER"/>
    <n v="7414000005"/>
  </r>
  <r>
    <x v="59"/>
    <s v="SAINT GOBAIN ABRASIVOS SA DE CV (FDO AHORRO SINDICAL)"/>
    <x v="90"/>
    <s v="NORMAL"/>
    <s v="MXN"/>
    <n v="1019962"/>
    <n v="3.4005040000000002"/>
    <n v="3468384.8608479998"/>
    <n v="3.3567408687774645"/>
    <n v="44636.730847999999"/>
    <n v="0"/>
    <n v="0"/>
    <n v="0"/>
    <n v="0"/>
    <n v="1019962"/>
    <n v="3468384.8608479998"/>
    <s v="EPER"/>
    <n v="7414000005"/>
  </r>
  <r>
    <x v="60"/>
    <s v="AHORRO EMPLEADOS)                                 SAINT GOBAIN SOPORTE"/>
    <x v="90"/>
    <s v="NORMAL"/>
    <s v="MXN"/>
    <n v="1029558"/>
    <n v="3.4005040000000002"/>
    <n v="3501016.097232"/>
    <n v="3.3556851386711579"/>
    <n v="46143.617231999997"/>
    <n v="0"/>
    <n v="0"/>
    <n v="0"/>
    <n v="0"/>
    <n v="1029558"/>
    <n v="3501016.097232"/>
    <s v="EPER"/>
    <n v="7414000005"/>
  </r>
  <r>
    <x v="61"/>
    <s v="SAINT GOBAIN AMERICA, S.A. DE C.V."/>
    <x v="90"/>
    <s v="NORMAL"/>
    <s v="MXN"/>
    <n v="390490"/>
    <n v="3.4005040000000002"/>
    <n v="1327862.80696"/>
    <n v="3.3555681835642397"/>
    <n v="17546.986959999998"/>
    <n v="0"/>
    <n v="0"/>
    <n v="0"/>
    <n v="0"/>
    <n v="390490"/>
    <n v="1327862.80696"/>
    <s v="EPER"/>
    <n v="7414000005"/>
  </r>
  <r>
    <x v="62"/>
    <s v="SAINT GOBAIN AMERICA, S.A. DE C.V."/>
    <x v="90"/>
    <s v="NORMAL"/>
    <s v="MXN"/>
    <n v="675518"/>
    <n v="3.4005040000000002"/>
    <n v="2297101.6610719999"/>
    <n v="3.3490924594163296"/>
    <n v="34729.421071999997"/>
    <n v="0"/>
    <n v="0"/>
    <n v="0"/>
    <n v="0"/>
    <n v="675518"/>
    <n v="2297101.6610719999"/>
    <s v="EPER"/>
    <n v="7414000005"/>
  </r>
  <r>
    <x v="63"/>
    <s v="SKANDIA LIFE, S.A. DE C.V POR CUENTA DEL FID 331-06 DEUDA"/>
    <x v="0"/>
    <s v="NORMAL"/>
    <s v="MXN"/>
    <n v="35609687"/>
    <n v="3.3967719999999999"/>
    <n v="120957987.73036399"/>
    <n v="2.6806274657791853"/>
    <n v="25501682.710363999"/>
    <n v="0"/>
    <n v="0"/>
    <n v="0"/>
    <n v="0"/>
    <n v="35609687"/>
    <n v="120957987.73036399"/>
    <s v="EPER"/>
    <n v="7414000005"/>
  </r>
  <r>
    <x v="63"/>
    <s v="SKANDIA LIFE, S.A. DE C.V POR CUENTA DEL FID 331-06 DEUDA"/>
    <x v="64"/>
    <s v="NORMAL"/>
    <s v="MXN"/>
    <n v="31675440"/>
    <n v="2.7668819999999998"/>
    <n v="87642204.778080001"/>
    <n v="2.2099139999318083"/>
    <n v="17642206.468079999"/>
    <n v="0"/>
    <n v="0"/>
    <n v="0"/>
    <n v="0"/>
    <n v="31675440"/>
    <n v="87642204.778080001"/>
    <s v="EPER"/>
    <n v="7414000005"/>
  </r>
  <r>
    <x v="64"/>
    <s v="SKANDIA LIFE, S.A. DE C.V. POR CUENTA DEL FID 331-06 RV"/>
    <x v="49"/>
    <s v="NORMAL"/>
    <s v="MXN"/>
    <n v="0"/>
    <n v="0"/>
    <n v="0"/>
    <n v="0"/>
    <n v="0"/>
    <n v="0"/>
    <n v="0"/>
    <n v="0"/>
    <n v="0"/>
    <n v="0"/>
    <n v="0"/>
    <s v="EPER"/>
    <n v="7414000005"/>
  </r>
  <r>
    <x v="64"/>
    <s v="SKANDIA LIFE, S.A. DE C.V. POR CUENTA DEL FID 331-06 RV"/>
    <x v="130"/>
    <s v="NORMAL"/>
    <s v="MXN"/>
    <n v="4360000"/>
    <n v="4.5848760000000004"/>
    <n v="19990059.359999999"/>
    <n v="3.3497185756880734"/>
    <n v="5385286.3700000001"/>
    <n v="0"/>
    <n v="0"/>
    <n v="0"/>
    <n v="0"/>
    <n v="4360000"/>
    <n v="19990059.359999999"/>
    <s v="EPER"/>
    <n v="7414000005"/>
  </r>
  <r>
    <x v="64"/>
    <s v="SKANDIA LIFE, S.A. DE C.V. POR CUENTA DEL FID 331-06 RV"/>
    <x v="0"/>
    <s v="NORMAL"/>
    <s v="MXN"/>
    <n v="236719"/>
    <n v="3.3967719999999999"/>
    <n v="804080.47106799996"/>
    <n v="3.1173174100938241"/>
    <n v="66152.211068000004"/>
    <n v="0"/>
    <n v="0"/>
    <n v="0"/>
    <n v="0"/>
    <n v="236719"/>
    <n v="804080.47106799996"/>
    <s v="EPER"/>
    <n v="7414000005"/>
  </r>
  <r>
    <x v="64"/>
    <s v="SKANDIA LIFE, S.A. DE C.V. POR CUENTA DEL FID 331-06 RV"/>
    <x v="62"/>
    <s v="NORMAL"/>
    <s v="MXN"/>
    <n v="0"/>
    <n v="0"/>
    <n v="0"/>
    <n v="0"/>
    <n v="0"/>
    <n v="0"/>
    <n v="0"/>
    <n v="0"/>
    <n v="0"/>
    <n v="0"/>
    <n v="0"/>
    <s v="EPER"/>
    <n v="7414000005"/>
  </r>
  <r>
    <x v="65"/>
    <s v="BRINKS SERVICIOS ADMINISTRATIVOS SA DE CV (PLAN PENSIONES)"/>
    <x v="0"/>
    <s v="NORMAL"/>
    <s v="MXN"/>
    <n v="4677092"/>
    <n v="3.3967719999999999"/>
    <n v="15887015.147024"/>
    <n v="2.5202768814468479"/>
    <n v="4099448.3070240002"/>
    <n v="0"/>
    <n v="0"/>
    <n v="0"/>
    <n v="0"/>
    <n v="4677092"/>
    <n v="15887015.147024"/>
    <s v="EPER"/>
    <n v="7414000005"/>
  </r>
  <r>
    <x v="66"/>
    <s v="SANTANDER SERVICIOS CORPORATIVOS SA DE CV (PLAN DE PENSIONES)"/>
    <x v="75"/>
    <s v="NORMAL"/>
    <s v="MXN"/>
    <n v="979"/>
    <n v="3.612981"/>
    <n v="3537.1083990000002"/>
    <n v="3.5593973442288047"/>
    <n v="52.458399"/>
    <n v="0"/>
    <n v="0"/>
    <n v="0"/>
    <n v="0"/>
    <n v="979"/>
    <n v="3537.1083990000002"/>
    <s v="EPER"/>
    <n v="7414000005"/>
  </r>
  <r>
    <x v="66"/>
    <s v="SANTANDER SERVICIOS CORPORATIVOS SA DE CV (PLAN DE PENSIONES)"/>
    <x v="76"/>
    <s v="NORMAL"/>
    <s v="MXN"/>
    <n v="1075"/>
    <n v="137.04691399999999"/>
    <n v="147325.43255"/>
    <n v="107.35305116279069"/>
    <n v="31920.902549999999"/>
    <n v="0"/>
    <n v="0"/>
    <n v="0"/>
    <n v="0"/>
    <n v="1075"/>
    <n v="147325.43255"/>
    <s v="EPER"/>
    <n v="7414000005"/>
  </r>
  <r>
    <x v="66"/>
    <s v="SANTANDER SERVICIOS CORPORATIVOS SA DE CV (PLAN DE PENSIONES)"/>
    <x v="77"/>
    <s v="NORMAL"/>
    <s v="MXN"/>
    <n v="274107"/>
    <n v="3.6364960000000002"/>
    <n v="996789.00907200004"/>
    <n v="2.856887383394076"/>
    <n v="213696.179072"/>
    <n v="0"/>
    <n v="0"/>
    <n v="0"/>
    <n v="0"/>
    <n v="274107"/>
    <n v="996789.00907200004"/>
    <s v="EPER"/>
    <n v="7414000005"/>
  </r>
  <r>
    <x v="66"/>
    <s v="SANTANDER SERVICIOS CORPORATIVOS SA DE CV (PLAN DE PENSIONES)"/>
    <x v="78"/>
    <s v="NORMAL"/>
    <s v="MXN"/>
    <n v="5899"/>
    <n v="2.1315040000000001"/>
    <n v="12573.742096"/>
    <n v="1.8567265638243771"/>
    <n v="1620.912096"/>
    <n v="0"/>
    <n v="0"/>
    <n v="0"/>
    <n v="0"/>
    <n v="5899"/>
    <n v="12573.742096"/>
    <s v="EPER"/>
    <n v="7414000005"/>
  </r>
  <r>
    <x v="66"/>
    <s v="SANTANDER SERVICIOS CORPORATIVOS SA DE CV (PLAN DE PENSIONES)"/>
    <x v="79"/>
    <s v="NORMAL"/>
    <s v="MXN"/>
    <n v="61"/>
    <n v="2.8149250000000001"/>
    <n v="171.71042499999999"/>
    <n v="2.4988524590163936"/>
    <n v="19.280425000000001"/>
    <n v="0"/>
    <n v="0"/>
    <n v="0"/>
    <n v="0"/>
    <n v="61"/>
    <n v="171.71042499999999"/>
    <s v="EPER"/>
    <n v="7414000005"/>
  </r>
  <r>
    <x v="67"/>
    <s v="SANTANDER SERVICIOS CORPORATIVOS SA DE CV (CAJA DE AHORRO)"/>
    <x v="75"/>
    <s v="NORMAL"/>
    <s v="MXN"/>
    <n v="1190"/>
    <n v="3.612981"/>
    <n v="4299.4473900000003"/>
    <n v="3.5593949579831934"/>
    <n v="63.767389999999999"/>
    <n v="0"/>
    <n v="0"/>
    <n v="0"/>
    <n v="0"/>
    <n v="1190"/>
    <n v="4299.4473900000003"/>
    <s v="EPER"/>
    <n v="7414000005"/>
  </r>
  <r>
    <x v="67"/>
    <s v="SANTANDER SERVICIOS CORPORATIVOS SA DE CV (CAJA DE AHORRO)"/>
    <x v="76"/>
    <s v="NORMAL"/>
    <s v="MXN"/>
    <n v="177"/>
    <n v="137.04691399999999"/>
    <n v="24257.303778000001"/>
    <n v="110.09305084745763"/>
    <n v="4770.8337780000002"/>
    <n v="0"/>
    <n v="0"/>
    <n v="0"/>
    <n v="0"/>
    <n v="177"/>
    <n v="24257.303778000001"/>
    <s v="EPER"/>
    <n v="7414000005"/>
  </r>
  <r>
    <x v="67"/>
    <s v="SANTANDER SERVICIOS CORPORATIVOS SA DE CV (CAJA DE AHORRO)"/>
    <x v="77"/>
    <s v="NORMAL"/>
    <s v="MXN"/>
    <n v="5490"/>
    <n v="3.6364960000000002"/>
    <n v="19964.36304"/>
    <n v="2.9915264116575591"/>
    <n v="3540.8830400000002"/>
    <n v="0"/>
    <n v="0"/>
    <n v="0"/>
    <n v="0"/>
    <n v="5490"/>
    <n v="19964.36304"/>
    <s v="EPER"/>
    <n v="7414000005"/>
  </r>
  <r>
    <x v="67"/>
    <s v="SANTANDER SERVICIOS CORPORATIVOS SA DE CV (CAJA DE AHORRO)"/>
    <x v="78"/>
    <s v="NORMAL"/>
    <s v="MXN"/>
    <n v="170"/>
    <n v="2.1315040000000001"/>
    <n v="362.35568000000001"/>
    <n v="1.9186470588235294"/>
    <n v="36.185679999999998"/>
    <n v="0"/>
    <n v="0"/>
    <n v="0"/>
    <n v="0"/>
    <n v="170"/>
    <n v="362.35568000000001"/>
    <s v="EPER"/>
    <n v="7414000005"/>
  </r>
  <r>
    <x v="67"/>
    <s v="SANTANDER SERVICIOS CORPORATIVOS SA DE CV (CAJA DE AHORRO)"/>
    <x v="79"/>
    <s v="NORMAL"/>
    <s v="MXN"/>
    <n v="30"/>
    <n v="2.8149250000000001"/>
    <n v="84.447749999999999"/>
    <n v="2.4986666666666668"/>
    <n v="9.4877500000000001"/>
    <n v="0"/>
    <n v="0"/>
    <n v="0"/>
    <n v="0"/>
    <n v="30"/>
    <n v="84.447749999999999"/>
    <s v="EPER"/>
    <n v="7414000005"/>
  </r>
  <r>
    <x v="68"/>
    <s v="SANTANDER INCLUSION FINANCIERA SA DE CV SOFOM ER GFSM (PLAN PENSIONES)"/>
    <x v="75"/>
    <s v="NORMAL"/>
    <s v="MXN"/>
    <n v="2928"/>
    <n v="3.612981"/>
    <n v="10578.808368"/>
    <n v="3.6023736338797816"/>
    <n v="31.058368000000002"/>
    <n v="0"/>
    <n v="0"/>
    <n v="0"/>
    <n v="0"/>
    <n v="2928"/>
    <n v="10578.808368"/>
    <s v="EPER"/>
    <n v="7414000005"/>
  </r>
  <r>
    <x v="68"/>
    <s v="SANTANDER INCLUSION FINANCIERA SA DE CV SOFOM ER GFSM (PLAN PENSIONES)"/>
    <x v="76"/>
    <s v="NORMAL"/>
    <s v="MXN"/>
    <n v="10753"/>
    <n v="137.04691399999999"/>
    <n v="1473665.466242"/>
    <n v="116.48645122291454"/>
    <n v="221086.656242"/>
    <n v="0"/>
    <n v="0"/>
    <n v="0"/>
    <n v="0"/>
    <n v="10753"/>
    <n v="1473665.466242"/>
    <s v="EPER"/>
    <n v="7414000005"/>
  </r>
  <r>
    <x v="68"/>
    <s v="SANTANDER INCLUSION FINANCIERA SA DE CV SOFOM ER GFSM (PLAN PENSIONES)"/>
    <x v="77"/>
    <s v="NORMAL"/>
    <s v="MXN"/>
    <n v="897677"/>
    <n v="3.6364960000000002"/>
    <n v="3264398.8197920001"/>
    <n v="3.1673742894159034"/>
    <n v="421119.76979200001"/>
    <n v="0"/>
    <n v="0"/>
    <n v="0"/>
    <n v="0"/>
    <n v="897677"/>
    <n v="3264398.8197920001"/>
    <s v="EPER"/>
    <n v="7414000005"/>
  </r>
  <r>
    <x v="68"/>
    <s v="SANTANDER INCLUSION FINANCIERA SA DE CV SOFOM ER GFSM (PLAN PENSIONES)"/>
    <x v="78"/>
    <s v="NORMAL"/>
    <s v="MXN"/>
    <n v="725104"/>
    <n v="2.1315040000000001"/>
    <n v="1545562.076416"/>
    <n v="1.8692148850371808"/>
    <n v="190186.88641599999"/>
    <n v="0"/>
    <n v="0"/>
    <n v="0"/>
    <n v="0"/>
    <n v="725104"/>
    <n v="1545562.076416"/>
    <s v="EPER"/>
    <n v="7414000005"/>
  </r>
  <r>
    <x v="68"/>
    <s v="SANTANDER INCLUSION FINANCIERA SA DE CV SOFOM ER GFSM (PLAN PENSIONES)"/>
    <x v="79"/>
    <s v="NORMAL"/>
    <s v="MXN"/>
    <n v="127793"/>
    <n v="2.8149250000000001"/>
    <n v="359727.710525"/>
    <n v="2.4047260022066936"/>
    <n v="52420.560525000001"/>
    <n v="0"/>
    <n v="0"/>
    <n v="0"/>
    <n v="0"/>
    <n v="127793"/>
    <n v="359727.710525"/>
    <s v="EPER"/>
    <n v="7414000005"/>
  </r>
  <r>
    <x v="69"/>
    <s v="SANTANDER INCLUSION FINANCIERA SA DE CV SOFOM ER GFSM (CAJA DE AHORRO)"/>
    <x v="75"/>
    <s v="NORMAL"/>
    <s v="MXN"/>
    <n v="2640"/>
    <n v="3.612981"/>
    <n v="9538.2698400000008"/>
    <n v="3.6023749999999999"/>
    <n v="27.999839999999999"/>
    <n v="0"/>
    <n v="0"/>
    <n v="0"/>
    <n v="0"/>
    <n v="2640"/>
    <n v="9538.2698400000008"/>
    <s v="EPER"/>
    <n v="7414000005"/>
  </r>
  <r>
    <x v="69"/>
    <s v="SANTANDER INCLUSION FINANCIERA SA DE CV SOFOM ER GFSM (CAJA DE AHORRO)"/>
    <x v="76"/>
    <s v="NORMAL"/>
    <s v="MXN"/>
    <n v="4715"/>
    <n v="137.04691399999999"/>
    <n v="646176.19950999995"/>
    <n v="116.81279957582184"/>
    <n v="95403.84951"/>
    <n v="0"/>
    <n v="0"/>
    <n v="0"/>
    <n v="0"/>
    <n v="4715"/>
    <n v="646176.19950999995"/>
    <s v="EPER"/>
    <n v="7414000005"/>
  </r>
  <r>
    <x v="69"/>
    <s v="SANTANDER INCLUSION FINANCIERA SA DE CV SOFOM ER GFSM (CAJA DE AHORRO)"/>
    <x v="77"/>
    <s v="NORMAL"/>
    <s v="MXN"/>
    <n v="411734"/>
    <n v="3.6364960000000002"/>
    <n v="1497269.044064"/>
    <n v="3.1586666877158556"/>
    <n v="196738.57406399999"/>
    <n v="0"/>
    <n v="0"/>
    <n v="0"/>
    <n v="0"/>
    <n v="411734"/>
    <n v="1497269.044064"/>
    <s v="EPER"/>
    <n v="7414000005"/>
  </r>
  <r>
    <x v="69"/>
    <s v="SANTANDER INCLUSION FINANCIERA SA DE CV SOFOM ER GFSM (CAJA DE AHORRO)"/>
    <x v="78"/>
    <s v="NORMAL"/>
    <s v="MXN"/>
    <n v="346839"/>
    <n v="2.1315040000000001"/>
    <n v="739288.71585599997"/>
    <n v="1.8637506739438183"/>
    <n v="92867.295855999997"/>
    <n v="0"/>
    <n v="0"/>
    <n v="0"/>
    <n v="0"/>
    <n v="346839"/>
    <n v="739288.71585599997"/>
    <s v="EPER"/>
    <n v="7414000005"/>
  </r>
  <r>
    <x v="69"/>
    <s v="SANTANDER INCLUSION FINANCIERA SA DE CV SOFOM ER GFSM (CAJA DE AHORRO)"/>
    <x v="79"/>
    <s v="NORMAL"/>
    <s v="MXN"/>
    <n v="58183"/>
    <n v="2.8149250000000001"/>
    <n v="163780.78127499999"/>
    <n v="2.375041335097881"/>
    <n v="25593.751274999999"/>
    <n v="0"/>
    <n v="0"/>
    <n v="0"/>
    <n v="0"/>
    <n v="58183"/>
    <n v="163780.78127499999"/>
    <s v="EPER"/>
    <n v="7414000005"/>
  </r>
  <r>
    <x v="70"/>
    <s v="ENVASADORAS DE AGUAS EN MEXICO S DE RL DE CV"/>
    <x v="0"/>
    <s v="NORMAL"/>
    <s v="MXN"/>
    <n v="2826981"/>
    <n v="3.3967719999999999"/>
    <n v="9602609.9053320009"/>
    <n v="2.9255299593453228"/>
    <n v="1332192.2953319999"/>
    <n v="0"/>
    <n v="0"/>
    <n v="0"/>
    <n v="0"/>
    <n v="2826981"/>
    <n v="9602609.9053320009"/>
    <s v="EPER"/>
    <n v="7414000005"/>
  </r>
  <r>
    <x v="70"/>
    <s v="ENVASADORAS DE AGUAS EN MEXICO S DE RL DE CV"/>
    <x v="80"/>
    <s v="NORMAL"/>
    <s v="MXN"/>
    <n v="165432"/>
    <n v="3.8832339999999999"/>
    <n v="642411.16708799999"/>
    <n v="2.7905551525702403"/>
    <n v="180764.04708799999"/>
    <n v="0"/>
    <n v="0"/>
    <n v="0"/>
    <n v="0"/>
    <n v="165432"/>
    <n v="642411.16708799999"/>
    <s v="EPER"/>
    <n v="7414000005"/>
  </r>
  <r>
    <x v="70"/>
    <s v="ENVASADORAS DE AGUAS EN MEXICO S DE RL DE CV"/>
    <x v="64"/>
    <s v="NORMAL"/>
    <s v="MXN"/>
    <n v="502227"/>
    <n v="2.7668819999999998"/>
    <n v="1389602.8462139999"/>
    <n v="2.3501810137646921"/>
    <n v="209278.486214"/>
    <n v="0"/>
    <n v="0"/>
    <n v="0"/>
    <n v="0"/>
    <n v="502227"/>
    <n v="1389602.8462139999"/>
    <s v="EPER"/>
    <n v="7414000005"/>
  </r>
  <r>
    <x v="71"/>
    <s v="ENVASABON S DE RL DE CV"/>
    <x v="0"/>
    <s v="NORMAL"/>
    <s v="MXN"/>
    <n v="217"/>
    <n v="3.3967719999999999"/>
    <n v="737.09952399999997"/>
    <n v="2.9725806451612904"/>
    <n v="92.049524000000005"/>
    <n v="0"/>
    <n v="0"/>
    <n v="0"/>
    <n v="0"/>
    <n v="217"/>
    <n v="737.09952399999997"/>
    <s v="EPER"/>
    <n v="7414000005"/>
  </r>
  <r>
    <x v="72"/>
    <s v="ASOCIACION MEXICANA DE INSTITUCIONES BURSATILES  AC FDO DE AHORRO"/>
    <x v="90"/>
    <s v="NORMAL"/>
    <s v="MXN"/>
    <n v="955400"/>
    <n v="3.4005040000000002"/>
    <n v="3248841.5216000001"/>
    <n v="3.3469836612936992"/>
    <n v="51133.331599999998"/>
    <n v="0"/>
    <n v="0"/>
    <n v="0"/>
    <n v="0"/>
    <n v="955400"/>
    <n v="3248841.5216000001"/>
    <s v="EPER"/>
    <n v="7414000005"/>
  </r>
  <r>
    <x v="73"/>
    <s v="ARJEA, S.C"/>
    <x v="8"/>
    <s v="NORMAL"/>
    <s v="MXN"/>
    <n v="2050"/>
    <n v="9802.1143969999994"/>
    <n v="20094334.51385"/>
    <n v="9982.2999999999993"/>
    <n v="-369380.48615000001"/>
    <n v="0"/>
    <n v="0"/>
    <n v="0"/>
    <n v="0"/>
    <n v="2050"/>
    <n v="20094334.51385"/>
    <s v="EPER"/>
    <n v="7414000005"/>
  </r>
  <r>
    <x v="73"/>
    <s v="ARJEA, S.C"/>
    <x v="9"/>
    <s v="NORMAL"/>
    <s v="MXN"/>
    <n v="782"/>
    <n v="9469.6491050000004"/>
    <n v="7405265.60011"/>
    <n v="9977.4"/>
    <n v="-397061.19988999999"/>
    <n v="0"/>
    <n v="0"/>
    <n v="0"/>
    <n v="0"/>
    <n v="782"/>
    <n v="7405265.60011"/>
    <s v="EPER"/>
    <n v="7414000005"/>
  </r>
  <r>
    <x v="73"/>
    <s v="ARJEA, S.C"/>
    <x v="13"/>
    <s v="NORMAL"/>
    <s v="MXN"/>
    <n v="266570"/>
    <n v="100.000484"/>
    <n v="26657129.019880001"/>
    <n v="100"/>
    <n v="129.01988"/>
    <n v="0"/>
    <n v="0"/>
    <n v="0"/>
    <n v="0"/>
    <n v="266570"/>
    <n v="26657129.019880001"/>
    <s v="EPER"/>
    <n v="7414000005"/>
  </r>
  <r>
    <x v="73"/>
    <s v="ARJEA, S.C"/>
    <x v="85"/>
    <s v="NORMAL"/>
    <s v="MXN"/>
    <n v="101676"/>
    <n v="97.654420999999999"/>
    <n v="9929110.9095959999"/>
    <n v="99.068463857350807"/>
    <n v="-143774.22156400001"/>
    <n v="0"/>
    <n v="0"/>
    <n v="0"/>
    <n v="0"/>
    <n v="101676"/>
    <n v="9929110.9095959999"/>
    <s v="EPER"/>
    <n v="7414000005"/>
  </r>
  <r>
    <x v="73"/>
    <s v="ARJEA, S.C"/>
    <x v="120"/>
    <s v="NORMAL"/>
    <s v="MXN"/>
    <n v="54530"/>
    <n v="98.859247999999994"/>
    <n v="5390794.7934400002"/>
    <n v="100"/>
    <n v="-62205.206559999999"/>
    <n v="0"/>
    <n v="0"/>
    <n v="0"/>
    <n v="0"/>
    <n v="54530"/>
    <n v="5390794.7934400002"/>
    <s v="EPER"/>
    <n v="7414000005"/>
  </r>
  <r>
    <x v="73"/>
    <s v="ARJEA, S.C"/>
    <x v="86"/>
    <s v="NORMAL"/>
    <s v="MXN"/>
    <n v="15108920"/>
    <n v="9.4935880000000008"/>
    <n v="143437861.60495999"/>
    <n v="8.3369798263743569"/>
    <n v="17475100.366655961"/>
    <n v="0"/>
    <n v="0"/>
    <n v="0"/>
    <n v="0"/>
    <n v="15108920"/>
    <n v="143437861.60495999"/>
    <s v="EPER"/>
    <n v="7414000005"/>
  </r>
  <r>
    <x v="73"/>
    <s v="ARJEA, S.C"/>
    <x v="72"/>
    <s v="NORMAL"/>
    <s v="MXN"/>
    <n v="11054599"/>
    <n v="9.3381629999999998"/>
    <n v="103229647.361637"/>
    <n v="8.3202806739907924"/>
    <n v="11252280.94321906"/>
    <n v="0"/>
    <n v="0"/>
    <n v="0"/>
    <n v="0"/>
    <n v="11054599"/>
    <n v="103229647.361637"/>
    <s v="EPER"/>
    <n v="7414000005"/>
  </r>
  <r>
    <x v="73"/>
    <s v="ARJEA, S.C"/>
    <x v="15"/>
    <s v="NORMAL"/>
    <s v="MXN"/>
    <n v="12942630"/>
    <n v="9.190137"/>
    <n v="118944542.84031001"/>
    <n v="8.2030282957605998"/>
    <n v="12775782.72875"/>
    <n v="0"/>
    <n v="0"/>
    <n v="0"/>
    <n v="0"/>
    <n v="12942630"/>
    <n v="118944542.84031001"/>
    <s v="EPER"/>
    <n v="7414000005"/>
  </r>
  <r>
    <x v="73"/>
    <s v="ARJEA, S.C"/>
    <x v="131"/>
    <s v="NORMAL"/>
    <s v="MXN"/>
    <n v="8000000"/>
    <n v="9.1534650000000006"/>
    <n v="73227720"/>
    <n v="8.9797925000000003"/>
    <n v="1389380"/>
    <n v="0"/>
    <n v="0"/>
    <n v="0"/>
    <n v="0"/>
    <n v="8000000"/>
    <n v="73227720"/>
    <s v="EPER"/>
    <n v="7414000005"/>
  </r>
  <r>
    <x v="73"/>
    <s v="ARJEA, S.C"/>
    <x v="65"/>
    <s v="NORMAL"/>
    <s v="MXN"/>
    <n v="2500000"/>
    <n v="9.0839700000000008"/>
    <n v="22709925"/>
    <n v="8.9878796600000008"/>
    <n v="240225.85"/>
    <n v="0"/>
    <n v="0"/>
    <n v="0"/>
    <n v="0"/>
    <n v="2500000"/>
    <n v="22709925"/>
    <s v="EPER"/>
    <n v="7414000005"/>
  </r>
  <r>
    <x v="73"/>
    <s v="ARJEA, S.C"/>
    <x v="70"/>
    <s v="NORMAL"/>
    <s v="MXN"/>
    <n v="3268870"/>
    <n v="9.0112480000000001"/>
    <n v="29456598.249759998"/>
    <n v="8.9969798000000001"/>
    <n v="46640.890934000003"/>
    <n v="0"/>
    <n v="0"/>
    <n v="0"/>
    <n v="0"/>
    <n v="3268870"/>
    <n v="29456598.249759998"/>
    <s v="EPER"/>
    <n v="7414000005"/>
  </r>
  <r>
    <x v="73"/>
    <s v="ARJEA, S.C"/>
    <x v="122"/>
    <s v="NORMAL"/>
    <s v="MXN"/>
    <n v="10000000"/>
    <n v="8.5044190000000004"/>
    <n v="85044190"/>
    <n v="8.2167949300000007"/>
    <n v="2876240.7"/>
    <n v="0"/>
    <n v="0"/>
    <n v="0"/>
    <n v="0"/>
    <n v="10000000"/>
    <n v="85044190"/>
    <s v="EPER"/>
    <n v="7414000005"/>
  </r>
  <r>
    <x v="73"/>
    <s v="ARJEA, S.C"/>
    <x v="71"/>
    <s v="NORMAL"/>
    <s v="MXN"/>
    <n v="4856630"/>
    <n v="8.3813510000000004"/>
    <n v="40705120.70713"/>
    <n v="8.275682943638099"/>
    <n v="513190.65256890003"/>
    <n v="0"/>
    <n v="0"/>
    <n v="0"/>
    <n v="0"/>
    <n v="4856630"/>
    <n v="40705120.70713"/>
    <s v="EPER"/>
    <n v="7414000005"/>
  </r>
  <r>
    <x v="73"/>
    <s v="ARJEA, S.C"/>
    <x v="16"/>
    <s v="NORMAL"/>
    <s v="MXN"/>
    <n v="7591980"/>
    <n v="8.2580650000000002"/>
    <n v="62695064.318700001"/>
    <n v="8.2469711528037486"/>
    <n v="84224.266036999994"/>
    <n v="0"/>
    <n v="0"/>
    <n v="0"/>
    <n v="0"/>
    <n v="7591980"/>
    <n v="62695064.318700001"/>
    <s v="EPER"/>
    <n v="7414000005"/>
  </r>
  <r>
    <x v="73"/>
    <s v="ARJEA, S.C"/>
    <x v="66"/>
    <s v="NORMAL"/>
    <s v="MXN"/>
    <n v="0"/>
    <n v="0"/>
    <n v="54991315.159999996"/>
    <n v="0"/>
    <n v="0"/>
    <n v="0"/>
    <n v="0"/>
    <n v="0"/>
    <n v="0"/>
    <n v="0"/>
    <n v="54991315.159999996"/>
    <s v="EPER"/>
    <n v="7414000005"/>
  </r>
  <r>
    <x v="73"/>
    <s v="ARJEA, S.C"/>
    <x v="132"/>
    <s v="NORMAL"/>
    <s v="MXN"/>
    <n v="135255"/>
    <n v="97.648104000000004"/>
    <n v="13207394.30652"/>
    <n v="100"/>
    <n v="-318105.69348000002"/>
    <n v="0"/>
    <n v="0"/>
    <n v="0"/>
    <n v="0"/>
    <n v="135255"/>
    <n v="13207394.30652"/>
    <s v="EPER"/>
    <n v="7414000005"/>
  </r>
  <r>
    <x v="73"/>
    <s v="ARJEA, S.C"/>
    <x v="101"/>
    <s v="NORMAL"/>
    <s v="MXN"/>
    <n v="99180"/>
    <n v="100.020889"/>
    <n v="9920071.7710200008"/>
    <n v="100"/>
    <n v="2071.7710200000001"/>
    <n v="0"/>
    <n v="0"/>
    <n v="0"/>
    <n v="0"/>
    <n v="99180"/>
    <n v="9920071.7710200008"/>
    <s v="EPER"/>
    <n v="7414000005"/>
  </r>
  <r>
    <x v="73"/>
    <s v="ARJEA, S.C"/>
    <x v="133"/>
    <s v="NORMAL"/>
    <s v="MXN"/>
    <n v="800000"/>
    <n v="48.637891000000003"/>
    <n v="38910312.799999997"/>
    <n v="99.999944299999996"/>
    <n v="-41089642.640000001"/>
    <n v="0"/>
    <n v="0"/>
    <n v="0"/>
    <n v="0"/>
    <n v="800000"/>
    <n v="38910312.799999997"/>
    <s v="EPER"/>
    <n v="7414000005"/>
  </r>
  <r>
    <x v="73"/>
    <s v="ARJEA, S.C"/>
    <x v="33"/>
    <s v="NORMAL"/>
    <s v="MXN"/>
    <n v="1301150"/>
    <n v="94.870157000000006"/>
    <n v="123440304.78055"/>
    <n v="97.132057922654113"/>
    <n v="-2943072.3855114002"/>
    <n v="0"/>
    <n v="0"/>
    <n v="0"/>
    <n v="0"/>
    <n v="1301150"/>
    <n v="123440304.78055"/>
    <s v="EPER"/>
    <n v="7414000005"/>
  </r>
  <r>
    <x v="73"/>
    <s v="ARJEA, S.C"/>
    <x v="34"/>
    <s v="NORMAL"/>
    <s v="MXN"/>
    <n v="774901"/>
    <n v="89.489464999999996"/>
    <n v="69345475.917964995"/>
    <n v="89.484256780673675"/>
    <n v="4035.8543641900001"/>
    <n v="0"/>
    <n v="0"/>
    <n v="0"/>
    <n v="0"/>
    <n v="774901"/>
    <n v="69345475.917964995"/>
    <s v="EPER"/>
    <n v="7414000005"/>
  </r>
  <r>
    <x v="73"/>
    <s v="ARJEA, S.C"/>
    <x v="35"/>
    <s v="NORMAL"/>
    <s v="MXN"/>
    <n v="1355978"/>
    <n v="86.197128000000006"/>
    <n v="116881409.23118401"/>
    <n v="89.176239565476081"/>
    <n v="-4039609.7423311202"/>
    <n v="0"/>
    <n v="0"/>
    <n v="0"/>
    <n v="0"/>
    <n v="1355978"/>
    <n v="116881409.23118401"/>
    <s v="EPER"/>
    <n v="7414000005"/>
  </r>
  <r>
    <x v="73"/>
    <s v="ARJEA, S.C"/>
    <x v="36"/>
    <s v="NORMAL"/>
    <s v="MXN"/>
    <n v="250000"/>
    <n v="86.469353999999996"/>
    <n v="21617338.5"/>
    <n v="88.450310569999999"/>
    <n v="-495239.14250000002"/>
    <n v="0"/>
    <n v="0"/>
    <n v="0"/>
    <n v="0"/>
    <n v="250000"/>
    <n v="21617338.5"/>
    <s v="EPER"/>
    <n v="7414000005"/>
  </r>
  <r>
    <x v="73"/>
    <s v="ARJEA, S.C"/>
    <x v="68"/>
    <s v="NORMAL"/>
    <s v="MXN"/>
    <n v="308280"/>
    <n v="89.643172000000007"/>
    <n v="27635197.064160001"/>
    <n v="93.147818569999998"/>
    <n v="-1080412.4445996"/>
    <n v="0"/>
    <n v="0"/>
    <n v="0"/>
    <n v="0"/>
    <n v="308280"/>
    <n v="27635197.064160001"/>
    <s v="EPER"/>
    <n v="7414000005"/>
  </r>
  <r>
    <x v="73"/>
    <s v="ARJEA, S.C"/>
    <x v="37"/>
    <s v="NORMAL"/>
    <s v="MXN"/>
    <n v="970607"/>
    <n v="81.738860000000003"/>
    <n v="79336309.688020006"/>
    <n v="84.025447613889696"/>
    <n v="-2219377.9441546299"/>
    <n v="0"/>
    <n v="0"/>
    <n v="0"/>
    <n v="0"/>
    <n v="970607"/>
    <n v="79336309.688020006"/>
    <s v="EPER"/>
    <n v="7414000005"/>
  </r>
  <r>
    <x v="73"/>
    <s v="ARJEA, S.C"/>
    <x v="38"/>
    <s v="NORMAL"/>
    <s v="MXN"/>
    <n v="371804"/>
    <n v="83.200761"/>
    <n v="30934375.742844"/>
    <n v="86.577126219999997"/>
    <n v="-1255346.09425688"/>
    <n v="0"/>
    <n v="0"/>
    <n v="0"/>
    <n v="0"/>
    <n v="371804"/>
    <n v="30934375.742844"/>
    <s v="EPER"/>
    <n v="7414000005"/>
  </r>
  <r>
    <x v="73"/>
    <s v="ARJEA, S.C"/>
    <x v="39"/>
    <s v="NORMAL"/>
    <s v="MXN"/>
    <n v="328983"/>
    <n v="82.159907000000004"/>
    <n v="27029212.684581"/>
    <n v="85.729509070000006"/>
    <n v="-1174338.3977948099"/>
    <n v="0"/>
    <n v="0"/>
    <n v="0"/>
    <n v="0"/>
    <n v="328983"/>
    <n v="27029212.684581"/>
    <s v="EPER"/>
    <n v="7414000005"/>
  </r>
  <r>
    <x v="73"/>
    <s v="ARJEA, S.C"/>
    <x v="46"/>
    <s v="NORMAL"/>
    <s v="MXN"/>
    <n v="270000"/>
    <n v="99.999184999999997"/>
    <n v="26999779.949999999"/>
    <n v="100"/>
    <n v="-220.05"/>
    <n v="0"/>
    <n v="0"/>
    <n v="0"/>
    <n v="0"/>
    <n v="270000"/>
    <n v="26999779.949999999"/>
    <s v="EPER"/>
    <n v="7414000005"/>
  </r>
  <r>
    <x v="73"/>
    <s v="ARJEA, S.C"/>
    <x v="134"/>
    <s v="NORMAL"/>
    <s v="MXN"/>
    <n v="141115"/>
    <n v="93.257986000000002"/>
    <n v="13160100.694390001"/>
    <n v="93.540998000000002"/>
    <n v="-39937.238380000003"/>
    <n v="0"/>
    <n v="0"/>
    <n v="0"/>
    <n v="0"/>
    <n v="141115"/>
    <n v="13160100.694390001"/>
    <s v="EPER"/>
    <n v="7414000005"/>
  </r>
  <r>
    <x v="73"/>
    <s v="ARJEA, S.C"/>
    <x v="135"/>
    <s v="NORMAL"/>
    <s v="MXN"/>
    <n v="329867"/>
    <n v="96.981635999999995"/>
    <n v="31991041.322411999"/>
    <n v="100"/>
    <n v="-995658.67758799996"/>
    <n v="0"/>
    <n v="0"/>
    <n v="0"/>
    <n v="0"/>
    <n v="329867"/>
    <n v="31991041.322411999"/>
    <s v="EPER"/>
    <n v="7414000005"/>
  </r>
  <r>
    <x v="73"/>
    <s v="ARJEA, S.C"/>
    <x v="88"/>
    <s v="NORMAL"/>
    <s v="MXN"/>
    <n v="500000"/>
    <n v="98.007834000000003"/>
    <n v="49003917"/>
    <n v="99.216959520000003"/>
    <n v="-604562.76"/>
    <n v="0"/>
    <n v="0"/>
    <n v="0"/>
    <n v="0"/>
    <n v="500000"/>
    <n v="49003917"/>
    <s v="EPER"/>
    <n v="7414000005"/>
  </r>
  <r>
    <x v="73"/>
    <s v="ARJEA, S.C"/>
    <x v="136"/>
    <s v="NORMAL"/>
    <s v="MXN"/>
    <n v="111691"/>
    <n v="754.31346599999995"/>
    <n v="84250025.331006005"/>
    <n v="556.69089936"/>
    <n v="22072662.090588242"/>
    <n v="0"/>
    <n v="0"/>
    <n v="0"/>
    <n v="0"/>
    <n v="111691"/>
    <n v="84250025.331006005"/>
    <s v="EPER"/>
    <n v="7414000005"/>
  </r>
  <r>
    <x v="73"/>
    <s v="ARJEA, S.C"/>
    <x v="137"/>
    <s v="NORMAL"/>
    <s v="MXN"/>
    <n v="0"/>
    <n v="0"/>
    <n v="0"/>
    <n v="0"/>
    <n v="0"/>
    <n v="0"/>
    <n v="0"/>
    <n v="0"/>
    <n v="0"/>
    <n v="0"/>
    <n v="0"/>
    <s v="EPER"/>
    <n v="7414000005"/>
  </r>
  <r>
    <x v="73"/>
    <s v="ARJEA, S.C"/>
    <x v="138"/>
    <s v="NORMAL"/>
    <s v="MXN"/>
    <n v="67963873"/>
    <n v="0.985877"/>
    <n v="67004019.221620999"/>
    <n v="0.86428399997157312"/>
    <n v="8263931.2116210004"/>
    <n v="0"/>
    <n v="0"/>
    <n v="0"/>
    <n v="0"/>
    <n v="67963873"/>
    <n v="67004019.221620999"/>
    <s v="EPER"/>
    <n v="7414000005"/>
  </r>
  <r>
    <x v="73"/>
    <s v="ARJEA, S.C"/>
    <x v="49"/>
    <s v="NORMAL"/>
    <s v="MXN"/>
    <n v="0"/>
    <n v="0"/>
    <n v="0"/>
    <n v="0"/>
    <n v="0"/>
    <n v="0"/>
    <n v="0"/>
    <n v="0"/>
    <n v="0"/>
    <n v="0"/>
    <n v="0"/>
    <s v="EPER"/>
    <n v="7414000005"/>
  </r>
  <r>
    <x v="73"/>
    <s v="ARJEA, S.C"/>
    <x v="139"/>
    <s v="NORMAL"/>
    <s v="MXN"/>
    <n v="77169979"/>
    <n v="3.6931539999999998"/>
    <n v="285000616.62376601"/>
    <n v="3.3742835966043221"/>
    <n v="24607222.333765998"/>
    <n v="0"/>
    <n v="0"/>
    <n v="0"/>
    <n v="0"/>
    <n v="77169979"/>
    <n v="285000616.62376601"/>
    <s v="EPER"/>
    <n v="7414000005"/>
  </r>
  <r>
    <x v="73"/>
    <s v="ARJEA, S.C"/>
    <x v="53"/>
    <s v="NORMAL"/>
    <s v="MXN"/>
    <n v="107401"/>
    <n v="765.92388300000005"/>
    <n v="82260990.958083004"/>
    <n v="774.55908295999996"/>
    <n v="-927429.11090395995"/>
    <n v="0"/>
    <n v="0"/>
    <n v="0"/>
    <n v="0"/>
    <n v="107401"/>
    <n v="82260990.958083004"/>
    <s v="EPER"/>
    <n v="7414000005"/>
  </r>
  <r>
    <x v="73"/>
    <s v="ARJEA, S.C"/>
    <x v="54"/>
    <s v="NORMAL"/>
    <s v="MXN"/>
    <n v="155820"/>
    <n v="684.88915799999995"/>
    <n v="106719428.59955999"/>
    <n v="678.82988460126592"/>
    <n v="944155.98099075002"/>
    <n v="0"/>
    <n v="0"/>
    <n v="0"/>
    <n v="0"/>
    <n v="155820"/>
    <n v="106719428.59955999"/>
    <s v="EPER"/>
    <n v="7414000005"/>
  </r>
  <r>
    <x v="73"/>
    <s v="ARJEA, S.C"/>
    <x v="55"/>
    <s v="NORMAL"/>
    <s v="MXN"/>
    <n v="113092"/>
    <n v="772.926965"/>
    <n v="87411856.325780004"/>
    <n v="784.86759003999998"/>
    <n v="-1350389.1670236799"/>
    <n v="0"/>
    <n v="0"/>
    <n v="0"/>
    <n v="0"/>
    <n v="113092"/>
    <n v="87411856.325780004"/>
    <s v="EPER"/>
    <n v="7414000005"/>
  </r>
  <r>
    <x v="73"/>
    <s v="ARJEA, S.C"/>
    <x v="56"/>
    <s v="NORMAL"/>
    <s v="MXN"/>
    <n v="107848"/>
    <n v="721.59464000000003"/>
    <n v="77822538.734720007"/>
    <n v="731.96325825999998"/>
    <n v="-1118234.74210448"/>
    <n v="0"/>
    <n v="0"/>
    <n v="0"/>
    <n v="0"/>
    <n v="107848"/>
    <n v="77822538.734720007"/>
    <s v="EPER"/>
    <n v="7414000005"/>
  </r>
  <r>
    <x v="73"/>
    <s v="ARJEA, S.C"/>
    <x v="57"/>
    <s v="NORMAL"/>
    <s v="MXN"/>
    <n v="52000"/>
    <n v="635.96311900000001"/>
    <n v="33070082.188000001"/>
    <n v="647.65876318000005"/>
    <n v="-608173.49736000004"/>
    <n v="0"/>
    <n v="0"/>
    <n v="0"/>
    <n v="0"/>
    <n v="52000"/>
    <n v="33070082.188000001"/>
    <s v="EPER"/>
    <n v="7414000005"/>
  </r>
  <r>
    <x v="73"/>
    <s v="ARJEA, S.C"/>
    <x v="58"/>
    <s v="NORMAL"/>
    <s v="MXN"/>
    <n v="82137"/>
    <n v="709.36974099999998"/>
    <n v="58265502.416516997"/>
    <n v="721.00412080537751"/>
    <n v="-955613.05407428998"/>
    <n v="0"/>
    <n v="0"/>
    <n v="0"/>
    <n v="0"/>
    <n v="82137"/>
    <n v="58265502.416516997"/>
    <s v="EPER"/>
    <n v="7414000005"/>
  </r>
  <r>
    <x v="73"/>
    <s v="ARJEA, S.C"/>
    <x v="59"/>
    <s v="NORMAL"/>
    <s v="MXN"/>
    <n v="138946"/>
    <n v="694.41118700000004"/>
    <n v="96485656.788902"/>
    <n v="710.43343324"/>
    <n v="-2226227.0260630399"/>
    <n v="0"/>
    <n v="0"/>
    <n v="0"/>
    <n v="0"/>
    <n v="138946"/>
    <n v="96485656.788902"/>
    <s v="EPER"/>
    <n v="7414000005"/>
  </r>
  <r>
    <x v="73"/>
    <s v="ARJEA, S.C"/>
    <x v="140"/>
    <s v="NORMAL"/>
    <s v="MXN"/>
    <n v="73776247"/>
    <n v="2.424715"/>
    <n v="178886372.744605"/>
    <n v="1.7600941960357512"/>
    <n v="49033228.594604999"/>
    <n v="0"/>
    <n v="0"/>
    <n v="0"/>
    <n v="0"/>
    <n v="73776247"/>
    <n v="178886372.744605"/>
    <s v="EPER"/>
    <n v="7414000005"/>
  </r>
  <r>
    <x v="73"/>
    <s v="ARJEA, S.C"/>
    <x v="103"/>
    <s v="NORMAL"/>
    <s v="MXN"/>
    <n v="113110"/>
    <n v="100.04252700000001"/>
    <n v="11315810.228970001"/>
    <n v="100"/>
    <n v="4810.2289700000001"/>
    <n v="0"/>
    <n v="0"/>
    <n v="0"/>
    <n v="0"/>
    <n v="113110"/>
    <n v="11315810.228970001"/>
    <s v="EPER"/>
    <n v="7414000005"/>
  </r>
  <r>
    <x v="74"/>
    <s v="SCOTIABANK INVERLAT SA FID 11041274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74"/>
    <s v="SCOTIABANK INVERLAT SA FID 11041274"/>
    <x v="0"/>
    <s v="NORMAL"/>
    <s v="MXN"/>
    <n v="1795043"/>
    <n v="3.3967719999999999"/>
    <n v="6097351.8011959996"/>
    <n v="3.3902456319987877"/>
    <n v="11715.111196"/>
    <n v="0"/>
    <n v="0"/>
    <n v="0"/>
    <n v="0"/>
    <n v="1795043"/>
    <n v="6097351.8011959996"/>
    <s v="EPER"/>
    <n v="7414000005"/>
  </r>
  <r>
    <x v="75"/>
    <s v="BANCO SANTANDER MEXICO SA FIDEICOMISO F/2460173-0"/>
    <x v="86"/>
    <s v="NORMAL"/>
    <s v="MXN"/>
    <n v="6987"/>
    <n v="9.4935880000000008"/>
    <n v="66331.699355999997"/>
    <n v="8.4405498100000003"/>
    <n v="7357.5778335300001"/>
    <n v="0"/>
    <n v="0"/>
    <n v="0"/>
    <n v="0"/>
    <n v="6987"/>
    <n v="66331.699355999997"/>
    <s v="EPER"/>
    <n v="7414000005"/>
  </r>
  <r>
    <x v="75"/>
    <s v="BANCO SANTANDER MEXICO SA FIDEICOMISO F/2460173-0"/>
    <x v="72"/>
    <s v="NORMAL"/>
    <s v="MXN"/>
    <n v="9530"/>
    <n v="9.3381629999999998"/>
    <n v="88992.69339"/>
    <n v="8.3307969100000001"/>
    <n v="9600.1988376999998"/>
    <n v="0"/>
    <n v="0"/>
    <n v="0"/>
    <n v="0"/>
    <n v="9530"/>
    <n v="88992.69339"/>
    <s v="EPER"/>
    <n v="7414000005"/>
  </r>
  <r>
    <x v="75"/>
    <s v="BANCO SANTANDER MEXICO SA FIDEICOMISO F/2460173-0"/>
    <x v="15"/>
    <s v="NORMAL"/>
    <s v="MXN"/>
    <n v="11810"/>
    <n v="9.190137"/>
    <n v="108535.51797"/>
    <n v="8.2167848896359015"/>
    <n v="11495.288423399999"/>
    <n v="0"/>
    <n v="0"/>
    <n v="0"/>
    <n v="0"/>
    <n v="11810"/>
    <n v="108535.51797"/>
    <s v="EPER"/>
    <n v="7414000005"/>
  </r>
  <r>
    <x v="75"/>
    <s v="BANCO SANTANDER MEXICO SA FIDEICOMISO F/2460173-0"/>
    <x v="71"/>
    <s v="NORMAL"/>
    <s v="MXN"/>
    <n v="3060"/>
    <n v="8.3813510000000004"/>
    <n v="25646.93406"/>
    <n v="8.2700011300000007"/>
    <n v="340.73060220000002"/>
    <n v="0"/>
    <n v="0"/>
    <n v="0"/>
    <n v="0"/>
    <n v="3060"/>
    <n v="25646.93406"/>
    <s v="EPER"/>
    <n v="7414000005"/>
  </r>
  <r>
    <x v="75"/>
    <s v="BANCO SANTANDER MEXICO SA FIDEICOMISO F/2460173-0"/>
    <x v="16"/>
    <s v="NORMAL"/>
    <s v="MXN"/>
    <n v="6190"/>
    <n v="8.2580650000000002"/>
    <n v="51117.422350000001"/>
    <n v="8.2501711100000001"/>
    <n v="48.863179100000004"/>
    <n v="0"/>
    <n v="0"/>
    <n v="0"/>
    <n v="0"/>
    <n v="6190"/>
    <n v="51117.422350000001"/>
    <s v="EPER"/>
    <n v="7414000005"/>
  </r>
  <r>
    <x v="75"/>
    <s v="BANCO SANTANDER MEXICO SA FIDEICOMISO F/2460173-0"/>
    <x v="26"/>
    <s v="NORMAL"/>
    <s v="MXN"/>
    <n v="220"/>
    <n v="98.730349000000004"/>
    <n v="21720.676780000002"/>
    <n v="104.68824137999999"/>
    <n v="-1310.7363236000001"/>
    <n v="0"/>
    <n v="0"/>
    <n v="0"/>
    <n v="0"/>
    <n v="220"/>
    <n v="21720.676780000002"/>
    <s v="EPER"/>
    <n v="7414000005"/>
  </r>
  <r>
    <x v="75"/>
    <s v="BANCO SANTANDER MEXICO SA FIDEICOMISO F/2460173-0"/>
    <x v="67"/>
    <s v="NORMAL"/>
    <s v="MXN"/>
    <n v="368"/>
    <n v="99.247497999999993"/>
    <n v="36523.079264"/>
    <n v="116.19270716163044"/>
    <n v="-6235.8369714800001"/>
    <n v="0"/>
    <n v="0"/>
    <n v="0"/>
    <n v="0"/>
    <n v="368"/>
    <n v="36523.079264"/>
    <s v="EPER"/>
    <n v="7414000005"/>
  </r>
  <r>
    <x v="75"/>
    <s v="BANCO SANTANDER MEXICO SA FIDEICOMISO F/2460173-0"/>
    <x v="27"/>
    <s v="NORMAL"/>
    <s v="MXN"/>
    <n v="587"/>
    <n v="94.973146999999997"/>
    <n v="55749.237288999997"/>
    <n v="90.009801730902893"/>
    <n v="2913.4836729600001"/>
    <n v="0"/>
    <n v="0"/>
    <n v="0"/>
    <n v="0"/>
    <n v="587"/>
    <n v="55749.237288999997"/>
    <s v="EPER"/>
    <n v="7414000005"/>
  </r>
  <r>
    <x v="75"/>
    <s v="BANCO SANTANDER MEXICO SA FIDEICOMISO F/2460173-0"/>
    <x v="28"/>
    <s v="NORMAL"/>
    <s v="MXN"/>
    <n v="349"/>
    <n v="91.911821000000003"/>
    <n v="32077.225528999999"/>
    <n v="93.2088459"/>
    <n v="-452.66169009999999"/>
    <n v="0"/>
    <n v="0"/>
    <n v="0"/>
    <n v="0"/>
    <n v="349"/>
    <n v="32077.225528999999"/>
    <s v="EPER"/>
    <n v="7414000005"/>
  </r>
  <r>
    <x v="75"/>
    <s v="BANCO SANTANDER MEXICO SA FIDEICOMISO F/2460173-0"/>
    <x v="30"/>
    <s v="NORMAL"/>
    <s v="MXN"/>
    <n v="344"/>
    <n v="88.698122999999995"/>
    <n v="30512.154311999999"/>
    <n v="85.661432169622088"/>
    <n v="1044.6216456499999"/>
    <n v="0"/>
    <n v="0"/>
    <n v="0"/>
    <n v="0"/>
    <n v="344"/>
    <n v="30512.154311999999"/>
    <s v="EPER"/>
    <n v="7414000005"/>
  </r>
  <r>
    <x v="75"/>
    <s v="BANCO SANTANDER MEXICO SA FIDEICOMISO F/2460173-0"/>
    <x v="31"/>
    <s v="NORMAL"/>
    <s v="MXN"/>
    <n v="457"/>
    <n v="93.314192000000006"/>
    <n v="42644.585744000004"/>
    <n v="84.247366270021885"/>
    <n v="4143.5393586"/>
    <n v="0"/>
    <n v="0"/>
    <n v="0"/>
    <n v="0"/>
    <n v="457"/>
    <n v="42644.585744000004"/>
    <s v="EPER"/>
    <n v="7414000005"/>
  </r>
  <r>
    <x v="75"/>
    <s v="BANCO SANTANDER MEXICO SA FIDEICOMISO F/2460173-0"/>
    <x v="32"/>
    <s v="NORMAL"/>
    <s v="MXN"/>
    <n v="320"/>
    <n v="94.864168000000006"/>
    <n v="30356.533759999998"/>
    <n v="96.492442988125006"/>
    <n v="-521.04799619999994"/>
    <n v="0"/>
    <n v="0"/>
    <n v="0"/>
    <n v="0"/>
    <n v="320"/>
    <n v="30356.533759999998"/>
    <s v="EPER"/>
    <n v="7414000005"/>
  </r>
  <r>
    <x v="75"/>
    <s v="BANCO SANTANDER MEXICO SA FIDEICOMISO F/2460173-0"/>
    <x v="33"/>
    <s v="NORMAL"/>
    <s v="MXN"/>
    <n v="153"/>
    <n v="94.870157000000006"/>
    <n v="14515.134021"/>
    <n v="96.692672049999999"/>
    <n v="-278.84480265000002"/>
    <n v="0"/>
    <n v="0"/>
    <n v="0"/>
    <n v="0"/>
    <n v="153"/>
    <n v="14515.134021"/>
    <s v="EPER"/>
    <n v="7414000005"/>
  </r>
  <r>
    <x v="75"/>
    <s v="BANCO SANTANDER MEXICO SA FIDEICOMISO F/2460173-0"/>
    <x v="34"/>
    <s v="NORMAL"/>
    <s v="MXN"/>
    <n v="570"/>
    <n v="89.489464999999996"/>
    <n v="51008.995049999998"/>
    <n v="90.540416671052625"/>
    <n v="-599.04245249999997"/>
    <n v="0"/>
    <n v="0"/>
    <n v="0"/>
    <n v="0"/>
    <n v="570"/>
    <n v="51008.995049999998"/>
    <s v="EPER"/>
    <n v="7414000005"/>
  </r>
  <r>
    <x v="75"/>
    <s v="BANCO SANTANDER MEXICO SA FIDEICOMISO F/2460173-0"/>
    <x v="35"/>
    <s v="NORMAL"/>
    <s v="MXN"/>
    <n v="360"/>
    <n v="86.197128000000006"/>
    <n v="31030.966079999998"/>
    <n v="89.903420600277784"/>
    <n v="-1334.2653361"/>
    <n v="0"/>
    <n v="0"/>
    <n v="0"/>
    <n v="0"/>
    <n v="360"/>
    <n v="31030.966079999998"/>
    <s v="EPER"/>
    <n v="7414000005"/>
  </r>
  <r>
    <x v="75"/>
    <s v="BANCO SANTANDER MEXICO SA FIDEICOMISO F/2460173-0"/>
    <x v="36"/>
    <s v="NORMAL"/>
    <s v="MXN"/>
    <n v="607"/>
    <n v="86.469353999999996"/>
    <n v="52486.897878000003"/>
    <n v="92.967522502026355"/>
    <n v="-3944.3882807300001"/>
    <n v="0"/>
    <n v="0"/>
    <n v="0"/>
    <n v="0"/>
    <n v="607"/>
    <n v="52486.897878000003"/>
    <s v="EPER"/>
    <n v="7414000005"/>
  </r>
  <r>
    <x v="75"/>
    <s v="BANCO SANTANDER MEXICO SA FIDEICOMISO F/2460173-0"/>
    <x v="81"/>
    <s v="NORMAL"/>
    <s v="MXN"/>
    <n v="12"/>
    <n v="101.45096599999999"/>
    <n v="1217.4115919999999"/>
    <n v="126.46125000000001"/>
    <n v="-300.12340799999998"/>
    <n v="0"/>
    <n v="0"/>
    <n v="0"/>
    <n v="0"/>
    <n v="12"/>
    <n v="1217.4115919999999"/>
    <s v="EPER"/>
    <n v="7414000005"/>
  </r>
  <r>
    <x v="75"/>
    <s v="BANCO SANTANDER MEXICO SA FIDEICOMISO F/2460173-0"/>
    <x v="68"/>
    <s v="NORMAL"/>
    <s v="MXN"/>
    <n v="76"/>
    <n v="89.643172000000007"/>
    <n v="6812.8810720000001"/>
    <n v="117.48666667000001"/>
    <n v="-2116.1055949199999"/>
    <n v="0"/>
    <n v="0"/>
    <n v="0"/>
    <n v="0"/>
    <n v="76"/>
    <n v="6812.8810720000001"/>
    <s v="EPER"/>
    <n v="7414000005"/>
  </r>
  <r>
    <x v="75"/>
    <s v="BANCO SANTANDER MEXICO SA FIDEICOMISO F/2460173-0"/>
    <x v="37"/>
    <s v="NORMAL"/>
    <s v="MXN"/>
    <n v="634"/>
    <n v="81.738860000000003"/>
    <n v="51822.437239999999"/>
    <n v="86.471431911514202"/>
    <n v="-3000.4505918999998"/>
    <n v="0"/>
    <n v="0"/>
    <n v="0"/>
    <n v="0"/>
    <n v="634"/>
    <n v="51822.437239999999"/>
    <s v="EPER"/>
    <n v="7414000005"/>
  </r>
  <r>
    <x v="75"/>
    <s v="BANCO SANTANDER MEXICO SA FIDEICOMISO F/2460173-0"/>
    <x v="38"/>
    <s v="NORMAL"/>
    <s v="MXN"/>
    <n v="77"/>
    <n v="83.200761"/>
    <n v="6406.4585969999998"/>
    <n v="91.791812140649355"/>
    <n v="-661.51093782999999"/>
    <n v="0"/>
    <n v="0"/>
    <n v="0"/>
    <n v="0"/>
    <n v="77"/>
    <n v="6406.4585969999998"/>
    <s v="EPER"/>
    <n v="7414000005"/>
  </r>
  <r>
    <x v="75"/>
    <s v="BANCO SANTANDER MEXICO SA FIDEICOMISO F/2460173-0"/>
    <x v="39"/>
    <s v="NORMAL"/>
    <s v="MXN"/>
    <n v="944"/>
    <n v="82.159907000000004"/>
    <n v="77558.952208000002"/>
    <n v="84.279902834194914"/>
    <n v="-2001.2760674799999"/>
    <n v="0"/>
    <n v="0"/>
    <n v="0"/>
    <n v="0"/>
    <n v="944"/>
    <n v="77558.952208000002"/>
    <s v="EPER"/>
    <n v="7414000005"/>
  </r>
  <r>
    <x v="75"/>
    <s v="BANCO SANTANDER MEXICO SA FIDEICOMISO F/2460173-0"/>
    <x v="88"/>
    <s v="NORMAL"/>
    <s v="MXN"/>
    <n v="640"/>
    <n v="98.007834000000003"/>
    <n v="62725.013760000002"/>
    <n v="92.065546879999999"/>
    <n v="3803.0637568000002"/>
    <n v="0"/>
    <n v="0"/>
    <n v="0"/>
    <n v="0"/>
    <n v="640"/>
    <n v="62725.013760000002"/>
    <s v="EPER"/>
    <n v="7414000005"/>
  </r>
  <r>
    <x v="75"/>
    <s v="BANCO SANTANDER MEXICO SA FIDEICOMISO F/2460173-0"/>
    <x v="0"/>
    <s v="NORMAL"/>
    <s v="MXN"/>
    <n v="78547"/>
    <n v="3.3967719999999999"/>
    <n v="266806.25028400001"/>
    <n v="3.2940944911963537"/>
    <n v="8065.010284"/>
    <n v="0"/>
    <n v="0"/>
    <n v="0"/>
    <n v="0"/>
    <n v="78547"/>
    <n v="266806.25028400001"/>
    <s v="EPER"/>
    <n v="7414000005"/>
  </r>
  <r>
    <x v="75"/>
    <s v="BANCO SANTANDER MEXICO SA FIDEICOMISO F/2460173-0"/>
    <x v="80"/>
    <s v="NORMAL"/>
    <s v="MXN"/>
    <n v="83091"/>
    <n v="3.8832339999999999"/>
    <n v="322661.796294"/>
    <n v="2.9919192210949439"/>
    <n v="74060.236294000002"/>
    <n v="0"/>
    <n v="0"/>
    <n v="0"/>
    <n v="0"/>
    <n v="83091"/>
    <n v="322661.796294"/>
    <s v="EPER"/>
    <n v="7414000005"/>
  </r>
  <r>
    <x v="75"/>
    <s v="BANCO SANTANDER MEXICO SA FIDEICOMISO F/2460173-0"/>
    <x v="141"/>
    <s v="NORMAL"/>
    <s v="MXN"/>
    <n v="30"/>
    <n v="256.05011500000001"/>
    <n v="7681.5034500000002"/>
    <n v="487.31725925000001"/>
    <n v="-6938.0143275"/>
    <n v="0"/>
    <n v="0"/>
    <n v="0"/>
    <n v="0"/>
    <n v="30"/>
    <n v="7681.5034500000002"/>
    <s v="EPER"/>
    <n v="7414000005"/>
  </r>
  <r>
    <x v="75"/>
    <s v="BANCO SANTANDER MEXICO SA FIDEICOMISO F/2460173-0"/>
    <x v="51"/>
    <s v="NORMAL"/>
    <s v="MXN"/>
    <n v="45"/>
    <n v="775.69178699999998"/>
    <n v="34906.130415"/>
    <n v="691.58907003555555"/>
    <n v="3784.6222634000001"/>
    <n v="0"/>
    <n v="0"/>
    <n v="0"/>
    <n v="0"/>
    <n v="45"/>
    <n v="34906.130415"/>
    <s v="EPER"/>
    <n v="7414000005"/>
  </r>
  <r>
    <x v="75"/>
    <s v="BANCO SANTANDER MEXICO SA FIDEICOMISO F/2460173-0"/>
    <x v="52"/>
    <s v="NORMAL"/>
    <s v="MXN"/>
    <n v="70"/>
    <n v="747.17843200000004"/>
    <n v="52302.490239999999"/>
    <n v="709.48359479428575"/>
    <n v="2638.6386044000001"/>
    <n v="0"/>
    <n v="0"/>
    <n v="0"/>
    <n v="0"/>
    <n v="70"/>
    <n v="52302.490239999999"/>
    <s v="EPER"/>
    <n v="7414000005"/>
  </r>
  <r>
    <x v="75"/>
    <s v="BANCO SANTANDER MEXICO SA FIDEICOMISO F/2460173-0"/>
    <x v="53"/>
    <s v="NORMAL"/>
    <s v="MXN"/>
    <n v="70"/>
    <n v="765.92388300000005"/>
    <n v="53614.67181"/>
    <n v="753.81432208714284"/>
    <n v="847.66926390000003"/>
    <n v="0"/>
    <n v="0"/>
    <n v="0"/>
    <n v="0"/>
    <n v="70"/>
    <n v="53614.67181"/>
    <s v="EPER"/>
    <n v="7414000005"/>
  </r>
  <r>
    <x v="75"/>
    <s v="BANCO SANTANDER MEXICO SA FIDEICOMISO F/2460173-0"/>
    <x v="54"/>
    <s v="NORMAL"/>
    <s v="MXN"/>
    <n v="288"/>
    <n v="684.88915799999995"/>
    <n v="197248.07750399999"/>
    <n v="676.63728713958335"/>
    <n v="2376.5388078000001"/>
    <n v="0"/>
    <n v="0"/>
    <n v="0"/>
    <n v="0"/>
    <n v="288"/>
    <n v="197248.07750399999"/>
    <s v="EPER"/>
    <n v="7414000005"/>
  </r>
  <r>
    <x v="75"/>
    <s v="BANCO SANTANDER MEXICO SA FIDEICOMISO F/2460173-0"/>
    <x v="55"/>
    <s v="NORMAL"/>
    <s v="MXN"/>
    <n v="32"/>
    <n v="772.926965"/>
    <n v="24733.66288"/>
    <n v="798.93664675000002"/>
    <n v="-832.30981599999996"/>
    <n v="0"/>
    <n v="0"/>
    <n v="0"/>
    <n v="0"/>
    <n v="32"/>
    <n v="24733.66288"/>
    <s v="EPER"/>
    <n v="7414000005"/>
  </r>
  <r>
    <x v="75"/>
    <s v="BANCO SANTANDER MEXICO SA FIDEICOMISO F/2460173-0"/>
    <x v="56"/>
    <s v="NORMAL"/>
    <s v="MXN"/>
    <n v="39"/>
    <n v="721.59464000000003"/>
    <n v="28142.19096"/>
    <n v="741.29717948999996"/>
    <n v="-768.39904010999999"/>
    <n v="0"/>
    <n v="0"/>
    <n v="0"/>
    <n v="0"/>
    <n v="39"/>
    <n v="28142.19096"/>
    <s v="EPER"/>
    <n v="7414000005"/>
  </r>
  <r>
    <x v="75"/>
    <s v="BANCO SANTANDER MEXICO SA FIDEICOMISO F/2460173-0"/>
    <x v="57"/>
    <s v="NORMAL"/>
    <s v="MXN"/>
    <n v="28"/>
    <n v="635.96311900000001"/>
    <n v="17806.967332"/>
    <n v="647.93802047999998"/>
    <n v="-335.29724143999999"/>
    <n v="0"/>
    <n v="0"/>
    <n v="0"/>
    <n v="0"/>
    <n v="28"/>
    <n v="17806.967332"/>
    <s v="EPER"/>
    <n v="7414000005"/>
  </r>
  <r>
    <x v="75"/>
    <s v="BANCO SANTANDER MEXICO SA FIDEICOMISO F/2460173-0"/>
    <x v="58"/>
    <s v="NORMAL"/>
    <s v="MXN"/>
    <n v="48"/>
    <n v="709.36974099999998"/>
    <n v="34049.747567999999"/>
    <n v="724.52122232249997"/>
    <n v="-727.27110347999997"/>
    <n v="0"/>
    <n v="0"/>
    <n v="0"/>
    <n v="0"/>
    <n v="48"/>
    <n v="34049.747567999999"/>
    <s v="EPER"/>
    <n v="7414000005"/>
  </r>
  <r>
    <x v="75"/>
    <s v="BANCO SANTANDER MEXICO SA FIDEICOMISO F/2460173-0"/>
    <x v="59"/>
    <s v="NORMAL"/>
    <s v="MXN"/>
    <n v="192"/>
    <n v="694.41118700000004"/>
    <n v="133326.947904"/>
    <n v="724.59993144458338"/>
    <n v="-5796.2389333600004"/>
    <n v="0"/>
    <n v="0"/>
    <n v="0"/>
    <n v="0"/>
    <n v="192"/>
    <n v="133326.947904"/>
    <s v="EPER"/>
    <n v="7414000005"/>
  </r>
  <r>
    <x v="76"/>
    <s v="BANCO SANTANDER MEXICO SA FIDEICOMISO F/2460173-0"/>
    <x v="130"/>
    <s v="NORMAL"/>
    <s v="MXN"/>
    <n v="224000"/>
    <n v="4.5848760000000004"/>
    <n v="1027012.224"/>
    <n v="4.1816552232142854"/>
    <n v="90321.453999999998"/>
    <n v="0"/>
    <n v="0"/>
    <n v="0"/>
    <n v="0"/>
    <n v="224000"/>
    <n v="1027012.224"/>
    <s v="EPER"/>
    <n v="7414000005"/>
  </r>
  <r>
    <x v="76"/>
    <s v="BANCO SANTANDER MEXICO SA FIDEICOMISO F/2460173-0"/>
    <x v="0"/>
    <s v="NORMAL"/>
    <s v="MXN"/>
    <n v="11786"/>
    <n v="3.3967719999999999"/>
    <n v="40034.354791999998"/>
    <n v="3.2883633124045479"/>
    <n v="1277.704792"/>
    <n v="0"/>
    <n v="0"/>
    <n v="0"/>
    <n v="0"/>
    <n v="11786"/>
    <n v="40034.354791999998"/>
    <s v="EPER"/>
    <n v="7414000005"/>
  </r>
  <r>
    <x v="77"/>
    <s v="BANCO SANTANDER MEXICO SA FIDEICOMISO F/2460173-0"/>
    <x v="86"/>
    <s v="NORMAL"/>
    <s v="MXN"/>
    <n v="110719"/>
    <n v="9.4935880000000008"/>
    <n v="1051120.569772"/>
    <n v="8.4405498100000003"/>
    <n v="116591.33535861"/>
    <n v="0"/>
    <n v="0"/>
    <n v="0"/>
    <n v="0"/>
    <n v="110719"/>
    <n v="1051120.569772"/>
    <s v="EPER"/>
    <n v="7414000005"/>
  </r>
  <r>
    <x v="77"/>
    <s v="BANCO SANTANDER MEXICO SA FIDEICOMISO F/2460173-0"/>
    <x v="72"/>
    <s v="NORMAL"/>
    <s v="MXN"/>
    <n v="150830"/>
    <n v="9.3381629999999998"/>
    <n v="1408475.1252900001"/>
    <n v="8.3307969100000001"/>
    <n v="151941.0273547"/>
    <n v="0"/>
    <n v="0"/>
    <n v="0"/>
    <n v="0"/>
    <n v="150830"/>
    <n v="1408475.1252900001"/>
    <s v="EPER"/>
    <n v="7414000005"/>
  </r>
  <r>
    <x v="77"/>
    <s v="BANCO SANTANDER MEXICO SA FIDEICOMISO F/2460173-0"/>
    <x v="15"/>
    <s v="NORMAL"/>
    <s v="MXN"/>
    <n v="193050"/>
    <n v="9.190137"/>
    <n v="1774155.9478500001"/>
    <n v="8.2168032736990408"/>
    <n v="187902.0758624"/>
    <n v="0"/>
    <n v="0"/>
    <n v="0"/>
    <n v="0"/>
    <n v="193050"/>
    <n v="1774155.9478500001"/>
    <s v="EPER"/>
    <n v="7414000005"/>
  </r>
  <r>
    <x v="77"/>
    <s v="BANCO SANTANDER MEXICO SA FIDEICOMISO F/2460173-0"/>
    <x v="71"/>
    <s v="NORMAL"/>
    <s v="MXN"/>
    <n v="50830"/>
    <n v="8.3813510000000004"/>
    <n v="426024.07133000001"/>
    <n v="8.2700011300000007"/>
    <n v="5659.9138921000003"/>
    <n v="0"/>
    <n v="0"/>
    <n v="0"/>
    <n v="0"/>
    <n v="50830"/>
    <n v="426024.07133000001"/>
    <s v="EPER"/>
    <n v="7414000005"/>
  </r>
  <r>
    <x v="77"/>
    <s v="BANCO SANTANDER MEXICO SA FIDEICOMISO F/2460173-0"/>
    <x v="16"/>
    <s v="NORMAL"/>
    <s v="MXN"/>
    <n v="103700"/>
    <n v="8.2580650000000002"/>
    <n v="856361.34050000005"/>
    <n v="8.2501711100000001"/>
    <n v="818.59639300000003"/>
    <n v="0"/>
    <n v="0"/>
    <n v="0"/>
    <n v="0"/>
    <n v="103700"/>
    <n v="856361.34050000005"/>
    <s v="EPER"/>
    <n v="7414000005"/>
  </r>
  <r>
    <x v="77"/>
    <s v="BANCO SANTANDER MEXICO SA FIDEICOMISO F/2460173-0"/>
    <x v="26"/>
    <s v="NORMAL"/>
    <s v="MXN"/>
    <n v="4310"/>
    <n v="98.730349000000004"/>
    <n v="425527.80419"/>
    <n v="104.73162454"/>
    <n v="-25865.497577400001"/>
    <n v="0"/>
    <n v="0"/>
    <n v="0"/>
    <n v="0"/>
    <n v="4310"/>
    <n v="425527.80419"/>
    <s v="EPER"/>
    <n v="7414000005"/>
  </r>
  <r>
    <x v="77"/>
    <s v="BANCO SANTANDER MEXICO SA FIDEICOMISO F/2460173-0"/>
    <x v="67"/>
    <s v="NORMAL"/>
    <s v="MXN"/>
    <n v="7887"/>
    <n v="99.247497999999993"/>
    <n v="782765.016726"/>
    <n v="116.87584286583491"/>
    <n v="-139034.75595684"/>
    <n v="0"/>
    <n v="0"/>
    <n v="0"/>
    <n v="0"/>
    <n v="7887"/>
    <n v="782765.016726"/>
    <s v="EPER"/>
    <n v="7414000005"/>
  </r>
  <r>
    <x v="77"/>
    <s v="BANCO SANTANDER MEXICO SA FIDEICOMISO F/2460173-0"/>
    <x v="27"/>
    <s v="NORMAL"/>
    <s v="MXN"/>
    <n v="9342"/>
    <n v="94.973146999999997"/>
    <n v="887239.13927399996"/>
    <n v="90.008268852701775"/>
    <n v="46381.891652060003"/>
    <n v="0"/>
    <n v="0"/>
    <n v="0"/>
    <n v="0"/>
    <n v="9342"/>
    <n v="887239.13927399996"/>
    <s v="EPER"/>
    <n v="7414000005"/>
  </r>
  <r>
    <x v="77"/>
    <s v="BANCO SANTANDER MEXICO SA FIDEICOMISO F/2460173-0"/>
    <x v="28"/>
    <s v="NORMAL"/>
    <s v="MXN"/>
    <n v="5288"/>
    <n v="91.911821000000003"/>
    <n v="486029.70944800001"/>
    <n v="93.2088459"/>
    <n v="-6858.6676711999999"/>
    <n v="0"/>
    <n v="0"/>
    <n v="0"/>
    <n v="0"/>
    <n v="5288"/>
    <n v="486029.70944800001"/>
    <s v="EPER"/>
    <n v="7414000005"/>
  </r>
  <r>
    <x v="77"/>
    <s v="BANCO SANTANDER MEXICO SA FIDEICOMISO F/2460173-0"/>
    <x v="30"/>
    <s v="NORMAL"/>
    <s v="MXN"/>
    <n v="5670"/>
    <n v="88.698122999999995"/>
    <n v="502918.35741"/>
    <n v="85.668007947634919"/>
    <n v="17180.752346910002"/>
    <n v="0"/>
    <n v="0"/>
    <n v="0"/>
    <n v="0"/>
    <n v="5670"/>
    <n v="502918.35741"/>
    <s v="EPER"/>
    <n v="7414000005"/>
  </r>
  <r>
    <x v="77"/>
    <s v="BANCO SANTANDER MEXICO SA FIDEICOMISO F/2460173-0"/>
    <x v="31"/>
    <s v="NORMAL"/>
    <s v="MXN"/>
    <n v="5049"/>
    <n v="93.314192000000006"/>
    <n v="471143.355408"/>
    <n v="96.71254873585265"/>
    <n v="-17158.303159319999"/>
    <n v="0"/>
    <n v="0"/>
    <n v="0"/>
    <n v="0"/>
    <n v="5049"/>
    <n v="471143.355408"/>
    <s v="EPER"/>
    <n v="7414000005"/>
  </r>
  <r>
    <x v="77"/>
    <s v="BANCO SANTANDER MEXICO SA FIDEICOMISO F/2460173-0"/>
    <x v="32"/>
    <s v="NORMAL"/>
    <s v="MXN"/>
    <n v="5250"/>
    <n v="94.864168000000006"/>
    <n v="498036.88199999998"/>
    <n v="96.491211529695235"/>
    <n v="-8541.9785308999999"/>
    <n v="0"/>
    <n v="0"/>
    <n v="0"/>
    <n v="0"/>
    <n v="5250"/>
    <n v="498036.88199999998"/>
    <s v="EPER"/>
    <n v="7414000005"/>
  </r>
  <r>
    <x v="77"/>
    <s v="BANCO SANTANDER MEXICO SA FIDEICOMISO F/2460173-0"/>
    <x v="33"/>
    <s v="NORMAL"/>
    <s v="MXN"/>
    <n v="2037"/>
    <n v="94.870157000000006"/>
    <n v="193250.50980900001"/>
    <n v="96.692672049999999"/>
    <n v="-3712.4631568499999"/>
    <n v="0"/>
    <n v="0"/>
    <n v="0"/>
    <n v="0"/>
    <n v="2037"/>
    <n v="193250.50980900001"/>
    <s v="EPER"/>
    <n v="7414000005"/>
  </r>
  <r>
    <x v="77"/>
    <s v="BANCO SANTANDER MEXICO SA FIDEICOMISO F/2460173-0"/>
    <x v="34"/>
    <s v="NORMAL"/>
    <s v="MXN"/>
    <n v="8702"/>
    <n v="89.489464999999996"/>
    <n v="778737.32443000004"/>
    <n v="90.50660378774765"/>
    <n v="-8851.1417309799999"/>
    <n v="0"/>
    <n v="0"/>
    <n v="0"/>
    <n v="0"/>
    <n v="8702"/>
    <n v="778737.32443000004"/>
    <s v="EPER"/>
    <n v="7414000005"/>
  </r>
  <r>
    <x v="77"/>
    <s v="BANCO SANTANDER MEXICO SA FIDEICOMISO F/2460173-0"/>
    <x v="35"/>
    <s v="NORMAL"/>
    <s v="MXN"/>
    <n v="5760"/>
    <n v="86.197128000000006"/>
    <n v="496495.45727999997"/>
    <n v="89.871190485243062"/>
    <n v="-21162.599914999999"/>
    <n v="0"/>
    <n v="0"/>
    <n v="0"/>
    <n v="0"/>
    <n v="5760"/>
    <n v="496495.45727999997"/>
    <s v="EPER"/>
    <n v="7414000005"/>
  </r>
  <r>
    <x v="77"/>
    <s v="BANCO SANTANDER MEXICO SA FIDEICOMISO F/2460173-0"/>
    <x v="36"/>
    <s v="NORMAL"/>
    <s v="MXN"/>
    <n v="21055"/>
    <n v="86.469353999999996"/>
    <n v="1820612.24847"/>
    <n v="90.802627438551411"/>
    <n v="-91237.072248700002"/>
    <n v="0"/>
    <n v="0"/>
    <n v="0"/>
    <n v="0"/>
    <n v="21055"/>
    <n v="1820612.24847"/>
    <s v="EPER"/>
    <n v="7414000005"/>
  </r>
  <r>
    <x v="77"/>
    <s v="BANCO SANTANDER MEXICO SA FIDEICOMISO F/2460173-0"/>
    <x v="81"/>
    <s v="NORMAL"/>
    <s v="MXN"/>
    <n v="403"/>
    <n v="101.45096599999999"/>
    <n v="40884.739298"/>
    <n v="117.68302937"/>
    <n v="-6541.5215381099997"/>
    <n v="0"/>
    <n v="0"/>
    <n v="0"/>
    <n v="0"/>
    <n v="403"/>
    <n v="40884.739298"/>
    <s v="EPER"/>
    <n v="7414000005"/>
  </r>
  <r>
    <x v="77"/>
    <s v="BANCO SANTANDER MEXICO SA FIDEICOMISO F/2460173-0"/>
    <x v="68"/>
    <s v="NORMAL"/>
    <s v="MXN"/>
    <n v="517"/>
    <n v="89.643172000000007"/>
    <n v="46345.519924"/>
    <n v="117.58450777"/>
    <n v="-14445.670593090001"/>
    <n v="0"/>
    <n v="0"/>
    <n v="0"/>
    <n v="0"/>
    <n v="517"/>
    <n v="46345.519924"/>
    <s v="EPER"/>
    <n v="7414000005"/>
  </r>
  <r>
    <x v="77"/>
    <s v="BANCO SANTANDER MEXICO SA FIDEICOMISO F/2460173-0"/>
    <x v="37"/>
    <s v="NORMAL"/>
    <s v="MXN"/>
    <n v="10307"/>
    <n v="81.738860000000003"/>
    <n v="842482.43001999997"/>
    <n v="86.462077079004558"/>
    <n v="-48682.1984333"/>
    <n v="0"/>
    <n v="0"/>
    <n v="0"/>
    <n v="0"/>
    <n v="10307"/>
    <n v="842482.43001999997"/>
    <s v="EPER"/>
    <n v="7414000005"/>
  </r>
  <r>
    <x v="77"/>
    <s v="BANCO SANTANDER MEXICO SA FIDEICOMISO F/2460173-0"/>
    <x v="38"/>
    <s v="NORMAL"/>
    <s v="MXN"/>
    <n v="2487"/>
    <n v="83.200761"/>
    <n v="206920.29260700001"/>
    <n v="94.396286534752718"/>
    <n v="-27843.272004930001"/>
    <n v="0"/>
    <n v="0"/>
    <n v="0"/>
    <n v="0"/>
    <n v="2487"/>
    <n v="206920.29260700001"/>
    <s v="EPER"/>
    <n v="7414000005"/>
  </r>
  <r>
    <x v="77"/>
    <s v="BANCO SANTANDER MEXICO SA FIDEICOMISO F/2460173-0"/>
    <x v="39"/>
    <s v="NORMAL"/>
    <s v="MXN"/>
    <n v="15918"/>
    <n v="82.159907000000004"/>
    <n v="1307821.3996260001"/>
    <n v="84.278742291020222"/>
    <n v="-33727.62016246"/>
    <n v="0"/>
    <n v="0"/>
    <n v="0"/>
    <n v="0"/>
    <n v="15918"/>
    <n v="1307821.3996260001"/>
    <s v="EPER"/>
    <n v="7414000005"/>
  </r>
  <r>
    <x v="77"/>
    <s v="BANCO SANTANDER MEXICO SA FIDEICOMISO F/2460173-0"/>
    <x v="88"/>
    <s v="NORMAL"/>
    <s v="MXN"/>
    <n v="8580"/>
    <n v="98.007834000000003"/>
    <n v="840907.21571999998"/>
    <n v="92.06807809"/>
    <n v="50963.105707800001"/>
    <n v="0"/>
    <n v="0"/>
    <n v="0"/>
    <n v="0"/>
    <n v="8580"/>
    <n v="840907.21571999998"/>
    <s v="EPER"/>
    <n v="7414000005"/>
  </r>
  <r>
    <x v="77"/>
    <s v="BANCO SANTANDER MEXICO SA FIDEICOMISO F/2460173-0"/>
    <x v="0"/>
    <s v="NORMAL"/>
    <s v="MXN"/>
    <n v="1231571"/>
    <n v="3.3967719999999999"/>
    <n v="4183365.8888119999"/>
    <n v="3.3071989109844258"/>
    <n v="110315.618812"/>
    <n v="0"/>
    <n v="0"/>
    <n v="0"/>
    <n v="0"/>
    <n v="1231571"/>
    <n v="4183365.8888119999"/>
    <s v="EPER"/>
    <n v="7414000005"/>
  </r>
  <r>
    <x v="77"/>
    <s v="BANCO SANTANDER MEXICO SA FIDEICOMISO F/2460173-0"/>
    <x v="80"/>
    <s v="NORMAL"/>
    <s v="MXN"/>
    <n v="1572064"/>
    <n v="3.8832339999999999"/>
    <n v="6104692.3749759998"/>
    <n v="2.8718089467095487"/>
    <n v="1590024.9149760001"/>
    <n v="0"/>
    <n v="0"/>
    <n v="0"/>
    <n v="0"/>
    <n v="1572064"/>
    <n v="6104692.3749759998"/>
    <s v="EPER"/>
    <n v="7414000005"/>
  </r>
  <r>
    <x v="77"/>
    <s v="BANCO SANTANDER MEXICO SA FIDEICOMISO F/2460173-0"/>
    <x v="141"/>
    <s v="NORMAL"/>
    <s v="MXN"/>
    <n v="122"/>
    <n v="256.05011500000001"/>
    <n v="31238.114030000001"/>
    <n v="487.31725979999999"/>
    <n v="-28214.591665600001"/>
    <n v="0"/>
    <n v="0"/>
    <n v="0"/>
    <n v="0"/>
    <n v="122"/>
    <n v="31238.114030000001"/>
    <s v="EPER"/>
    <n v="7414000005"/>
  </r>
  <r>
    <x v="77"/>
    <s v="BANCO SANTANDER MEXICO SA FIDEICOMISO F/2460173-0"/>
    <x v="51"/>
    <s v="NORMAL"/>
    <s v="MXN"/>
    <n v="704"/>
    <n v="775.69178699999998"/>
    <n v="546087.01804800006"/>
    <n v="678.53024991690336"/>
    <n v="68401.722106500005"/>
    <n v="0"/>
    <n v="0"/>
    <n v="0"/>
    <n v="0"/>
    <n v="704"/>
    <n v="546087.01804800006"/>
    <s v="EPER"/>
    <n v="7414000005"/>
  </r>
  <r>
    <x v="77"/>
    <s v="BANCO SANTANDER MEXICO SA FIDEICOMISO F/2460173-0"/>
    <x v="52"/>
    <s v="NORMAL"/>
    <s v="MXN"/>
    <n v="1080"/>
    <n v="747.17843200000004"/>
    <n v="806952.70655999996"/>
    <n v="709.91263918694449"/>
    <n v="40247.056238099998"/>
    <n v="0"/>
    <n v="0"/>
    <n v="0"/>
    <n v="0"/>
    <n v="1080"/>
    <n v="806952.70655999996"/>
    <s v="EPER"/>
    <n v="7414000005"/>
  </r>
  <r>
    <x v="77"/>
    <s v="BANCO SANTANDER MEXICO SA FIDEICOMISO F/2460173-0"/>
    <x v="53"/>
    <s v="NORMAL"/>
    <s v="MXN"/>
    <n v="1134"/>
    <n v="765.92388300000005"/>
    <n v="868557.68332199997"/>
    <n v="750.48320679506173"/>
    <n v="17509.726816400002"/>
    <n v="0"/>
    <n v="0"/>
    <n v="0"/>
    <n v="0"/>
    <n v="1134"/>
    <n v="868557.68332199997"/>
    <s v="EPER"/>
    <n v="7414000005"/>
  </r>
  <r>
    <x v="77"/>
    <s v="BANCO SANTANDER MEXICO SA FIDEICOMISO F/2460173-0"/>
    <x v="54"/>
    <s v="NORMAL"/>
    <s v="MXN"/>
    <n v="4695"/>
    <n v="684.88915799999995"/>
    <n v="3215554.59681"/>
    <n v="677.10494539680508"/>
    <n v="36546.878171999997"/>
    <n v="0"/>
    <n v="0"/>
    <n v="0"/>
    <n v="0"/>
    <n v="4695"/>
    <n v="3215554.59681"/>
    <s v="EPER"/>
    <n v="7414000005"/>
  </r>
  <r>
    <x v="77"/>
    <s v="BANCO SANTANDER MEXICO SA FIDEICOMISO F/2460173-0"/>
    <x v="55"/>
    <s v="NORMAL"/>
    <s v="MXN"/>
    <n v="473"/>
    <n v="772.926965"/>
    <n v="365594.45444499998"/>
    <n v="798.93664675000002"/>
    <n v="-12302.57946775"/>
    <n v="0"/>
    <n v="0"/>
    <n v="0"/>
    <n v="0"/>
    <n v="473"/>
    <n v="365594.45444499998"/>
    <s v="EPER"/>
    <n v="7414000005"/>
  </r>
  <r>
    <x v="77"/>
    <s v="BANCO SANTANDER MEXICO SA FIDEICOMISO F/2460173-0"/>
    <x v="56"/>
    <s v="NORMAL"/>
    <s v="MXN"/>
    <n v="571"/>
    <n v="721.59464000000003"/>
    <n v="412030.53944000002"/>
    <n v="758.40882911189146"/>
    <n v="-21020.901982889998"/>
    <n v="0"/>
    <n v="0"/>
    <n v="0"/>
    <n v="0"/>
    <n v="571"/>
    <n v="412030.53944000002"/>
    <s v="EPER"/>
    <n v="7414000005"/>
  </r>
  <r>
    <x v="77"/>
    <s v="BANCO SANTANDER MEXICO SA FIDEICOMISO F/2460173-0"/>
    <x v="57"/>
    <s v="NORMAL"/>
    <s v="MXN"/>
    <n v="469"/>
    <n v="635.96311900000001"/>
    <n v="298266.702811"/>
    <n v="647.93802047999998"/>
    <n v="-5616.2287941200002"/>
    <n v="0"/>
    <n v="0"/>
    <n v="0"/>
    <n v="0"/>
    <n v="469"/>
    <n v="298266.702811"/>
    <s v="EPER"/>
    <n v="7414000005"/>
  </r>
  <r>
    <x v="77"/>
    <s v="BANCO SANTANDER MEXICO SA FIDEICOMISO F/2460173-0"/>
    <x v="58"/>
    <s v="NORMAL"/>
    <s v="MXN"/>
    <n v="875"/>
    <n v="709.36974099999998"/>
    <n v="620698.52337499999"/>
    <n v="728.51284808879996"/>
    <n v="-16750.2187027"/>
    <n v="0"/>
    <n v="0"/>
    <n v="0"/>
    <n v="0"/>
    <n v="875"/>
    <n v="620698.52337499999"/>
    <s v="EPER"/>
    <n v="7414000005"/>
  </r>
  <r>
    <x v="77"/>
    <s v="BANCO SANTANDER MEXICO SA FIDEICOMISO F/2460173-0"/>
    <x v="59"/>
    <s v="NORMAL"/>
    <s v="MXN"/>
    <n v="2939"/>
    <n v="694.41118700000004"/>
    <n v="2040874.478593"/>
    <n v="723.71357297702957"/>
    <n v="-86119.712386490006"/>
    <n v="0"/>
    <n v="0"/>
    <n v="0"/>
    <n v="0"/>
    <n v="2939"/>
    <n v="2040874.478593"/>
    <s v="EPER"/>
    <n v="7414000005"/>
  </r>
  <r>
    <x v="78"/>
    <s v="BANCO SANTANDER MEXICO SA FIDEICOMISO F/2460173-0"/>
    <x v="86"/>
    <s v="NORMAL"/>
    <s v="MXN"/>
    <n v="117241"/>
    <n v="9.4935880000000008"/>
    <n v="1113037.750708"/>
    <n v="8.4405498100000003"/>
    <n v="123459.25043379"/>
    <n v="0"/>
    <n v="0"/>
    <n v="0"/>
    <n v="0"/>
    <n v="117241"/>
    <n v="1113037.750708"/>
    <s v="EPER"/>
    <n v="7414000005"/>
  </r>
  <r>
    <x v="78"/>
    <s v="BANCO SANTANDER MEXICO SA FIDEICOMISO F/2460173-0"/>
    <x v="72"/>
    <s v="NORMAL"/>
    <s v="MXN"/>
    <n v="159710"/>
    <n v="9.3381629999999998"/>
    <n v="1491398.0127300001"/>
    <n v="8.3307969100000001"/>
    <n v="160886.4382339"/>
    <n v="0"/>
    <n v="0"/>
    <n v="0"/>
    <n v="0"/>
    <n v="159710"/>
    <n v="1491398.0127300001"/>
    <s v="EPER"/>
    <n v="7414000005"/>
  </r>
  <r>
    <x v="78"/>
    <s v="BANCO SANTANDER MEXICO SA FIDEICOMISO F/2460173-0"/>
    <x v="15"/>
    <s v="NORMAL"/>
    <s v="MXN"/>
    <n v="205170"/>
    <n v="9.190137"/>
    <n v="1885540.4082899999"/>
    <n v="8.2168055598947216"/>
    <n v="199698.4115664"/>
    <n v="0"/>
    <n v="0"/>
    <n v="0"/>
    <n v="0"/>
    <n v="205170"/>
    <n v="1885540.4082899999"/>
    <s v="EPER"/>
    <n v="7414000005"/>
  </r>
  <r>
    <x v="78"/>
    <s v="BANCO SANTANDER MEXICO SA FIDEICOMISO F/2460173-0"/>
    <x v="71"/>
    <s v="NORMAL"/>
    <s v="MXN"/>
    <n v="56400"/>
    <n v="8.3813510000000004"/>
    <n v="472708.19640000002"/>
    <n v="8.2700011300000007"/>
    <n v="6280.1326680000002"/>
    <n v="0"/>
    <n v="0"/>
    <n v="0"/>
    <n v="0"/>
    <n v="56400"/>
    <n v="472708.19640000002"/>
    <s v="EPER"/>
    <n v="7414000005"/>
  </r>
  <r>
    <x v="78"/>
    <s v="BANCO SANTANDER MEXICO SA FIDEICOMISO F/2460173-0"/>
    <x v="16"/>
    <s v="NORMAL"/>
    <s v="MXN"/>
    <n v="115050"/>
    <n v="8.2580650000000002"/>
    <n v="950090.37824999995"/>
    <n v="8.2501711100000001"/>
    <n v="908.19204449999995"/>
    <n v="0"/>
    <n v="0"/>
    <n v="0"/>
    <n v="0"/>
    <n v="115050"/>
    <n v="950090.37824999995"/>
    <s v="EPER"/>
    <n v="7414000005"/>
  </r>
  <r>
    <x v="78"/>
    <s v="BANCO SANTANDER MEXICO SA FIDEICOMISO F/2460173-0"/>
    <x v="26"/>
    <s v="NORMAL"/>
    <s v="MXN"/>
    <n v="3960"/>
    <n v="98.730349000000004"/>
    <n v="390972.18203999999"/>
    <n v="104.73566667"/>
    <n v="-23781.057973200001"/>
    <n v="0"/>
    <n v="0"/>
    <n v="0"/>
    <n v="0"/>
    <n v="3960"/>
    <n v="390972.18203999999"/>
    <s v="EPER"/>
    <n v="7414000005"/>
  </r>
  <r>
    <x v="78"/>
    <s v="BANCO SANTANDER MEXICO SA FIDEICOMISO F/2460173-0"/>
    <x v="67"/>
    <s v="NORMAL"/>
    <s v="MXN"/>
    <n v="7594"/>
    <n v="99.247497999999993"/>
    <n v="753685.49981199997"/>
    <n v="116.6275953918778"/>
    <n v="-131984.45959392001"/>
    <n v="0"/>
    <n v="0"/>
    <n v="0"/>
    <n v="0"/>
    <n v="7594"/>
    <n v="753685.49981199997"/>
    <s v="EPER"/>
    <n v="7414000005"/>
  </r>
  <r>
    <x v="78"/>
    <s v="BANCO SANTANDER MEXICO SA FIDEICOMISO F/2460173-0"/>
    <x v="27"/>
    <s v="NORMAL"/>
    <s v="MXN"/>
    <n v="9818"/>
    <n v="94.973146999999997"/>
    <n v="932446.35724599997"/>
    <n v="90.009639141338354"/>
    <n v="48731.720156340001"/>
    <n v="0"/>
    <n v="0"/>
    <n v="0"/>
    <n v="0"/>
    <n v="9818"/>
    <n v="932446.35724599997"/>
    <s v="EPER"/>
    <n v="7414000005"/>
  </r>
  <r>
    <x v="78"/>
    <s v="BANCO SANTANDER MEXICO SA FIDEICOMISO F/2460173-0"/>
    <x v="28"/>
    <s v="NORMAL"/>
    <s v="MXN"/>
    <n v="5405"/>
    <n v="91.911821000000003"/>
    <n v="496783.392505"/>
    <n v="93.2088459"/>
    <n v="-7010.4195845000004"/>
    <n v="0"/>
    <n v="0"/>
    <n v="0"/>
    <n v="0"/>
    <n v="5405"/>
    <n v="496783.392505"/>
    <s v="EPER"/>
    <n v="7414000005"/>
  </r>
  <r>
    <x v="78"/>
    <s v="BANCO SANTANDER MEXICO SA FIDEICOMISO F/2460173-0"/>
    <x v="30"/>
    <s v="NORMAL"/>
    <s v="MXN"/>
    <n v="9197"/>
    <n v="88.698122999999995"/>
    <n v="815756.637231"/>
    <n v="85.778805720741545"/>
    <n v="26848.96101734"/>
    <n v="0"/>
    <n v="0"/>
    <n v="0"/>
    <n v="0"/>
    <n v="9197"/>
    <n v="815756.637231"/>
    <s v="EPER"/>
    <n v="7414000005"/>
  </r>
  <r>
    <x v="78"/>
    <s v="BANCO SANTANDER MEXICO SA FIDEICOMISO F/2460173-0"/>
    <x v="31"/>
    <s v="NORMAL"/>
    <s v="MXN"/>
    <n v="6301"/>
    <n v="93.314192000000006"/>
    <n v="587972.72379199998"/>
    <n v="97.152168486657672"/>
    <n v="-24183.089842429999"/>
    <n v="0"/>
    <n v="0"/>
    <n v="0"/>
    <n v="0"/>
    <n v="6301"/>
    <n v="587972.72379199998"/>
    <s v="EPER"/>
    <n v="7414000005"/>
  </r>
  <r>
    <x v="78"/>
    <s v="BANCO SANTANDER MEXICO SA FIDEICOMISO F/2460173-0"/>
    <x v="32"/>
    <s v="NORMAL"/>
    <s v="MXN"/>
    <n v="5780"/>
    <n v="94.864168000000006"/>
    <n v="548314.89104000002"/>
    <n v="96.492803807231837"/>
    <n v="-9413.5149657999991"/>
    <n v="0"/>
    <n v="0"/>
    <n v="0"/>
    <n v="0"/>
    <n v="5780"/>
    <n v="548314.89104000002"/>
    <s v="EPER"/>
    <n v="7414000005"/>
  </r>
  <r>
    <x v="78"/>
    <s v="BANCO SANTANDER MEXICO SA FIDEICOMISO F/2460173-0"/>
    <x v="33"/>
    <s v="NORMAL"/>
    <s v="MXN"/>
    <n v="2240"/>
    <n v="94.870157000000006"/>
    <n v="212509.15168000001"/>
    <n v="96.692672049999999"/>
    <n v="-4082.433712"/>
    <n v="0"/>
    <n v="0"/>
    <n v="0"/>
    <n v="0"/>
    <n v="2240"/>
    <n v="212509.15168000001"/>
    <s v="EPER"/>
    <n v="7414000005"/>
  </r>
  <r>
    <x v="78"/>
    <s v="BANCO SANTANDER MEXICO SA FIDEICOMISO F/2460173-0"/>
    <x v="34"/>
    <s v="NORMAL"/>
    <s v="MXN"/>
    <n v="9538"/>
    <n v="89.489464999999996"/>
    <n v="853550.51717000001"/>
    <n v="90.474746434348916"/>
    <n v="-9397.6143208199992"/>
    <n v="0"/>
    <n v="0"/>
    <n v="0"/>
    <n v="0"/>
    <n v="9538"/>
    <n v="853550.51717000001"/>
    <s v="EPER"/>
    <n v="7414000005"/>
  </r>
  <r>
    <x v="78"/>
    <s v="BANCO SANTANDER MEXICO SA FIDEICOMISO F/2460173-0"/>
    <x v="35"/>
    <s v="NORMAL"/>
    <s v="MXN"/>
    <n v="6380"/>
    <n v="86.197128000000006"/>
    <n v="549937.67663999996"/>
    <n v="89.861306842946703"/>
    <n v="-23377.461018000002"/>
    <n v="0"/>
    <n v="0"/>
    <n v="0"/>
    <n v="0"/>
    <n v="6380"/>
    <n v="549937.67663999996"/>
    <s v="EPER"/>
    <n v="7414000005"/>
  </r>
  <r>
    <x v="78"/>
    <s v="BANCO SANTANDER MEXICO SA FIDEICOMISO F/2460173-0"/>
    <x v="36"/>
    <s v="NORMAL"/>
    <s v="MXN"/>
    <n v="30682"/>
    <n v="86.469353999999996"/>
    <n v="2653052.719428"/>
    <n v="90.471505061123139"/>
    <n v="-122793.99885737999"/>
    <n v="0"/>
    <n v="0"/>
    <n v="0"/>
    <n v="0"/>
    <n v="30682"/>
    <n v="2653052.719428"/>
    <s v="EPER"/>
    <n v="7414000005"/>
  </r>
  <r>
    <x v="78"/>
    <s v="BANCO SANTANDER MEXICO SA FIDEICOMISO F/2460173-0"/>
    <x v="81"/>
    <s v="NORMAL"/>
    <s v="MXN"/>
    <n v="412"/>
    <n v="101.45096599999999"/>
    <n v="41797.797992"/>
    <n v="117.16581832999999"/>
    <n v="-6474.5191599600003"/>
    <n v="0"/>
    <n v="0"/>
    <n v="0"/>
    <n v="0"/>
    <n v="412"/>
    <n v="41797.797992"/>
    <s v="EPER"/>
    <n v="7414000005"/>
  </r>
  <r>
    <x v="78"/>
    <s v="BANCO SANTANDER MEXICO SA FIDEICOMISO F/2460173-0"/>
    <x v="68"/>
    <s v="NORMAL"/>
    <s v="MXN"/>
    <n v="442"/>
    <n v="89.643172000000007"/>
    <n v="39622.282024"/>
    <n v="117.61351206000001"/>
    <n v="-12362.890306519999"/>
    <n v="0"/>
    <n v="0"/>
    <n v="0"/>
    <n v="0"/>
    <n v="442"/>
    <n v="39622.282024"/>
    <s v="EPER"/>
    <n v="7414000005"/>
  </r>
  <r>
    <x v="78"/>
    <s v="BANCO SANTANDER MEXICO SA FIDEICOMISO F/2460173-0"/>
    <x v="37"/>
    <s v="NORMAL"/>
    <s v="MXN"/>
    <n v="11371"/>
    <n v="81.738860000000003"/>
    <n v="929452.57706000004"/>
    <n v="86.458115801873191"/>
    <n v="-53662.657723099997"/>
    <n v="0"/>
    <n v="0"/>
    <n v="0"/>
    <n v="0"/>
    <n v="11371"/>
    <n v="929452.57706000004"/>
    <s v="EPER"/>
    <n v="7414000005"/>
  </r>
  <r>
    <x v="78"/>
    <s v="BANCO SANTANDER MEXICO SA FIDEICOMISO F/2460173-0"/>
    <x v="38"/>
    <s v="NORMAL"/>
    <s v="MXN"/>
    <n v="1576"/>
    <n v="83.200761"/>
    <n v="131124.399336"/>
    <n v="92.80328759456853"/>
    <n v="-15133.58191304"/>
    <n v="0"/>
    <n v="0"/>
    <n v="0"/>
    <n v="0"/>
    <n v="1576"/>
    <n v="131124.399336"/>
    <s v="EPER"/>
    <n v="7414000005"/>
  </r>
  <r>
    <x v="78"/>
    <s v="BANCO SANTANDER MEXICO SA FIDEICOMISO F/2460173-0"/>
    <x v="39"/>
    <s v="NORMAL"/>
    <s v="MXN"/>
    <n v="17408"/>
    <n v="82.159907000000004"/>
    <n v="1430239.661056"/>
    <n v="84.249795421269525"/>
    <n v="-36380.77763746"/>
    <n v="0"/>
    <n v="0"/>
    <n v="0"/>
    <n v="0"/>
    <n v="17408"/>
    <n v="1430239.661056"/>
    <s v="EPER"/>
    <n v="7414000005"/>
  </r>
  <r>
    <x v="78"/>
    <s v="BANCO SANTANDER MEXICO SA FIDEICOMISO F/2460173-0"/>
    <x v="88"/>
    <s v="NORMAL"/>
    <s v="MXN"/>
    <n v="7840"/>
    <n v="98.007834000000003"/>
    <n v="768381.41856000002"/>
    <n v="92.067947700000005"/>
    <n v="46568.708592000003"/>
    <n v="0"/>
    <n v="0"/>
    <n v="0"/>
    <n v="0"/>
    <n v="7840"/>
    <n v="768381.41856000002"/>
    <s v="EPER"/>
    <n v="7414000005"/>
  </r>
  <r>
    <x v="78"/>
    <s v="BANCO SANTANDER MEXICO SA FIDEICOMISO F/2460173-0"/>
    <x v="0"/>
    <s v="NORMAL"/>
    <s v="MXN"/>
    <n v="1813682"/>
    <n v="3.3967719999999999"/>
    <n v="6160664.2345040003"/>
    <n v="3.2943384341907787"/>
    <n v="185781.91450399999"/>
    <n v="0"/>
    <n v="0"/>
    <n v="0"/>
    <n v="0"/>
    <n v="1813682"/>
    <n v="6160664.2345040003"/>
    <s v="EPER"/>
    <n v="7414000005"/>
  </r>
  <r>
    <x v="78"/>
    <s v="BANCO SANTANDER MEXICO SA FIDEICOMISO F/2460173-0"/>
    <x v="80"/>
    <s v="NORMAL"/>
    <s v="MXN"/>
    <n v="1409220"/>
    <n v="3.8832339999999999"/>
    <n v="5472331.0174799999"/>
    <n v="2.8732591859326435"/>
    <n v="1423276.7074800001"/>
    <n v="0"/>
    <n v="0"/>
    <n v="0"/>
    <n v="0"/>
    <n v="1409220"/>
    <n v="5472331.0174799999"/>
    <s v="EPER"/>
    <n v="7414000005"/>
  </r>
  <r>
    <x v="78"/>
    <s v="BANCO SANTANDER MEXICO SA FIDEICOMISO F/2460173-0"/>
    <x v="141"/>
    <s v="NORMAL"/>
    <s v="MXN"/>
    <n v="103"/>
    <n v="256.05011500000001"/>
    <n v="26373.161844999999"/>
    <n v="487.31725861000001"/>
    <n v="-23820.515791829999"/>
    <n v="0"/>
    <n v="0"/>
    <n v="0"/>
    <n v="0"/>
    <n v="103"/>
    <n v="26373.161844999999"/>
    <s v="EPER"/>
    <n v="7414000005"/>
  </r>
  <r>
    <x v="78"/>
    <s v="BANCO SANTANDER MEXICO SA FIDEICOMISO F/2460173-0"/>
    <x v="51"/>
    <s v="NORMAL"/>
    <s v="MXN"/>
    <n v="744"/>
    <n v="775.69178699999998"/>
    <n v="577114.68952799996"/>
    <n v="676.3296398930645"/>
    <n v="73925.437447560005"/>
    <n v="0"/>
    <n v="0"/>
    <n v="0"/>
    <n v="0"/>
    <n v="744"/>
    <n v="577114.68952799996"/>
    <s v="EPER"/>
    <n v="7414000005"/>
  </r>
  <r>
    <x v="78"/>
    <s v="BANCO SANTANDER MEXICO SA FIDEICOMISO F/2460173-0"/>
    <x v="52"/>
    <s v="NORMAL"/>
    <s v="MXN"/>
    <n v="1140"/>
    <n v="747.17843200000004"/>
    <n v="851783.41248000006"/>
    <n v="709.91443943000002"/>
    <n v="42480.951529799997"/>
    <n v="0"/>
    <n v="0"/>
    <n v="0"/>
    <n v="0"/>
    <n v="1140"/>
    <n v="851783.41248000006"/>
    <s v="EPER"/>
    <n v="7414000005"/>
  </r>
  <r>
    <x v="78"/>
    <s v="BANCO SANTANDER MEXICO SA FIDEICOMISO F/2460173-0"/>
    <x v="53"/>
    <s v="NORMAL"/>
    <s v="MXN"/>
    <n v="1075"/>
    <n v="765.92388300000005"/>
    <n v="823368.17422499997"/>
    <n v="750.84219278572095"/>
    <n v="16212.81698035"/>
    <n v="0"/>
    <n v="0"/>
    <n v="0"/>
    <n v="0"/>
    <n v="1075"/>
    <n v="823368.17422499997"/>
    <s v="EPER"/>
    <n v="7414000005"/>
  </r>
  <r>
    <x v="78"/>
    <s v="BANCO SANTANDER MEXICO SA FIDEICOMISO F/2460173-0"/>
    <x v="54"/>
    <s v="NORMAL"/>
    <s v="MXN"/>
    <n v="5246"/>
    <n v="684.88915799999995"/>
    <n v="3592928.522868"/>
    <n v="677.1143315746092"/>
    <n v="40786.739427599998"/>
    <n v="0"/>
    <n v="0"/>
    <n v="0"/>
    <n v="0"/>
    <n v="5246"/>
    <n v="3592928.522868"/>
    <s v="EPER"/>
    <n v="7414000005"/>
  </r>
  <r>
    <x v="78"/>
    <s v="BANCO SANTANDER MEXICO SA FIDEICOMISO F/2460173-0"/>
    <x v="55"/>
    <s v="NORMAL"/>
    <s v="MXN"/>
    <n v="489"/>
    <n v="772.926965"/>
    <n v="377961.28588500002"/>
    <n v="798.93664675000002"/>
    <n v="-12718.73437575"/>
    <n v="0"/>
    <n v="0"/>
    <n v="0"/>
    <n v="0"/>
    <n v="489"/>
    <n v="377961.28588500002"/>
    <s v="EPER"/>
    <n v="7414000005"/>
  </r>
  <r>
    <x v="78"/>
    <s v="BANCO SANTANDER MEXICO SA FIDEICOMISO F/2460173-0"/>
    <x v="56"/>
    <s v="NORMAL"/>
    <s v="MXN"/>
    <n v="549"/>
    <n v="721.59464000000003"/>
    <n v="396155.45736"/>
    <n v="758.77574809999999"/>
    <n v="-20412.4283469"/>
    <n v="0"/>
    <n v="0"/>
    <n v="0"/>
    <n v="0"/>
    <n v="549"/>
    <n v="396155.45736"/>
    <s v="EPER"/>
    <n v="7414000005"/>
  </r>
  <r>
    <x v="78"/>
    <s v="BANCO SANTANDER MEXICO SA FIDEICOMISO F/2460173-0"/>
    <x v="57"/>
    <s v="NORMAL"/>
    <s v="MXN"/>
    <n v="520"/>
    <n v="635.96311900000001"/>
    <n v="330700.82188"/>
    <n v="647.93802047999998"/>
    <n v="-6226.9487695999997"/>
    <n v="0"/>
    <n v="0"/>
    <n v="0"/>
    <n v="0"/>
    <n v="520"/>
    <n v="330700.82188"/>
    <s v="EPER"/>
    <n v="7414000005"/>
  </r>
  <r>
    <x v="78"/>
    <s v="BANCO SANTANDER MEXICO SA FIDEICOMISO F/2460173-0"/>
    <x v="58"/>
    <s v="NORMAL"/>
    <s v="MXN"/>
    <n v="853"/>
    <n v="709.36974099999998"/>
    <n v="605092.38907300006"/>
    <n v="727.64997899205162"/>
    <n v="-15593.04300722"/>
    <n v="0"/>
    <n v="0"/>
    <n v="0"/>
    <n v="0"/>
    <n v="853"/>
    <n v="605092.38907300006"/>
    <s v="EPER"/>
    <n v="7414000005"/>
  </r>
  <r>
    <x v="78"/>
    <s v="BANCO SANTANDER MEXICO SA FIDEICOMISO F/2460173-0"/>
    <x v="59"/>
    <s v="NORMAL"/>
    <s v="MXN"/>
    <n v="3208"/>
    <n v="694.41118700000004"/>
    <n v="2227671.0878960001"/>
    <n v="724.28824838688593"/>
    <n v="-95845.612929130002"/>
    <n v="0"/>
    <n v="0"/>
    <n v="0"/>
    <n v="0"/>
    <n v="3208"/>
    <n v="2227671.0878960001"/>
    <s v="EPER"/>
    <n v="7414000005"/>
  </r>
  <r>
    <x v="79"/>
    <s v="BANCO SANTANDER MEXICO SA FIDEICOMISO F/2460173-0"/>
    <x v="130"/>
    <s v="NORMAL"/>
    <s v="MXN"/>
    <n v="2634000"/>
    <n v="4.5848760000000004"/>
    <n v="12076563.384"/>
    <n v="4.1913217995444194"/>
    <n v="1036621.764"/>
    <n v="0"/>
    <n v="0"/>
    <n v="0"/>
    <n v="0"/>
    <n v="2634000"/>
    <n v="12076563.384"/>
    <s v="EPER"/>
    <n v="7414000005"/>
  </r>
  <r>
    <x v="79"/>
    <s v="BANCO SANTANDER MEXICO SA FIDEICOMISO F/2460173-0"/>
    <x v="0"/>
    <s v="NORMAL"/>
    <s v="MXN"/>
    <n v="126592"/>
    <n v="3.3967719999999999"/>
    <n v="430004.16102399997"/>
    <n v="3.3342632235844287"/>
    <n v="7913.1110239999998"/>
    <n v="0"/>
    <n v="0"/>
    <n v="0"/>
    <n v="0"/>
    <n v="126592"/>
    <n v="430004.16102399997"/>
    <s v="EPER"/>
    <n v="7414000005"/>
  </r>
  <r>
    <x v="79"/>
    <s v="BANCO SANTANDER MEXICO SA FIDEICOMISO F/2460173-0"/>
    <x v="80"/>
    <s v="NORMAL"/>
    <s v="MXN"/>
    <n v="3579"/>
    <n v="3.8832339999999999"/>
    <n v="13898.094486"/>
    <n v="3.2042190556021235"/>
    <n v="2430.1944859999999"/>
    <n v="0"/>
    <n v="0"/>
    <n v="0"/>
    <n v="0"/>
    <n v="3579"/>
    <n v="13898.094486"/>
    <s v="EPER"/>
    <n v="7414000005"/>
  </r>
  <r>
    <x v="80"/>
    <s v="BANCO SANTANDER MEXICO SA FIDEICOMISO F/2460173-0"/>
    <x v="130"/>
    <s v="NORMAL"/>
    <s v="MXN"/>
    <n v="2810000"/>
    <n v="4.5848760000000004"/>
    <n v="12883501.560000001"/>
    <n v="4.1933545907473313"/>
    <n v="1100175.1599999999"/>
    <n v="0"/>
    <n v="0"/>
    <n v="0"/>
    <n v="0"/>
    <n v="2810000"/>
    <n v="12883501.560000001"/>
    <s v="EPER"/>
    <n v="7414000005"/>
  </r>
  <r>
    <x v="80"/>
    <s v="BANCO SANTANDER MEXICO SA FIDEICOMISO F/2460173-0"/>
    <x v="0"/>
    <s v="NORMAL"/>
    <s v="MXN"/>
    <n v="147007"/>
    <n v="3.3967719999999999"/>
    <n v="499349.26140399999"/>
    <n v="3.3267777724870244"/>
    <n v="10289.641404"/>
    <n v="0"/>
    <n v="0"/>
    <n v="0"/>
    <n v="0"/>
    <n v="147007"/>
    <n v="499349.26140399999"/>
    <s v="EPER"/>
    <n v="7414000005"/>
  </r>
  <r>
    <x v="81"/>
    <s v="SAM ASSET MANAGEMENT SA CV SOFI X CTA Y ORDEN DE TERCEROS"/>
    <x v="66"/>
    <s v="NORMAL"/>
    <s v="MXN"/>
    <n v="0"/>
    <n v="0"/>
    <n v="136726683.61000001"/>
    <n v="0"/>
    <n v="0"/>
    <n v="0"/>
    <n v="0"/>
    <n v="0"/>
    <n v="0"/>
    <n v="0"/>
    <n v="136726683.61000001"/>
    <s v="EPER"/>
    <n v="7414000005"/>
  </r>
  <r>
    <x v="81"/>
    <s v="SAM ASSET MANAGEMENT SA CV SOFI X CTA Y ORDEN DE TERCEROS"/>
    <x v="33"/>
    <s v="NORMAL"/>
    <s v="MXN"/>
    <n v="0"/>
    <n v="0"/>
    <n v="0"/>
    <n v="0"/>
    <n v="0"/>
    <n v="0"/>
    <n v="0"/>
    <n v="0"/>
    <n v="0"/>
    <n v="0"/>
    <n v="0"/>
    <s v="EPER"/>
    <n v="7414000005"/>
  </r>
  <r>
    <x v="82"/>
    <s v="AJEMEX CONSULTORES SA DE CV"/>
    <x v="0"/>
    <s v="NORMAL"/>
    <s v="MXN"/>
    <n v="288941"/>
    <n v="3.3967719999999999"/>
    <n v="981466.69845200004"/>
    <n v="3.3520693497980556"/>
    <n v="12916.428452"/>
    <n v="0"/>
    <n v="0"/>
    <n v="0"/>
    <n v="0"/>
    <n v="288941"/>
    <n v="981466.69845200004"/>
    <s v="EPER"/>
    <n v="7414000005"/>
  </r>
  <r>
    <x v="83"/>
    <s v="CAJA RADIOPOLIS SC"/>
    <x v="0"/>
    <s v="NORMAL"/>
    <s v="MXN"/>
    <n v="1266664"/>
    <n v="3.3967719999999999"/>
    <n v="4302568.8086080002"/>
    <n v="3.2114013740028926"/>
    <n v="234802.29860800001"/>
    <n v="0"/>
    <n v="0"/>
    <n v="0"/>
    <n v="0"/>
    <n v="1266664"/>
    <n v="4302568.8086080002"/>
    <s v="EPER"/>
    <n v="7414000005"/>
  </r>
  <r>
    <x v="84"/>
    <s v="FONDO RADIOPOLIS SC"/>
    <x v="0"/>
    <s v="NORMAL"/>
    <s v="MXN"/>
    <n v="2766884"/>
    <n v="3.3967719999999999"/>
    <n v="9398474.0984480008"/>
    <n v="3.3267261764497538"/>
    <n v="193808.66844800001"/>
    <n v="0"/>
    <n v="0"/>
    <n v="0"/>
    <n v="0"/>
    <n v="2766884"/>
    <n v="9398474.0984480008"/>
    <s v="EPER"/>
    <n v="7414000005"/>
  </r>
  <r>
    <x v="85"/>
    <s v="SAINT GOBAIN PLAKA, S.A. DE C.V."/>
    <x v="90"/>
    <s v="NORMAL"/>
    <s v="MXN"/>
    <n v="180276"/>
    <n v="3.4005040000000002"/>
    <n v="613029.25910400006"/>
    <n v="3.3576768399565111"/>
    <n v="7720.7091039999996"/>
    <n v="0"/>
    <n v="0"/>
    <n v="0"/>
    <n v="0"/>
    <n v="180276"/>
    <n v="613029.25910400006"/>
    <s v="EPER"/>
    <n v="7414000005"/>
  </r>
  <r>
    <x v="86"/>
    <s v="DANONE DE MEXICO SA DE CV FONDO DE AHORRO SINDICALIZADO"/>
    <x v="66"/>
    <s v="NORMAL"/>
    <s v="MXN"/>
    <n v="0"/>
    <n v="0"/>
    <n v="2066083.19"/>
    <n v="0"/>
    <n v="0"/>
    <n v="0"/>
    <n v="0"/>
    <n v="0"/>
    <n v="0"/>
    <n v="0"/>
    <n v="2066083.19"/>
    <s v="EPER"/>
    <n v="7414000005"/>
  </r>
  <r>
    <x v="86"/>
    <s v="DANONE DE MEXICO SA DE CV FONDO DE AHORRO SINDICALIZADO"/>
    <x v="0"/>
    <s v="NORMAL"/>
    <s v="MXN"/>
    <n v="11271177"/>
    <n v="3.3967719999999999"/>
    <n v="38285618.440644003"/>
    <n v="3.3207661657695553"/>
    <n v="856675.21064399998"/>
    <n v="0"/>
    <n v="0"/>
    <n v="0"/>
    <n v="0"/>
    <n v="11271177"/>
    <n v="38285618.440644003"/>
    <s v="EPER"/>
    <n v="7414000005"/>
  </r>
  <r>
    <x v="87"/>
    <s v="DANONE DE MEXICO SA DE CV FONDO DE AHORRO NO SINDICALIZADO"/>
    <x v="66"/>
    <s v="NORMAL"/>
    <s v="MXN"/>
    <n v="0"/>
    <n v="0"/>
    <n v="4816735.47"/>
    <n v="0"/>
    <n v="0"/>
    <n v="0"/>
    <n v="0"/>
    <n v="0"/>
    <n v="0"/>
    <n v="0"/>
    <n v="4816735.47"/>
    <s v="EPER"/>
    <n v="7414000005"/>
  </r>
  <r>
    <x v="87"/>
    <s v="DANONE DE MEXICO SA DE CV FONDO DE AHORRO NO SINDICALIZADO"/>
    <x v="0"/>
    <s v="NORMAL"/>
    <s v="MXN"/>
    <n v="14901298"/>
    <n v="3.3967719999999999"/>
    <n v="50616311.810056001"/>
    <n v="3.308655970104081"/>
    <n v="1313043.2200559999"/>
    <n v="0"/>
    <n v="0"/>
    <n v="0"/>
    <n v="0"/>
    <n v="14901298"/>
    <n v="50616311.810056001"/>
    <s v="EPER"/>
    <n v="7414000005"/>
  </r>
  <r>
    <x v="88"/>
    <s v="COMPANIA GENERAL DE AGUAS SA DE CV FONDO DE AHORRO"/>
    <x v="90"/>
    <s v="NORMAL"/>
    <s v="MXN"/>
    <n v="5399"/>
    <n v="3.4005040000000002"/>
    <n v="18359.321096"/>
    <n v="3.3420466753102427"/>
    <n v="315.61109599999997"/>
    <n v="0"/>
    <n v="0"/>
    <n v="0"/>
    <n v="0"/>
    <n v="5399"/>
    <n v="18359.321096"/>
    <s v="EPER"/>
    <n v="7414000005"/>
  </r>
  <r>
    <x v="89"/>
    <s v="ENVASADORAS DE AGUAS EN MEXICO S DE RLDECV FDO DE AHORRO SINDICALIZADO"/>
    <x v="66"/>
    <s v="NORMAL"/>
    <s v="MXN"/>
    <n v="0"/>
    <n v="0"/>
    <n v="720199.81"/>
    <n v="0"/>
    <n v="0"/>
    <n v="0"/>
    <n v="0"/>
    <n v="0"/>
    <n v="0"/>
    <n v="0"/>
    <n v="720199.81"/>
    <s v="EPER"/>
    <n v="7414000005"/>
  </r>
  <r>
    <x v="89"/>
    <s v="ENVASADORAS DE AGUAS EN MEXICO S DE RLDECV FDO DE AHORRO SINDICALIZADO"/>
    <x v="90"/>
    <s v="NORMAL"/>
    <s v="MXN"/>
    <n v="4700479"/>
    <n v="3.4005040000000002"/>
    <n v="15983997.641416"/>
    <n v="3.3602059768802284"/>
    <n v="189420.01141599999"/>
    <n v="0"/>
    <n v="0"/>
    <n v="0"/>
    <n v="0"/>
    <n v="4700479"/>
    <n v="15983997.641416"/>
    <s v="EPER"/>
    <n v="7414000005"/>
  </r>
  <r>
    <x v="90"/>
    <s v="SAINT GOBAIN MEXICO SA DE CV (FDO AHORRO EMPLEADOS)"/>
    <x v="90"/>
    <s v="NORMAL"/>
    <s v="MXN"/>
    <n v="1364000"/>
    <n v="3.4005040000000002"/>
    <n v="4638287.4560000002"/>
    <n v="3.3623344428152491"/>
    <n v="52063.275999999998"/>
    <n v="0"/>
    <n v="0"/>
    <n v="0"/>
    <n v="0"/>
    <n v="1364000"/>
    <n v="4638287.4560000002"/>
    <s v="EPER"/>
    <n v="7414000005"/>
  </r>
  <r>
    <x v="91"/>
    <s v="SAINT GOBAIN MEXICO SA DE CV (FDO AHORRO SINDICALIZADOS)"/>
    <x v="90"/>
    <s v="NORMAL"/>
    <s v="MXN"/>
    <n v="1874444"/>
    <n v="3.4005040000000002"/>
    <n v="6374054.3197760005"/>
    <n v="3.354343965463892"/>
    <n v="86524.399776000006"/>
    <n v="0"/>
    <n v="0"/>
    <n v="0"/>
    <n v="0"/>
    <n v="1874444"/>
    <n v="6374054.3197760005"/>
    <s v="EPER"/>
    <n v="7414000005"/>
  </r>
  <r>
    <x v="92"/>
    <s v="ENVASADORA LA SUPREMA SA DE CV FONDO DE AHORRO"/>
    <x v="66"/>
    <s v="NORMAL"/>
    <s v="MXN"/>
    <n v="0"/>
    <n v="0"/>
    <n v="2496246.89"/>
    <n v="0"/>
    <n v="0"/>
    <n v="0"/>
    <n v="0"/>
    <n v="0"/>
    <n v="0"/>
    <n v="0"/>
    <n v="2496246.89"/>
    <s v="EPER"/>
    <n v="7414000005"/>
  </r>
  <r>
    <x v="92"/>
    <s v="ENVASADORA LA SUPREMA SA DE CV FONDO DE AHORRO"/>
    <x v="0"/>
    <s v="NORMAL"/>
    <s v="MXN"/>
    <n v="1617132"/>
    <n v="3.3967719999999999"/>
    <n v="5493028.6979040001"/>
    <n v="3.3388523262170313"/>
    <n v="93663.757903999998"/>
    <n v="0"/>
    <n v="0"/>
    <n v="0"/>
    <n v="0"/>
    <n v="1617132"/>
    <n v="5493028.6979040001"/>
    <s v="EPER"/>
    <n v="7414000005"/>
  </r>
  <r>
    <x v="93"/>
    <s v="ENVASADORA LA SUPREMA SA DE CV FONDO DE PENSIONES"/>
    <x v="0"/>
    <s v="NORMAL"/>
    <s v="MXN"/>
    <n v="1192887"/>
    <n v="3.3967719999999999"/>
    <n v="4051965.1607639999"/>
    <n v="3.3326248839999093"/>
    <n v="76520.260764000006"/>
    <n v="0"/>
    <n v="0"/>
    <n v="0"/>
    <n v="0"/>
    <n v="1192887"/>
    <n v="4051965.1607639999"/>
    <s v="EPER"/>
    <n v="7414000005"/>
  </r>
  <r>
    <x v="93"/>
    <s v="ENVASADORA LA SUPREMA SA DE CV FONDO DE PENSIONES"/>
    <x v="80"/>
    <s v="NORMAL"/>
    <s v="MXN"/>
    <n v="597515"/>
    <n v="3.8832339999999999"/>
    <n v="2320290.5635099998"/>
    <n v="2.7830230370785669"/>
    <n v="657392.55351"/>
    <n v="0"/>
    <n v="0"/>
    <n v="0"/>
    <n v="0"/>
    <n v="597515"/>
    <n v="2320290.5635099998"/>
    <s v="EPER"/>
    <n v="7414000005"/>
  </r>
  <r>
    <x v="93"/>
    <s v="ENVASADORA LA SUPREMA SA DE CV FONDO DE PENSIONES"/>
    <x v="64"/>
    <s v="NORMAL"/>
    <s v="MXN"/>
    <n v="1762362"/>
    <n v="2.7668819999999998"/>
    <n v="4876247.6952839997"/>
    <n v="2.3501810014060673"/>
    <n v="734378.00528399996"/>
    <n v="0"/>
    <n v="0"/>
    <n v="0"/>
    <n v="0"/>
    <n v="1762362"/>
    <n v="4876247.6952839997"/>
    <s v="EPER"/>
    <n v="7414000005"/>
  </r>
  <r>
    <x v="94"/>
    <s v="BONAFONT SA DE CV FONDO DE AHORRO SINDICALIZADO"/>
    <x v="66"/>
    <s v="NORMAL"/>
    <s v="MXN"/>
    <n v="0"/>
    <n v="0"/>
    <n v="411999.01"/>
    <n v="0"/>
    <n v="0"/>
    <n v="0"/>
    <n v="0"/>
    <n v="0"/>
    <n v="0"/>
    <n v="0"/>
    <n v="411999.01"/>
    <s v="EPER"/>
    <n v="7414000005"/>
  </r>
  <r>
    <x v="94"/>
    <s v="BONAFONT SA DE CV FONDO DE AHORRO SINDICALIZADO"/>
    <x v="0"/>
    <s v="NORMAL"/>
    <s v="MXN"/>
    <n v="2496183"/>
    <n v="3.3967719999999999"/>
    <n v="8478964.5212760009"/>
    <n v="3.3294021672289249"/>
    <n v="168167.43127599999"/>
    <n v="0"/>
    <n v="0"/>
    <n v="0"/>
    <n v="0"/>
    <n v="2496183"/>
    <n v="8478964.5212760009"/>
    <s v="EPER"/>
    <n v="7414000005"/>
  </r>
  <r>
    <x v="95"/>
    <s v="BONAFONT SA DE CV FONDO DE AHORRO NO SINDICALIZADO"/>
    <x v="66"/>
    <s v="NORMAL"/>
    <s v="MXN"/>
    <n v="0"/>
    <n v="0"/>
    <n v="1350374.65"/>
    <n v="0"/>
    <n v="0"/>
    <n v="0"/>
    <n v="0"/>
    <n v="0"/>
    <n v="0"/>
    <n v="0"/>
    <n v="1350374.65"/>
    <s v="EPER"/>
    <n v="7414000005"/>
  </r>
  <r>
    <x v="95"/>
    <s v="BONAFONT SA DE CV FONDO DE AHORRO NO SINDICALIZADO"/>
    <x v="0"/>
    <s v="NORMAL"/>
    <s v="MXN"/>
    <n v="3941087"/>
    <n v="3.3967719999999999"/>
    <n v="13386973.971163999"/>
    <n v="3.3242348012109351"/>
    <n v="285875.41116399999"/>
    <n v="0"/>
    <n v="0"/>
    <n v="0"/>
    <n v="0"/>
    <n v="3941087"/>
    <n v="13386973.971163999"/>
    <s v="EPER"/>
    <n v="7414000005"/>
  </r>
  <r>
    <x v="96"/>
    <s v="SIF ICAP SA DE CV FONDO DE AHORRO"/>
    <x v="129"/>
    <s v="NORMAL"/>
    <s v="MXN"/>
    <n v="916623"/>
    <n v="3.137273"/>
    <n v="2875696.5890790001"/>
    <n v="3.0472462506395761"/>
    <n v="82520.589078999998"/>
    <n v="0"/>
    <n v="0"/>
    <n v="0"/>
    <n v="0"/>
    <n v="916623"/>
    <n v="2875696.5890790001"/>
    <s v="EPER"/>
    <n v="7414000005"/>
  </r>
  <r>
    <x v="97"/>
    <s v="SIF ICAP SA DE CV PENSIONES Y PRIMA DE ANTIGUEDAD"/>
    <x v="121"/>
    <s v="NORMAL"/>
    <s v="MXN"/>
    <n v="2500000"/>
    <n v="9.8627230000000008"/>
    <n v="24656807.5"/>
    <n v="9.7229553800000001"/>
    <n v="349419.05"/>
    <n v="0"/>
    <n v="0"/>
    <n v="0"/>
    <n v="0"/>
    <n v="2500000"/>
    <n v="24656807.5"/>
    <s v="EPER"/>
    <n v="7414000005"/>
  </r>
  <r>
    <x v="97"/>
    <s v="SIF ICAP SA DE CV PENSIONES Y PRIMA DE ANTIGUEDAD"/>
    <x v="142"/>
    <s v="NORMAL"/>
    <s v="MXN"/>
    <n v="1000000"/>
    <n v="9.0621639999999992"/>
    <n v="9062164"/>
    <n v="8.1474269100000001"/>
    <n v="914737.09"/>
    <n v="0"/>
    <n v="0"/>
    <n v="0"/>
    <n v="0"/>
    <n v="1000000"/>
    <n v="9062164"/>
    <s v="EPER"/>
    <n v="7414000005"/>
  </r>
  <r>
    <x v="97"/>
    <s v="SIF ICAP SA DE CV PENSIONES Y PRIMA DE ANTIGUEDAD"/>
    <x v="0"/>
    <s v="NORMAL"/>
    <s v="MXN"/>
    <n v="998432"/>
    <n v="3.3967719999999999"/>
    <n v="3391445.8615040001"/>
    <n v="3.3412600056889201"/>
    <n v="55424.951503999997"/>
    <n v="0"/>
    <n v="0"/>
    <n v="0"/>
    <n v="0"/>
    <n v="998432"/>
    <n v="3391445.8615040001"/>
    <s v="EPER"/>
    <n v="7414000005"/>
  </r>
  <r>
    <x v="98"/>
    <s v="ZURICH ASEGURADORA MEXICANA, S.A. DE C.V"/>
    <x v="72"/>
    <s v="NORMAL"/>
    <s v="MXN"/>
    <n v="140930"/>
    <n v="9.3381629999999998"/>
    <n v="1316027.3115900001"/>
    <n v="8.3307969100000001"/>
    <n v="141968.10306369999"/>
    <n v="0"/>
    <n v="0"/>
    <n v="0"/>
    <n v="0"/>
    <n v="140930"/>
    <n v="1316027.3115900001"/>
    <s v="EPER"/>
    <n v="7414000005"/>
  </r>
  <r>
    <x v="98"/>
    <s v="ZURICH ASEGURADORA MEXICANA, S.A. DE C.V"/>
    <x v="15"/>
    <s v="NORMAL"/>
    <s v="MXN"/>
    <n v="107960"/>
    <n v="9.190137"/>
    <n v="992167.19051999995"/>
    <n v="8.2164038599999998"/>
    <n v="105124.2297944"/>
    <n v="0"/>
    <n v="0"/>
    <n v="0"/>
    <n v="0"/>
    <n v="107960"/>
    <n v="992167.19051999995"/>
    <s v="EPER"/>
    <n v="7414000005"/>
  </r>
  <r>
    <x v="98"/>
    <s v="ZURICH ASEGURADORA MEXICANA, S.A. DE C.V"/>
    <x v="66"/>
    <s v="NORMAL"/>
    <s v="MXN"/>
    <n v="0"/>
    <n v="0"/>
    <n v="6761036.1500000004"/>
    <n v="0"/>
    <n v="0"/>
    <n v="0"/>
    <n v="0"/>
    <n v="0"/>
    <n v="0"/>
    <n v="0"/>
    <n v="6761036.1500000004"/>
    <s v="EPER"/>
    <n v="7414000005"/>
  </r>
  <r>
    <x v="98"/>
    <s v="ZURICH ASEGURADORA MEXICANA, S.A. DE C.V"/>
    <x v="26"/>
    <s v="NORMAL"/>
    <s v="MXN"/>
    <n v="6330"/>
    <n v="98.730349000000004"/>
    <n v="624963.10916999995"/>
    <n v="108.06787303999999"/>
    <n v="-59106.527173199996"/>
    <n v="0"/>
    <n v="0"/>
    <n v="0"/>
    <n v="0"/>
    <n v="6330"/>
    <n v="624963.10916999995"/>
    <s v="EPER"/>
    <n v="7414000005"/>
  </r>
  <r>
    <x v="98"/>
    <s v="ZURICH ASEGURADORA MEXICANA, S.A. DE C.V"/>
    <x v="67"/>
    <s v="NORMAL"/>
    <s v="MXN"/>
    <n v="4639"/>
    <n v="99.247497999999993"/>
    <n v="460409.14322199998"/>
    <n v="115.75135435"/>
    <n v="-76561.389607649995"/>
    <n v="0"/>
    <n v="0"/>
    <n v="0"/>
    <n v="0"/>
    <n v="4639"/>
    <n v="460409.14322199998"/>
    <s v="EPER"/>
    <n v="7414000005"/>
  </r>
  <r>
    <x v="98"/>
    <s v="ZURICH ASEGURADORA MEXICANA, S.A. DE C.V"/>
    <x v="27"/>
    <s v="NORMAL"/>
    <s v="MXN"/>
    <n v="1360"/>
    <n v="94.973146999999997"/>
    <n v="129163.47992"/>
    <n v="91.134764709999999"/>
    <n v="5220.1999144000001"/>
    <n v="0"/>
    <n v="0"/>
    <n v="0"/>
    <n v="0"/>
    <n v="1360"/>
    <n v="129163.47992"/>
    <s v="EPER"/>
    <n v="7414000005"/>
  </r>
  <r>
    <x v="98"/>
    <s v="ZURICH ASEGURADORA MEXICANA, S.A. DE C.V"/>
    <x v="28"/>
    <s v="NORMAL"/>
    <s v="MXN"/>
    <n v="8055"/>
    <n v="91.911821000000003"/>
    <n v="740349.71815500001"/>
    <n v="97.809169460000007"/>
    <n v="-47503.141845300001"/>
    <n v="0"/>
    <n v="0"/>
    <n v="0"/>
    <n v="0"/>
    <n v="8055"/>
    <n v="740349.71815500001"/>
    <s v="EPER"/>
    <n v="7414000005"/>
  </r>
  <r>
    <x v="98"/>
    <s v="ZURICH ASEGURADORA MEXICANA, S.A. DE C.V"/>
    <x v="30"/>
    <s v="NORMAL"/>
    <s v="MXN"/>
    <n v="3380"/>
    <n v="88.698122999999995"/>
    <n v="299799.65574000002"/>
    <n v="92.101102100000006"/>
    <n v="-11502.069358000001"/>
    <n v="0"/>
    <n v="0"/>
    <n v="0"/>
    <n v="0"/>
    <n v="3380"/>
    <n v="299799.65574000002"/>
    <s v="EPER"/>
    <n v="7414000005"/>
  </r>
  <r>
    <x v="98"/>
    <s v="ZURICH ASEGURADORA MEXICANA, S.A. DE C.V"/>
    <x v="31"/>
    <s v="NORMAL"/>
    <s v="MXN"/>
    <n v="6880"/>
    <n v="93.314192000000006"/>
    <n v="642001.64095999999"/>
    <n v="104.61324234"/>
    <n v="-77737.466339199993"/>
    <n v="0"/>
    <n v="0"/>
    <n v="0"/>
    <n v="0"/>
    <n v="6880"/>
    <n v="642001.64095999999"/>
    <s v="EPER"/>
    <n v="7414000005"/>
  </r>
  <r>
    <x v="98"/>
    <s v="ZURICH ASEGURADORA MEXICANA, S.A. DE C.V"/>
    <x v="33"/>
    <s v="NORMAL"/>
    <s v="MXN"/>
    <n v="6256"/>
    <n v="94.870157000000006"/>
    <n v="593507.702192"/>
    <n v="97.949190880677747"/>
    <n v="-19262.43595752"/>
    <n v="0"/>
    <n v="0"/>
    <n v="0"/>
    <n v="0"/>
    <n v="6256"/>
    <n v="593507.702192"/>
    <s v="EPER"/>
    <n v="7414000005"/>
  </r>
  <r>
    <x v="98"/>
    <s v="ZURICH ASEGURADORA MEXICANA, S.A. DE C.V"/>
    <x v="34"/>
    <s v="NORMAL"/>
    <s v="MXN"/>
    <n v="7471"/>
    <n v="89.489464999999996"/>
    <n v="668575.79301499994"/>
    <n v="92.384535582177747"/>
    <n v="-21629.072319449999"/>
    <n v="0"/>
    <n v="0"/>
    <n v="0"/>
    <n v="0"/>
    <n v="7471"/>
    <n v="668575.79301499994"/>
    <s v="EPER"/>
    <n v="7414000005"/>
  </r>
  <r>
    <x v="98"/>
    <s v="ZURICH ASEGURADORA MEXICANA, S.A. DE C.V"/>
    <x v="35"/>
    <s v="NORMAL"/>
    <s v="MXN"/>
    <n v="5030"/>
    <n v="86.197128000000006"/>
    <n v="433571.55384000001"/>
    <n v="90.563850158230622"/>
    <n v="-21964.612455900002"/>
    <n v="0"/>
    <n v="0"/>
    <n v="0"/>
    <n v="0"/>
    <n v="5030"/>
    <n v="433571.55384000001"/>
    <s v="EPER"/>
    <n v="7414000005"/>
  </r>
  <r>
    <x v="98"/>
    <s v="ZURICH ASEGURADORA MEXICANA, S.A. DE C.V"/>
    <x v="36"/>
    <s v="NORMAL"/>
    <s v="MXN"/>
    <n v="1960"/>
    <n v="86.469353999999996"/>
    <n v="169479.93384000001"/>
    <n v="112.18590927"/>
    <n v="-50404.4483292"/>
    <n v="0"/>
    <n v="0"/>
    <n v="0"/>
    <n v="0"/>
    <n v="1960"/>
    <n v="169479.93384000001"/>
    <s v="EPER"/>
    <n v="7414000005"/>
  </r>
  <r>
    <x v="98"/>
    <s v="ZURICH ASEGURADORA MEXICANA, S.A. DE C.V"/>
    <x v="81"/>
    <s v="NORMAL"/>
    <s v="MXN"/>
    <n v="1050"/>
    <n v="101.45096599999999"/>
    <n v="106523.5143"/>
    <n v="116.56035229"/>
    <n v="-15864.8556045"/>
    <n v="0"/>
    <n v="0"/>
    <n v="0"/>
    <n v="0"/>
    <n v="1050"/>
    <n v="106523.5143"/>
    <s v="EPER"/>
    <n v="7414000005"/>
  </r>
  <r>
    <x v="98"/>
    <s v="ZURICH ASEGURADORA MEXICANA, S.A. DE C.V"/>
    <x v="68"/>
    <s v="NORMAL"/>
    <s v="MXN"/>
    <n v="2717"/>
    <n v="89.643172000000007"/>
    <n v="243560.49832399999"/>
    <n v="108.47711815"/>
    <n v="-51171.831689550003"/>
    <n v="0"/>
    <n v="0"/>
    <n v="0"/>
    <n v="0"/>
    <n v="2717"/>
    <n v="243560.49832399999"/>
    <s v="EPER"/>
    <n v="7414000005"/>
  </r>
  <r>
    <x v="98"/>
    <s v="ZURICH ASEGURADORA MEXICANA, S.A. DE C.V"/>
    <x v="38"/>
    <s v="NORMAL"/>
    <s v="MXN"/>
    <n v="1980"/>
    <n v="83.200761"/>
    <n v="164737.50678"/>
    <n v="92.05256061"/>
    <n v="-17526.563227800001"/>
    <n v="0"/>
    <n v="0"/>
    <n v="0"/>
    <n v="0"/>
    <n v="1980"/>
    <n v="164737.50678"/>
    <s v="EPER"/>
    <n v="7414000005"/>
  </r>
  <r>
    <x v="98"/>
    <s v="ZURICH ASEGURADORA MEXICANA, S.A. DE C.V"/>
    <x v="39"/>
    <s v="NORMAL"/>
    <s v="MXN"/>
    <n v="2255"/>
    <n v="82.159907000000004"/>
    <n v="185270.59028500001"/>
    <n v="86.420874420000004"/>
    <n v="-9608.4815321000005"/>
    <n v="0"/>
    <n v="0"/>
    <n v="0"/>
    <n v="0"/>
    <n v="2255"/>
    <n v="185270.59028500001"/>
    <s v="EPER"/>
    <n v="7414000005"/>
  </r>
  <r>
    <x v="98"/>
    <s v="ZURICH ASEGURADORA MEXICANA, S.A. DE C.V"/>
    <x v="88"/>
    <s v="NORMAL"/>
    <s v="MXN"/>
    <n v="11638"/>
    <n v="98.007834000000003"/>
    <n v="1140615.172092"/>
    <n v="89.107030300000005"/>
    <n v="103587.5534606"/>
    <n v="0"/>
    <n v="0"/>
    <n v="0"/>
    <n v="0"/>
    <n v="11638"/>
    <n v="1140615.172092"/>
    <s v="EPER"/>
    <n v="7414000005"/>
  </r>
  <r>
    <x v="98"/>
    <s v="ZURICH ASEGURADORA MEXICANA, S.A. DE C.V"/>
    <x v="143"/>
    <s v="NORMAL"/>
    <s v="MXN"/>
    <n v="970000"/>
    <n v="4.5555430000000001"/>
    <n v="4418876.71"/>
    <n v="3.1184202474226805"/>
    <n v="1394009.07"/>
    <n v="0"/>
    <n v="0"/>
    <n v="0"/>
    <n v="0"/>
    <n v="970000"/>
    <n v="4418876.71"/>
    <s v="EPER"/>
    <n v="7414000005"/>
  </r>
  <r>
    <x v="98"/>
    <s v="ZURICH ASEGURADORA MEXICANA, S.A. DE C.V"/>
    <x v="51"/>
    <s v="NORMAL"/>
    <s v="MXN"/>
    <n v="1078"/>
    <n v="775.69178699999998"/>
    <n v="836195.74638599996"/>
    <n v="749.6274899"/>
    <n v="28097.312273799998"/>
    <n v="0"/>
    <n v="0"/>
    <n v="0"/>
    <n v="0"/>
    <n v="1078"/>
    <n v="836195.74638599996"/>
    <s v="EPER"/>
    <n v="7414000005"/>
  </r>
  <r>
    <x v="98"/>
    <s v="ZURICH ASEGURADORA MEXICANA, S.A. DE C.V"/>
    <x v="52"/>
    <s v="NORMAL"/>
    <s v="MXN"/>
    <n v="710"/>
    <n v="747.17843200000004"/>
    <n v="530496.68672"/>
    <n v="710.45212059845073"/>
    <n v="26075.681095100001"/>
    <n v="0"/>
    <n v="0"/>
    <n v="0"/>
    <n v="0"/>
    <n v="710"/>
    <n v="530496.68672"/>
    <s v="EPER"/>
    <n v="7414000005"/>
  </r>
  <r>
    <x v="98"/>
    <s v="ZURICH ASEGURADORA MEXICANA, S.A. DE C.V"/>
    <x v="53"/>
    <s v="NORMAL"/>
    <s v="MXN"/>
    <n v="1548"/>
    <n v="765.92388300000005"/>
    <n v="1185650.1708839999"/>
    <n v="738.25231559785527"/>
    <n v="42835.586338519999"/>
    <n v="0"/>
    <n v="0"/>
    <n v="0"/>
    <n v="0"/>
    <n v="1548"/>
    <n v="1185650.1708839999"/>
    <s v="EPER"/>
    <n v="7414000005"/>
  </r>
  <r>
    <x v="98"/>
    <s v="ZURICH ASEGURADORA MEXICANA, S.A. DE C.V"/>
    <x v="54"/>
    <s v="NORMAL"/>
    <s v="MXN"/>
    <n v="910"/>
    <n v="684.88915799999995"/>
    <n v="623249.13378000003"/>
    <n v="689.07145538615384"/>
    <n v="-3805.8906213999999"/>
    <n v="0"/>
    <n v="0"/>
    <n v="0"/>
    <n v="0"/>
    <n v="910"/>
    <n v="623249.13378000003"/>
    <s v="EPER"/>
    <n v="7414000005"/>
  </r>
  <r>
    <x v="98"/>
    <s v="ZURICH ASEGURADORA MEXICANA, S.A. DE C.V"/>
    <x v="55"/>
    <s v="NORMAL"/>
    <s v="MXN"/>
    <n v="348"/>
    <n v="772.926965"/>
    <n v="268978.58382"/>
    <n v="623.49165198000003"/>
    <n v="52003.488930959997"/>
    <n v="0"/>
    <n v="0"/>
    <n v="0"/>
    <n v="0"/>
    <n v="348"/>
    <n v="268978.58382"/>
    <s v="EPER"/>
    <n v="7414000005"/>
  </r>
  <r>
    <x v="98"/>
    <s v="ZURICH ASEGURADORA MEXICANA, S.A. DE C.V"/>
    <x v="56"/>
    <s v="NORMAL"/>
    <s v="MXN"/>
    <n v="1327"/>
    <n v="721.59464000000003"/>
    <n v="957556.08727999998"/>
    <n v="758.08309179000003"/>
    <n v="-48420.17552533"/>
    <n v="0"/>
    <n v="0"/>
    <n v="0"/>
    <n v="0"/>
    <n v="1327"/>
    <n v="957556.08727999998"/>
    <s v="EPER"/>
    <n v="7414000005"/>
  </r>
  <r>
    <x v="98"/>
    <s v="ZURICH ASEGURADORA MEXICANA, S.A. DE C.V"/>
    <x v="57"/>
    <s v="NORMAL"/>
    <s v="MXN"/>
    <n v="383"/>
    <n v="635.96311900000001"/>
    <n v="243573.87457700001"/>
    <n v="647.93802047999998"/>
    <n v="-4586.3872668399999"/>
    <n v="0"/>
    <n v="0"/>
    <n v="0"/>
    <n v="0"/>
    <n v="383"/>
    <n v="243573.87457700001"/>
    <s v="EPER"/>
    <n v="7414000005"/>
  </r>
  <r>
    <x v="98"/>
    <s v="ZURICH ASEGURADORA MEXICANA, S.A. DE C.V"/>
    <x v="58"/>
    <s v="NORMAL"/>
    <s v="MXN"/>
    <n v="711"/>
    <n v="709.36974099999998"/>
    <n v="504361.88585100003"/>
    <n v="771.09918425000001"/>
    <n v="-43889.634150749996"/>
    <n v="0"/>
    <n v="0"/>
    <n v="0"/>
    <n v="0"/>
    <n v="711"/>
    <n v="504361.88585100003"/>
    <s v="EPER"/>
    <n v="7414000005"/>
  </r>
  <r>
    <x v="98"/>
    <s v="ZURICH ASEGURADORA MEXICANA, S.A. DE C.V"/>
    <x v="59"/>
    <s v="NORMAL"/>
    <s v="MXN"/>
    <n v="2619"/>
    <n v="694.41118700000004"/>
    <n v="1818662.898753"/>
    <n v="727.27319225586098"/>
    <n v="-86065.591765100005"/>
    <n v="0"/>
    <n v="0"/>
    <n v="0"/>
    <n v="0"/>
    <n v="2619"/>
    <n v="1818662.898753"/>
    <s v="EPER"/>
    <n v="7414000005"/>
  </r>
  <r>
    <x v="99"/>
    <s v="AJEMEX SA DE CV"/>
    <x v="0"/>
    <s v="NORMAL"/>
    <s v="MXN"/>
    <n v="441341"/>
    <n v="3.3967719999999999"/>
    <n v="1499134.751252"/>
    <n v="3.3527301791585193"/>
    <n v="19437.461252000001"/>
    <n v="0"/>
    <n v="0"/>
    <n v="0"/>
    <n v="0"/>
    <n v="441341"/>
    <n v="1499134.751252"/>
    <s v="EPER"/>
    <n v="7414000005"/>
  </r>
  <r>
    <x v="100"/>
    <s v="COCENTRO SA DE CV"/>
    <x v="0"/>
    <s v="NORMAL"/>
    <s v="MXN"/>
    <n v="450953"/>
    <n v="3.3967719999999999"/>
    <n v="1531784.5237159999"/>
    <n v="3.3518677999702851"/>
    <n v="20249.683716"/>
    <n v="0"/>
    <n v="0"/>
    <n v="0"/>
    <n v="0"/>
    <n v="450953"/>
    <n v="1531784.5237159999"/>
    <s v="EPER"/>
    <n v="7414000005"/>
  </r>
  <r>
    <x v="101"/>
    <s v="SAINT GOBAIN PLAKA SA DE CV"/>
    <x v="90"/>
    <s v="NORMAL"/>
    <s v="MXN"/>
    <n v="288953"/>
    <n v="3.4005040000000002"/>
    <n v="982585.83231199998"/>
    <n v="3.3787471664942048"/>
    <n v="6286.7023120000003"/>
    <n v="0"/>
    <n v="0"/>
    <n v="0"/>
    <n v="0"/>
    <n v="288953"/>
    <n v="982585.83231199998"/>
    <s v="EPER"/>
    <n v="7414000005"/>
  </r>
  <r>
    <x v="102"/>
    <s v="AUTOBUSES DE ORIENTE (ADO) S.A. DE C.V."/>
    <x v="144"/>
    <s v="NORMAL"/>
    <s v="MXN"/>
    <n v="0"/>
    <n v="0"/>
    <n v="0"/>
    <n v="0"/>
    <n v="0"/>
    <n v="0"/>
    <n v="0"/>
    <n v="0"/>
    <n v="0"/>
    <n v="0"/>
    <n v="0"/>
    <s v="EPER"/>
    <n v="7414000005"/>
  </r>
  <r>
    <x v="102"/>
    <s v="AUTOBUSES DE ORIENTE (ADO) S.A. DE C.V."/>
    <x v="145"/>
    <s v="NORMAL"/>
    <s v="MXN"/>
    <n v="0"/>
    <n v="0"/>
    <n v="0"/>
    <n v="0"/>
    <n v="0"/>
    <n v="0"/>
    <n v="0"/>
    <n v="0"/>
    <n v="0"/>
    <n v="0"/>
    <n v="0"/>
    <s v="EPER"/>
    <n v="7414000005"/>
  </r>
  <r>
    <x v="102"/>
    <s v="AUTOBUSES DE ORIENTE (ADO) S.A. DE C.V."/>
    <x v="146"/>
    <s v="NORMAL"/>
    <s v="MXN"/>
    <n v="0"/>
    <n v="0"/>
    <n v="0"/>
    <n v="0"/>
    <n v="0"/>
    <n v="0"/>
    <n v="0"/>
    <n v="0"/>
    <n v="0"/>
    <n v="0"/>
    <n v="0"/>
    <s v="EPER"/>
    <n v="7414000005"/>
  </r>
  <r>
    <x v="103"/>
    <s v="BANCO SANTANDER (MEXICO) FIDEICOMISO F/100246-1"/>
    <x v="13"/>
    <s v="NORMAL"/>
    <s v="MXN"/>
    <n v="31790"/>
    <n v="100.000484"/>
    <n v="3179015.3863599999"/>
    <n v="100"/>
    <n v="15.38636"/>
    <n v="0"/>
    <n v="0"/>
    <n v="0"/>
    <n v="0"/>
    <n v="31790"/>
    <n v="3179015.3863599999"/>
    <s v="EPER"/>
    <n v="7414000005"/>
  </r>
  <r>
    <x v="103"/>
    <s v="BANCO SANTANDER (MEXICO) FIDEICOMISO F/100246-1"/>
    <x v="147"/>
    <s v="NORMAL"/>
    <s v="MXN"/>
    <n v="0"/>
    <n v="0"/>
    <n v="0"/>
    <n v="0"/>
    <n v="0"/>
    <n v="0"/>
    <n v="0"/>
    <n v="0"/>
    <n v="0"/>
    <n v="0"/>
    <n v="0"/>
    <s v="EPER"/>
    <n v="7414000005"/>
  </r>
  <r>
    <x v="103"/>
    <s v="BANCO SANTANDER (MEXICO) FIDEICOMISO F/100246-1"/>
    <x v="122"/>
    <s v="NORMAL"/>
    <s v="MXN"/>
    <n v="1626153"/>
    <n v="8.5044190000000004"/>
    <n v="13829486.470107"/>
    <n v="8.3071887600000007"/>
    <n v="320726.54646672"/>
    <n v="0"/>
    <n v="0"/>
    <n v="0"/>
    <n v="0"/>
    <n v="1626153"/>
    <n v="13829486.470107"/>
    <s v="EPER"/>
    <n v="7414000005"/>
  </r>
  <r>
    <x v="103"/>
    <s v="BANCO SANTANDER (MEXICO) FIDEICOMISO F/100246-1"/>
    <x v="71"/>
    <s v="NORMAL"/>
    <s v="MXN"/>
    <n v="2668910"/>
    <n v="8.3813510000000004"/>
    <n v="22369071.497409999"/>
    <n v="8.2713869767429031"/>
    <n v="293484.08131109999"/>
    <n v="0"/>
    <n v="0"/>
    <n v="0"/>
    <n v="0"/>
    <n v="2668910"/>
    <n v="22369071.497409999"/>
    <s v="EPER"/>
    <n v="7414000005"/>
  </r>
  <r>
    <x v="103"/>
    <s v="BANCO SANTANDER (MEXICO) FIDEICOMISO F/100246-1"/>
    <x v="16"/>
    <s v="NORMAL"/>
    <s v="MXN"/>
    <n v="3337377"/>
    <n v="8.2580650000000002"/>
    <n v="27560276.195505001"/>
    <n v="8.2583871841649987"/>
    <n v="-1075.2500220300001"/>
    <n v="0"/>
    <n v="0"/>
    <n v="0"/>
    <n v="0"/>
    <n v="3337377"/>
    <n v="27560276.195505001"/>
    <s v="EPER"/>
    <n v="7414000005"/>
  </r>
  <r>
    <x v="103"/>
    <s v="BANCO SANTANDER (MEXICO) FIDEICOMISO F/100246-1"/>
    <x v="66"/>
    <s v="NORMAL"/>
    <s v="MXN"/>
    <n v="0"/>
    <n v="0"/>
    <n v="1098894.58"/>
    <n v="0"/>
    <n v="0"/>
    <n v="0"/>
    <n v="0"/>
    <n v="0"/>
    <n v="0"/>
    <n v="0"/>
    <n v="1098894.58"/>
    <s v="EPER"/>
    <n v="7414000005"/>
  </r>
  <r>
    <x v="103"/>
    <s v="BANCO SANTANDER (MEXICO) FIDEICOMISO F/100246-1"/>
    <x v="26"/>
    <s v="NORMAL"/>
    <s v="MXN"/>
    <n v="56480"/>
    <n v="98.730349000000004"/>
    <n v="5576290.1115199998"/>
    <n v="111.89286593999999"/>
    <n v="-743418.95677120006"/>
    <n v="0"/>
    <n v="0"/>
    <n v="0"/>
    <n v="0"/>
    <n v="56480"/>
    <n v="5576290.1115199998"/>
    <s v="EPER"/>
    <n v="7414000005"/>
  </r>
  <r>
    <x v="103"/>
    <s v="BANCO SANTANDER (MEXICO) FIDEICOMISO F/100246-1"/>
    <x v="67"/>
    <s v="NORMAL"/>
    <s v="MXN"/>
    <n v="213840"/>
    <n v="99.247497999999993"/>
    <n v="21223084.972320002"/>
    <n v="116.96087605337308"/>
    <n v="-3787828.7629332999"/>
    <n v="0"/>
    <n v="0"/>
    <n v="0"/>
    <n v="0"/>
    <n v="213840"/>
    <n v="21223084.972320002"/>
    <s v="EPER"/>
    <n v="7414000005"/>
  </r>
  <r>
    <x v="103"/>
    <s v="BANCO SANTANDER (MEXICO) FIDEICOMISO F/100246-1"/>
    <x v="27"/>
    <s v="NORMAL"/>
    <s v="MXN"/>
    <n v="211730"/>
    <n v="94.973146999999997"/>
    <n v="20108664.414310001"/>
    <n v="89.762576393084586"/>
    <n v="1103234.1146022"/>
    <n v="0"/>
    <n v="0"/>
    <n v="0"/>
    <n v="0"/>
    <n v="211730"/>
    <n v="20108664.414310001"/>
    <s v="EPER"/>
    <n v="7414000005"/>
  </r>
  <r>
    <x v="103"/>
    <s v="BANCO SANTANDER (MEXICO) FIDEICOMISO F/100246-1"/>
    <x v="28"/>
    <s v="NORMAL"/>
    <s v="MXN"/>
    <n v="400098"/>
    <n v="91.911821000000003"/>
    <n v="36773735.758458003"/>
    <n v="90.839871057283659"/>
    <n v="428885.02818092"/>
    <n v="0"/>
    <n v="0"/>
    <n v="0"/>
    <n v="0"/>
    <n v="400098"/>
    <n v="36773735.758458003"/>
    <s v="EPER"/>
    <n v="7414000005"/>
  </r>
  <r>
    <x v="103"/>
    <s v="BANCO SANTANDER (MEXICO) FIDEICOMISO F/100246-1"/>
    <x v="29"/>
    <s v="NORMAL"/>
    <s v="MXN"/>
    <n v="725550"/>
    <n v="92.954503000000003"/>
    <n v="67443139.651649997"/>
    <n v="93.270701028852045"/>
    <n v="-229417.47983359999"/>
    <n v="0"/>
    <n v="0"/>
    <n v="0"/>
    <n v="0"/>
    <n v="725550"/>
    <n v="67443139.651649997"/>
    <s v="EPER"/>
    <n v="7414000005"/>
  </r>
  <r>
    <x v="103"/>
    <s v="BANCO SANTANDER (MEXICO) FIDEICOMISO F/100246-1"/>
    <x v="30"/>
    <s v="NORMAL"/>
    <s v="MXN"/>
    <n v="266639"/>
    <n v="88.698122999999995"/>
    <n v="23650378.818597"/>
    <n v="88.298702795140201"/>
    <n v="106501.00400361"/>
    <n v="0"/>
    <n v="0"/>
    <n v="0"/>
    <n v="0"/>
    <n v="266639"/>
    <n v="23650378.818597"/>
    <s v="EPER"/>
    <n v="7414000005"/>
  </r>
  <r>
    <x v="103"/>
    <s v="BANCO SANTANDER (MEXICO) FIDEICOMISO F/100246-1"/>
    <x v="31"/>
    <s v="NORMAL"/>
    <s v="MXN"/>
    <n v="260500"/>
    <n v="93.314192000000006"/>
    <n v="24308347.015999999"/>
    <n v="93.347952247940114"/>
    <n v="-8794.5445884000001"/>
    <n v="0"/>
    <n v="0"/>
    <n v="0"/>
    <n v="0"/>
    <n v="260500"/>
    <n v="24308347.015999999"/>
    <s v="EPER"/>
    <n v="7414000005"/>
  </r>
  <r>
    <x v="103"/>
    <s v="BANCO SANTANDER (MEXICO) FIDEICOMISO F/100246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103"/>
    <s v="BANCO SANTANDER (MEXICO) FIDEICOMISO F/100246-1"/>
    <x v="88"/>
    <s v="NORMAL"/>
    <s v="MXN"/>
    <n v="20560"/>
    <n v="98.007834000000003"/>
    <n v="2015041.0670400001"/>
    <n v="93.280048030000003"/>
    <n v="97203.279543199998"/>
    <n v="0"/>
    <n v="0"/>
    <n v="0"/>
    <n v="0"/>
    <n v="20560"/>
    <n v="2015041.0670400001"/>
    <s v="EPER"/>
    <n v="7414000005"/>
  </r>
  <r>
    <x v="103"/>
    <s v="BANCO SANTANDER (MEXICO) FIDEICOMISO F/100246-1"/>
    <x v="102"/>
    <s v="NORMAL"/>
    <s v="MXN"/>
    <n v="57960"/>
    <n v="100.38890499999999"/>
    <n v="5818540.9337999998"/>
    <n v="91.398345289999995"/>
    <n v="521092.8407916"/>
    <n v="0"/>
    <n v="0"/>
    <n v="0"/>
    <n v="0"/>
    <n v="57960"/>
    <n v="5818540.9337999998"/>
    <s v="EPER"/>
    <n v="7414000005"/>
  </r>
  <r>
    <x v="103"/>
    <s v="BANCO SANTANDER (MEXICO) FIDEICOMISO F/100246-1"/>
    <x v="148"/>
    <s v="NORMAL"/>
    <s v="MXN"/>
    <n v="11820000"/>
    <n v="4.1069599999999999"/>
    <n v="48544267.200000003"/>
    <n v="3.2688078688663285"/>
    <n v="9906958.1899999995"/>
    <n v="0"/>
    <n v="0"/>
    <n v="0"/>
    <n v="0"/>
    <n v="11820000"/>
    <n v="48544267.200000003"/>
    <s v="EPER"/>
    <n v="7414000005"/>
  </r>
  <r>
    <x v="103"/>
    <s v="BANCO SANTANDER (MEXICO) FIDEICOMISO F/100246-1"/>
    <x v="51"/>
    <s v="NORMAL"/>
    <s v="MXN"/>
    <n v="50"/>
    <n v="775.69178699999998"/>
    <n v="38784.589350000002"/>
    <n v="770.06763651000006"/>
    <n v="281.20752449999998"/>
    <n v="0"/>
    <n v="0"/>
    <n v="0"/>
    <n v="0"/>
    <n v="50"/>
    <n v="38784.589350000002"/>
    <s v="EPER"/>
    <n v="7414000005"/>
  </r>
  <r>
    <x v="104"/>
    <s v="BANCO SANTANDER (MEXICO) FIDEICOMISO F/20875-0"/>
    <x v="13"/>
    <s v="NORMAL"/>
    <s v="MXN"/>
    <n v="15230"/>
    <n v="100.000484"/>
    <n v="1523007.3713199999"/>
    <n v="100"/>
    <n v="7.3713199999999999"/>
    <n v="0"/>
    <n v="0"/>
    <n v="0"/>
    <n v="0"/>
    <n v="15230"/>
    <n v="1523007.3713199999"/>
    <s v="EPER"/>
    <n v="7414000005"/>
  </r>
  <r>
    <x v="104"/>
    <s v="BANCO SANTANDER (MEXICO) FIDEICOMISO F/20875-0"/>
    <x v="147"/>
    <s v="NORMAL"/>
    <s v="MXN"/>
    <n v="0"/>
    <n v="0"/>
    <n v="0"/>
    <n v="0"/>
    <n v="0"/>
    <n v="0"/>
    <n v="0"/>
    <n v="0"/>
    <n v="0"/>
    <n v="0"/>
    <n v="0"/>
    <s v="EPER"/>
    <n v="7414000005"/>
  </r>
  <r>
    <x v="104"/>
    <s v="BANCO SANTANDER (MEXICO) FIDEICOMISO F/20875-0"/>
    <x v="122"/>
    <s v="NORMAL"/>
    <s v="MXN"/>
    <n v="469515"/>
    <n v="8.5044190000000004"/>
    <n v="3992952.286785"/>
    <n v="8.3071887600000007"/>
    <n v="92602.556133599996"/>
    <n v="0"/>
    <n v="0"/>
    <n v="0"/>
    <n v="0"/>
    <n v="469515"/>
    <n v="3992952.286785"/>
    <s v="EPER"/>
    <n v="7414000005"/>
  </r>
  <r>
    <x v="104"/>
    <s v="BANCO SANTANDER (MEXICO) FIDEICOMISO F/20875-0"/>
    <x v="71"/>
    <s v="NORMAL"/>
    <s v="MXN"/>
    <n v="1299030"/>
    <n v="8.3813510000000004"/>
    <n v="10887626.389529999"/>
    <n v="8.2713651095923115"/>
    <n v="142874.97121630001"/>
    <n v="0"/>
    <n v="0"/>
    <n v="0"/>
    <n v="0"/>
    <n v="1299030"/>
    <n v="10887626.389529999"/>
    <s v="EPER"/>
    <n v="7414000005"/>
  </r>
  <r>
    <x v="104"/>
    <s v="BANCO SANTANDER (MEXICO) FIDEICOMISO F/20875-0"/>
    <x v="16"/>
    <s v="NORMAL"/>
    <s v="MXN"/>
    <n v="1627532"/>
    <n v="8.2580650000000002"/>
    <n v="13440265.04558"/>
    <n v="8.2577354955094471"/>
    <n v="536.27910252000004"/>
    <n v="0"/>
    <n v="0"/>
    <n v="0"/>
    <n v="0"/>
    <n v="1627532"/>
    <n v="13440265.04558"/>
    <s v="EPER"/>
    <n v="7414000005"/>
  </r>
  <r>
    <x v="104"/>
    <s v="BANCO SANTANDER (MEXICO) FIDEICOMISO F/20875-0"/>
    <x v="66"/>
    <s v="NORMAL"/>
    <s v="MXN"/>
    <n v="0"/>
    <n v="0"/>
    <n v="1625075.07"/>
    <n v="0"/>
    <n v="0"/>
    <n v="0"/>
    <n v="0"/>
    <n v="0"/>
    <n v="0"/>
    <n v="0"/>
    <n v="1625075.07"/>
    <s v="EPER"/>
    <n v="7414000005"/>
  </r>
  <r>
    <x v="104"/>
    <s v="BANCO SANTANDER (MEXICO) FIDEICOMISO F/20875-0"/>
    <x v="26"/>
    <s v="NORMAL"/>
    <s v="MXN"/>
    <n v="24937"/>
    <n v="98.730349000000004"/>
    <n v="2462038.7130129999"/>
    <n v="111.89286593999999"/>
    <n v="-328233.68493277999"/>
    <n v="0"/>
    <n v="0"/>
    <n v="0"/>
    <n v="0"/>
    <n v="24937"/>
    <n v="2462038.7130129999"/>
    <s v="EPER"/>
    <n v="7414000005"/>
  </r>
  <r>
    <x v="104"/>
    <s v="BANCO SANTANDER (MEXICO) FIDEICOMISO F/20875-0"/>
    <x v="67"/>
    <s v="NORMAL"/>
    <s v="MXN"/>
    <n v="42820"/>
    <n v="99.247497999999993"/>
    <n v="4249777.86436"/>
    <n v="114.66602873908921"/>
    <n v="-660221.48624780006"/>
    <n v="0"/>
    <n v="0"/>
    <n v="0"/>
    <n v="0"/>
    <n v="42820"/>
    <n v="4249777.86436"/>
    <s v="EPER"/>
    <n v="7414000005"/>
  </r>
  <r>
    <x v="104"/>
    <s v="BANCO SANTANDER (MEXICO) FIDEICOMISO F/20875-0"/>
    <x v="27"/>
    <s v="NORMAL"/>
    <s v="MXN"/>
    <n v="112281"/>
    <n v="94.973146999999997"/>
    <n v="10663679.918307001"/>
    <n v="89.76481543271008"/>
    <n v="584796.67670687998"/>
    <n v="0"/>
    <n v="0"/>
    <n v="0"/>
    <n v="0"/>
    <n v="112281"/>
    <n v="10663679.918307001"/>
    <s v="EPER"/>
    <n v="7414000005"/>
  </r>
  <r>
    <x v="104"/>
    <s v="BANCO SANTANDER (MEXICO) FIDEICOMISO F/20875-0"/>
    <x v="28"/>
    <s v="NORMAL"/>
    <s v="MXN"/>
    <n v="191488"/>
    <n v="91.911821000000003"/>
    <n v="17600010.779647999"/>
    <n v="90.71152459523563"/>
    <n v="229842.35795552001"/>
    <n v="0"/>
    <n v="0"/>
    <n v="0"/>
    <n v="0"/>
    <n v="191488"/>
    <n v="17600010.779647999"/>
    <s v="EPER"/>
    <n v="7414000005"/>
  </r>
  <r>
    <x v="104"/>
    <s v="BANCO SANTANDER (MEXICO) FIDEICOMISO F/20875-0"/>
    <x v="29"/>
    <s v="NORMAL"/>
    <s v="MXN"/>
    <n v="375550"/>
    <n v="92.954503000000003"/>
    <n v="34909063.60165"/>
    <n v="93.271038426409007"/>
    <n v="-118874.8793879"/>
    <n v="0"/>
    <n v="0"/>
    <n v="0"/>
    <n v="0"/>
    <n v="375550"/>
    <n v="34909063.60165"/>
    <s v="EPER"/>
    <n v="7414000005"/>
  </r>
  <r>
    <x v="104"/>
    <s v="BANCO SANTANDER (MEXICO) FIDEICOMISO F/20875-0"/>
    <x v="30"/>
    <s v="NORMAL"/>
    <s v="MXN"/>
    <n v="140261"/>
    <n v="88.698122999999995"/>
    <n v="12440887.430103"/>
    <n v="88.298813108870675"/>
    <n v="56007.604639689998"/>
    <n v="0"/>
    <n v="0"/>
    <n v="0"/>
    <n v="0"/>
    <n v="140261"/>
    <n v="12440887.430103"/>
    <s v="EPER"/>
    <n v="7414000005"/>
  </r>
  <r>
    <x v="104"/>
    <s v="BANCO SANTANDER (MEXICO) FIDEICOMISO F/20875-0"/>
    <x v="31"/>
    <s v="NORMAL"/>
    <s v="MXN"/>
    <n v="111630"/>
    <n v="93.314192000000006"/>
    <n v="10416663.25296"/>
    <n v="93.354296434451314"/>
    <n v="-4476.8580178000002"/>
    <n v="0"/>
    <n v="0"/>
    <n v="0"/>
    <n v="0"/>
    <n v="111630"/>
    <n v="10416663.25296"/>
    <s v="EPER"/>
    <n v="7414000005"/>
  </r>
  <r>
    <x v="104"/>
    <s v="BANCO SANTANDER (MEXICO) FIDEICOMISO F/20875-0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104"/>
    <s v="BANCO SANTANDER (MEXICO) FIDEICOMISO F/20875-0"/>
    <x v="88"/>
    <s v="NORMAL"/>
    <s v="MXN"/>
    <n v="9590"/>
    <n v="98.007834000000003"/>
    <n v="939895.12806000002"/>
    <n v="93.280048030000003"/>
    <n v="45339.467452299999"/>
    <n v="0"/>
    <n v="0"/>
    <n v="0"/>
    <n v="0"/>
    <n v="9590"/>
    <n v="939895.12806000002"/>
    <s v="EPER"/>
    <n v="7414000005"/>
  </r>
  <r>
    <x v="104"/>
    <s v="BANCO SANTANDER (MEXICO) FIDEICOMISO F/20875-0"/>
    <x v="102"/>
    <s v="NORMAL"/>
    <s v="MXN"/>
    <n v="22830"/>
    <n v="100.38890499999999"/>
    <n v="2291878.7011500001"/>
    <n v="91.398345289999995"/>
    <n v="205254.4781793"/>
    <n v="0"/>
    <n v="0"/>
    <n v="0"/>
    <n v="0"/>
    <n v="22830"/>
    <n v="2291878.7011500001"/>
    <s v="EPER"/>
    <n v="7414000005"/>
  </r>
  <r>
    <x v="104"/>
    <s v="BANCO SANTANDER (MEXICO) FIDEICOMISO F/20875-0"/>
    <x v="148"/>
    <s v="NORMAL"/>
    <s v="MXN"/>
    <n v="5670000"/>
    <n v="4.1069599999999999"/>
    <n v="23286463.199999999"/>
    <n v="3.2025773668430335"/>
    <n v="5127849.53"/>
    <n v="0"/>
    <n v="0"/>
    <n v="0"/>
    <n v="0"/>
    <n v="5670000"/>
    <n v="23286463.199999999"/>
    <s v="EPER"/>
    <n v="7414000005"/>
  </r>
  <r>
    <x v="104"/>
    <s v="BANCO SANTANDER (MEXICO) FIDEICOMISO F/20875-0"/>
    <x v="51"/>
    <s v="NORMAL"/>
    <s v="MXN"/>
    <n v="4"/>
    <n v="775.69178699999998"/>
    <n v="3102.7671479999999"/>
    <n v="770.06763651000006"/>
    <n v="22.49660196"/>
    <n v="0"/>
    <n v="0"/>
    <n v="0"/>
    <n v="0"/>
    <n v="4"/>
    <n v="3102.7671479999999"/>
    <s v="EPER"/>
    <n v="7414000005"/>
  </r>
  <r>
    <x v="104"/>
    <s v="BANCO SANTANDER (MEXICO) FIDEICOMISO F/20875-0"/>
    <x v="52"/>
    <s v="NORMAL"/>
    <s v="MXN"/>
    <n v="3"/>
    <n v="747.17843200000004"/>
    <n v="2241.535296"/>
    <n v="730.99471579999999"/>
    <n v="48.551148599999998"/>
    <n v="0"/>
    <n v="0"/>
    <n v="0"/>
    <n v="0"/>
    <n v="3"/>
    <n v="2241.535296"/>
    <s v="EPER"/>
    <n v="7414000005"/>
  </r>
  <r>
    <x v="105"/>
    <s v="BANCO SANTANDER (MEXICO) FIDEICOMISO F/11272-0"/>
    <x v="13"/>
    <s v="NORMAL"/>
    <s v="MXN"/>
    <n v="21230"/>
    <n v="100.000484"/>
    <n v="2123010.27532"/>
    <n v="100"/>
    <n v="10.275320000000001"/>
    <n v="0"/>
    <n v="0"/>
    <n v="0"/>
    <n v="0"/>
    <n v="21230"/>
    <n v="2123010.27532"/>
    <s v="EPER"/>
    <n v="7414000005"/>
  </r>
  <r>
    <x v="105"/>
    <s v="BANCO SANTANDER (MEXICO) FIDEICOMISO F/11272-0"/>
    <x v="131"/>
    <s v="NORMAL"/>
    <s v="MXN"/>
    <n v="1700000"/>
    <n v="9.1534650000000006"/>
    <n v="15560890.5"/>
    <n v="8.9797925000000003"/>
    <n v="295243.25"/>
    <n v="0"/>
    <n v="0"/>
    <n v="0"/>
    <n v="0"/>
    <n v="1700000"/>
    <n v="15560890.5"/>
    <s v="EPER"/>
    <n v="7414000005"/>
  </r>
  <r>
    <x v="105"/>
    <s v="BANCO SANTANDER (MEXICO) FIDEICOMISO F/11272-0"/>
    <x v="71"/>
    <s v="NORMAL"/>
    <s v="MXN"/>
    <n v="140000"/>
    <n v="8.3813510000000004"/>
    <n v="1173389.1399999999"/>
    <n v="8.2700011300000007"/>
    <n v="15588.9818"/>
    <n v="0"/>
    <n v="0"/>
    <n v="0"/>
    <n v="0"/>
    <n v="140000"/>
    <n v="1173389.1399999999"/>
    <s v="EPER"/>
    <n v="7414000005"/>
  </r>
  <r>
    <x v="105"/>
    <s v="BANCO SANTANDER (MEXICO) FIDEICOMISO F/11272-0"/>
    <x v="16"/>
    <s v="NORMAL"/>
    <s v="MXN"/>
    <n v="206800"/>
    <n v="8.2580650000000002"/>
    <n v="1707767.8419999999"/>
    <n v="8.2115149400000007"/>
    <n v="9626.5524079999996"/>
    <n v="0"/>
    <n v="0"/>
    <n v="0"/>
    <n v="0"/>
    <n v="206800"/>
    <n v="1707767.8419999999"/>
    <s v="EPER"/>
    <n v="7414000005"/>
  </r>
  <r>
    <x v="105"/>
    <s v="BANCO SANTANDER (MEXICO) FIDEICOMISO F/11272-0"/>
    <x v="98"/>
    <s v="NORMAL"/>
    <s v="MXN"/>
    <n v="6160"/>
    <n v="93.248425999999995"/>
    <n v="574410.30416000006"/>
    <n v="97.17965882"/>
    <n v="-24216.394171200001"/>
    <n v="0"/>
    <n v="0"/>
    <n v="0"/>
    <n v="0"/>
    <n v="6160"/>
    <n v="574410.30416000006"/>
    <s v="EPER"/>
    <n v="7414000005"/>
  </r>
  <r>
    <x v="105"/>
    <s v="BANCO SANTANDER (MEXICO) FIDEICOMISO F/11272-0"/>
    <x v="66"/>
    <s v="NORMAL"/>
    <s v="MXN"/>
    <n v="0"/>
    <n v="0"/>
    <n v="61019763.859999999"/>
    <n v="0"/>
    <n v="0"/>
    <n v="0"/>
    <n v="0"/>
    <n v="0"/>
    <n v="0"/>
    <n v="0"/>
    <n v="61019763.859999999"/>
    <s v="EPER"/>
    <n v="7414000005"/>
  </r>
  <r>
    <x v="105"/>
    <s v="BANCO SANTANDER (MEXICO) FIDEICOMISO F/11272-0"/>
    <x v="28"/>
    <s v="NORMAL"/>
    <s v="MXN"/>
    <n v="10923"/>
    <n v="91.911821000000003"/>
    <n v="1003952.820783"/>
    <n v="99.894493202676003"/>
    <n v="-87194.728469830006"/>
    <n v="0"/>
    <n v="0"/>
    <n v="0"/>
    <n v="0"/>
    <n v="10923"/>
    <n v="1003952.820783"/>
    <s v="EPER"/>
    <n v="7414000005"/>
  </r>
  <r>
    <x v="105"/>
    <s v="BANCO SANTANDER (MEXICO) FIDEICOMISO F/11272-0"/>
    <x v="30"/>
    <s v="NORMAL"/>
    <s v="MXN"/>
    <n v="51482"/>
    <n v="88.698122999999995"/>
    <n v="4566356.768286"/>
    <n v="88.069429229509538"/>
    <n v="32366.41269239"/>
    <n v="0"/>
    <n v="0"/>
    <n v="0"/>
    <n v="0"/>
    <n v="51482"/>
    <n v="4566356.768286"/>
    <s v="EPER"/>
    <n v="7414000005"/>
  </r>
  <r>
    <x v="105"/>
    <s v="BANCO SANTANDER (MEXICO) FIDEICOMISO F/11272-0"/>
    <x v="31"/>
    <s v="NORMAL"/>
    <s v="MXN"/>
    <n v="87876"/>
    <n v="93.314192000000006"/>
    <n v="8200077.9361920003"/>
    <n v="95.62696583153307"/>
    <n v="-203237.31321980001"/>
    <n v="0"/>
    <n v="0"/>
    <n v="0"/>
    <n v="0"/>
    <n v="87876"/>
    <n v="8200077.9361920003"/>
    <s v="EPER"/>
    <n v="7414000005"/>
  </r>
  <r>
    <x v="105"/>
    <s v="BANCO SANTANDER (MEXICO) FIDEICOMISO F/11272-0"/>
    <x v="32"/>
    <s v="NORMAL"/>
    <s v="MXN"/>
    <n v="35860"/>
    <n v="94.864168000000006"/>
    <n v="3401829.0644800002"/>
    <n v="96.263034200000007"/>
    <n v="-50163.341932000003"/>
    <n v="0"/>
    <n v="0"/>
    <n v="0"/>
    <n v="0"/>
    <n v="35860"/>
    <n v="3401829.0644800002"/>
    <s v="EPER"/>
    <n v="7414000005"/>
  </r>
  <r>
    <x v="105"/>
    <s v="BANCO SANTANDER (MEXICO) FIDEICOMISO F/11272-0"/>
    <x v="33"/>
    <s v="NORMAL"/>
    <s v="MXN"/>
    <n v="151300"/>
    <n v="94.870157000000006"/>
    <n v="14353854.7541"/>
    <n v="97.211223897195637"/>
    <n v="-354203.4215457"/>
    <n v="0"/>
    <n v="0"/>
    <n v="0"/>
    <n v="0"/>
    <n v="151300"/>
    <n v="14353854.7541"/>
    <s v="EPER"/>
    <n v="7414000005"/>
  </r>
  <r>
    <x v="105"/>
    <s v="BANCO SANTANDER (MEXICO) FIDEICOMISO F/11272-0"/>
    <x v="34"/>
    <s v="NORMAL"/>
    <s v="MXN"/>
    <n v="199144"/>
    <n v="89.489464999999996"/>
    <n v="17821290.017960001"/>
    <n v="92.85697234501572"/>
    <n v="-670618.88271580997"/>
    <n v="0"/>
    <n v="0"/>
    <n v="0"/>
    <n v="0"/>
    <n v="199144"/>
    <n v="17821290.017960001"/>
    <s v="EPER"/>
    <n v="7414000005"/>
  </r>
  <r>
    <x v="105"/>
    <s v="BANCO SANTANDER (MEXICO) FIDEICOMISO F/11272-0"/>
    <x v="35"/>
    <s v="NORMAL"/>
    <s v="MXN"/>
    <n v="144987"/>
    <n v="86.197128000000006"/>
    <n v="12497462.997336"/>
    <n v="91.969042462435738"/>
    <n v="-836852.56216516998"/>
    <n v="0"/>
    <n v="0"/>
    <n v="0"/>
    <n v="0"/>
    <n v="144987"/>
    <n v="12497462.997336"/>
    <s v="EPER"/>
    <n v="7414000005"/>
  </r>
  <r>
    <x v="105"/>
    <s v="BANCO SANTANDER (MEXICO) FIDEICOMISO F/11272-0"/>
    <x v="36"/>
    <s v="NORMAL"/>
    <s v="MXN"/>
    <n v="55189"/>
    <n v="86.469353999999996"/>
    <n v="4772157.1779060001"/>
    <n v="89.838096089999993"/>
    <n v="-185917.50720501001"/>
    <n v="0"/>
    <n v="0"/>
    <n v="0"/>
    <n v="0"/>
    <n v="55189"/>
    <n v="4772157.1779060001"/>
    <s v="EPER"/>
    <n v="7414000005"/>
  </r>
  <r>
    <x v="105"/>
    <s v="BANCO SANTANDER (MEXICO) FIDEICOMISO F/11272-0"/>
    <x v="88"/>
    <s v="NORMAL"/>
    <s v="MXN"/>
    <n v="11200"/>
    <n v="98.007834000000003"/>
    <n v="1097687.7408"/>
    <n v="92.657762245866067"/>
    <n v="59920.803646300003"/>
    <n v="0"/>
    <n v="0"/>
    <n v="0"/>
    <n v="0"/>
    <n v="11200"/>
    <n v="1097687.7408"/>
    <s v="EPER"/>
    <n v="7414000005"/>
  </r>
  <r>
    <x v="105"/>
    <s v="BANCO SANTANDER (MEXICO) FIDEICOMISO F/11272-0"/>
    <x v="102"/>
    <s v="NORMAL"/>
    <s v="MXN"/>
    <n v="5690"/>
    <n v="100.38890499999999"/>
    <n v="571212.86945"/>
    <n v="91.398345289999995"/>
    <n v="51156.284749899998"/>
    <n v="0"/>
    <n v="0"/>
    <n v="0"/>
    <n v="0"/>
    <n v="5690"/>
    <n v="571212.86945"/>
    <s v="EPER"/>
    <n v="7414000005"/>
  </r>
  <r>
    <x v="105"/>
    <s v="BANCO SANTANDER (MEXICO) FIDEICOMISO F/11272-0"/>
    <x v="130"/>
    <s v="NORMAL"/>
    <s v="MXN"/>
    <n v="13600000"/>
    <n v="4.5848760000000004"/>
    <n v="62354313.600000001"/>
    <n v="3.4178773522058825"/>
    <n v="15871181.609999999"/>
    <n v="0"/>
    <n v="0"/>
    <n v="0"/>
    <n v="0"/>
    <n v="13600000"/>
    <n v="62354313.600000001"/>
    <s v="EPER"/>
    <n v="7414000005"/>
  </r>
  <r>
    <x v="105"/>
    <s v="BANCO SANTANDER (MEXICO) FIDEICOMISO F/11272-0"/>
    <x v="51"/>
    <s v="NORMAL"/>
    <s v="MXN"/>
    <n v="331"/>
    <n v="775.69178699999998"/>
    <n v="256753.981497"/>
    <n v="766.69784126000002"/>
    <n v="2976.9960399400002"/>
    <n v="0"/>
    <n v="0"/>
    <n v="0"/>
    <n v="0"/>
    <n v="331"/>
    <n v="256753.981497"/>
    <s v="EPER"/>
    <n v="7414000005"/>
  </r>
  <r>
    <x v="105"/>
    <s v="BANCO SANTANDER (MEXICO) FIDEICOMISO F/11272-0"/>
    <x v="53"/>
    <s v="NORMAL"/>
    <s v="MXN"/>
    <n v="5"/>
    <n v="765.92388300000005"/>
    <n v="3829.6194150000001"/>
    <n v="762.50221063000004"/>
    <n v="17.108361850000001"/>
    <n v="0"/>
    <n v="0"/>
    <n v="0"/>
    <n v="0"/>
    <n v="5"/>
    <n v="3829.6194150000001"/>
    <s v="EPER"/>
    <n v="7414000005"/>
  </r>
  <r>
    <x v="105"/>
    <s v="BANCO SANTANDER (MEXICO) FIDEICOMISO F/11272-0"/>
    <x v="54"/>
    <s v="NORMAL"/>
    <s v="MXN"/>
    <n v="1770"/>
    <n v="684.88915799999995"/>
    <n v="1212253.80966"/>
    <n v="700.97292315000004"/>
    <n v="-28468.264315500001"/>
    <n v="0"/>
    <n v="0"/>
    <n v="0"/>
    <n v="0"/>
    <n v="1770"/>
    <n v="1212253.80966"/>
    <s v="EPER"/>
    <n v="7414000005"/>
  </r>
  <r>
    <x v="106"/>
    <s v="BANCO SANTANDER (MEXICO) FIDEICOMISO F/11280-0"/>
    <x v="13"/>
    <s v="NORMAL"/>
    <s v="MXN"/>
    <n v="3880"/>
    <n v="100.000484"/>
    <n v="388001.87792"/>
    <n v="100"/>
    <n v="1.87792"/>
    <n v="0"/>
    <n v="0"/>
    <n v="0"/>
    <n v="0"/>
    <n v="3880"/>
    <n v="388001.87792"/>
    <s v="EPER"/>
    <n v="7414000005"/>
  </r>
  <r>
    <x v="106"/>
    <s v="BANCO SANTANDER (MEXICO) FIDEICOMISO F/11280-0"/>
    <x v="131"/>
    <s v="NORMAL"/>
    <s v="MXN"/>
    <n v="300000"/>
    <n v="9.1534650000000006"/>
    <n v="2746039.5"/>
    <n v="8.9797925000000003"/>
    <n v="52101.75"/>
    <n v="0"/>
    <n v="0"/>
    <n v="0"/>
    <n v="0"/>
    <n v="300000"/>
    <n v="2746039.5"/>
    <s v="EPER"/>
    <n v="7414000005"/>
  </r>
  <r>
    <x v="106"/>
    <s v="BANCO SANTANDER (MEXICO) FIDEICOMISO F/11280-0"/>
    <x v="71"/>
    <s v="NORMAL"/>
    <s v="MXN"/>
    <n v="25000"/>
    <n v="8.3813510000000004"/>
    <n v="209533.77499999999"/>
    <n v="8.2700011300000007"/>
    <n v="2783.7467499999998"/>
    <n v="0"/>
    <n v="0"/>
    <n v="0"/>
    <n v="0"/>
    <n v="25000"/>
    <n v="209533.77499999999"/>
    <s v="EPER"/>
    <n v="7414000005"/>
  </r>
  <r>
    <x v="106"/>
    <s v="BANCO SANTANDER (MEXICO) FIDEICOMISO F/11280-0"/>
    <x v="16"/>
    <s v="NORMAL"/>
    <s v="MXN"/>
    <n v="37900"/>
    <n v="8.2580650000000002"/>
    <n v="312980.66350000002"/>
    <n v="8.2115149400000007"/>
    <n v="1764.2472740000001"/>
    <n v="0"/>
    <n v="0"/>
    <n v="0"/>
    <n v="0"/>
    <n v="37900"/>
    <n v="312980.66350000002"/>
    <s v="EPER"/>
    <n v="7414000005"/>
  </r>
  <r>
    <x v="106"/>
    <s v="BANCO SANTANDER (MEXICO) FIDEICOMISO F/11280-0"/>
    <x v="98"/>
    <s v="NORMAL"/>
    <s v="MXN"/>
    <n v="940"/>
    <n v="93.248425999999995"/>
    <n v="87653.520439999993"/>
    <n v="97.17965882"/>
    <n v="-3695.3588507999998"/>
    <n v="0"/>
    <n v="0"/>
    <n v="0"/>
    <n v="0"/>
    <n v="940"/>
    <n v="87653.520439999993"/>
    <s v="EPER"/>
    <n v="7414000005"/>
  </r>
  <r>
    <x v="106"/>
    <s v="BANCO SANTANDER (MEXICO) FIDEICOMISO F/11280-0"/>
    <x v="66"/>
    <s v="NORMAL"/>
    <s v="MXN"/>
    <n v="0"/>
    <n v="0"/>
    <n v="9580196.5500000007"/>
    <n v="0"/>
    <n v="0"/>
    <n v="0"/>
    <n v="0"/>
    <n v="0"/>
    <n v="0"/>
    <n v="0"/>
    <n v="9580196.5500000007"/>
    <s v="EPER"/>
    <n v="7414000005"/>
  </r>
  <r>
    <x v="106"/>
    <s v="BANCO SANTANDER (MEXICO) FIDEICOMISO F/11280-0"/>
    <x v="28"/>
    <s v="NORMAL"/>
    <s v="MXN"/>
    <n v="2160"/>
    <n v="91.911821000000003"/>
    <n v="198529.53336"/>
    <n v="100.6372491099074"/>
    <n v="-18846.924717400001"/>
    <n v="0"/>
    <n v="0"/>
    <n v="0"/>
    <n v="0"/>
    <n v="2160"/>
    <n v="198529.53336"/>
    <s v="EPER"/>
    <n v="7414000005"/>
  </r>
  <r>
    <x v="106"/>
    <s v="BANCO SANTANDER (MEXICO) FIDEICOMISO F/11280-0"/>
    <x v="30"/>
    <s v="NORMAL"/>
    <s v="MXN"/>
    <n v="7849"/>
    <n v="88.698122999999995"/>
    <n v="696191.56742700003"/>
    <n v="88.50604674849663"/>
    <n v="1507.60649805"/>
    <n v="0"/>
    <n v="0"/>
    <n v="0"/>
    <n v="0"/>
    <n v="7849"/>
    <n v="696191.56742700003"/>
    <s v="EPER"/>
    <n v="7414000005"/>
  </r>
  <r>
    <x v="106"/>
    <s v="BANCO SANTANDER (MEXICO) FIDEICOMISO F/11280-0"/>
    <x v="31"/>
    <s v="NORMAL"/>
    <s v="MXN"/>
    <n v="20165"/>
    <n v="93.314192000000006"/>
    <n v="1881680.6816799999"/>
    <n v="95.199862288507319"/>
    <n v="-38024.541367749996"/>
    <n v="0"/>
    <n v="0"/>
    <n v="0"/>
    <n v="0"/>
    <n v="20165"/>
    <n v="1881680.6816799999"/>
    <s v="EPER"/>
    <n v="7414000005"/>
  </r>
  <r>
    <x v="106"/>
    <s v="BANCO SANTANDER (MEXICO) FIDEICOMISO F/11280-0"/>
    <x v="32"/>
    <s v="NORMAL"/>
    <s v="MXN"/>
    <n v="5590"/>
    <n v="94.864168000000006"/>
    <n v="530290.69912"/>
    <n v="96.263034200000007"/>
    <n v="-7819.6620579999999"/>
    <n v="0"/>
    <n v="0"/>
    <n v="0"/>
    <n v="0"/>
    <n v="5590"/>
    <n v="530290.69912"/>
    <s v="EPER"/>
    <n v="7414000005"/>
  </r>
  <r>
    <x v="106"/>
    <s v="BANCO SANTANDER (MEXICO) FIDEICOMISO F/11280-0"/>
    <x v="33"/>
    <s v="NORMAL"/>
    <s v="MXN"/>
    <n v="26794"/>
    <n v="94.870157000000006"/>
    <n v="2541950.9866579999"/>
    <n v="97.14097609622975"/>
    <n v="-60844.326864379997"/>
    <n v="0"/>
    <n v="0"/>
    <n v="0"/>
    <n v="0"/>
    <n v="26794"/>
    <n v="2541950.9866579999"/>
    <s v="EPER"/>
    <n v="7414000005"/>
  </r>
  <r>
    <x v="106"/>
    <s v="BANCO SANTANDER (MEXICO) FIDEICOMISO F/11280-0"/>
    <x v="34"/>
    <s v="NORMAL"/>
    <s v="MXN"/>
    <n v="36807"/>
    <n v="89.489464999999996"/>
    <n v="3293838.7382550002"/>
    <n v="93.004981382727465"/>
    <n v="-129395.61149905001"/>
    <n v="0"/>
    <n v="0"/>
    <n v="0"/>
    <n v="0"/>
    <n v="36807"/>
    <n v="3293838.7382550002"/>
    <s v="EPER"/>
    <n v="7414000005"/>
  </r>
  <r>
    <x v="106"/>
    <s v="BANCO SANTANDER (MEXICO) FIDEICOMISO F/11280-0"/>
    <x v="35"/>
    <s v="NORMAL"/>
    <s v="MXN"/>
    <n v="27601"/>
    <n v="86.197128000000006"/>
    <n v="2379126.9299280001"/>
    <n v="91.976921222622735"/>
    <n v="-159528.07273761"/>
    <n v="0"/>
    <n v="0"/>
    <n v="0"/>
    <n v="0"/>
    <n v="27601"/>
    <n v="2379126.9299280001"/>
    <s v="EPER"/>
    <n v="7414000005"/>
  </r>
  <r>
    <x v="106"/>
    <s v="BANCO SANTANDER (MEXICO) FIDEICOMISO F/11280-0"/>
    <x v="36"/>
    <s v="NORMAL"/>
    <s v="MXN"/>
    <n v="7712"/>
    <n v="86.469353999999996"/>
    <n v="666851.65804799995"/>
    <n v="89.838096089999993"/>
    <n v="-25979.73899808"/>
    <n v="0"/>
    <n v="0"/>
    <n v="0"/>
    <n v="0"/>
    <n v="7712"/>
    <n v="666851.65804799995"/>
    <s v="EPER"/>
    <n v="7414000005"/>
  </r>
  <r>
    <x v="106"/>
    <s v="BANCO SANTANDER (MEXICO) FIDEICOMISO F/11280-0"/>
    <x v="88"/>
    <s v="NORMAL"/>
    <s v="MXN"/>
    <n v="2220"/>
    <n v="98.007834000000003"/>
    <n v="217577.39147999999"/>
    <n v="92.65759825148649"/>
    <n v="11877.523361699999"/>
    <n v="0"/>
    <n v="0"/>
    <n v="0"/>
    <n v="0"/>
    <n v="2220"/>
    <n v="217577.39147999999"/>
    <s v="EPER"/>
    <n v="7414000005"/>
  </r>
  <r>
    <x v="106"/>
    <s v="BANCO SANTANDER (MEXICO) FIDEICOMISO F/11280-0"/>
    <x v="102"/>
    <s v="NORMAL"/>
    <s v="MXN"/>
    <n v="860"/>
    <n v="100.38890499999999"/>
    <n v="86334.458299999998"/>
    <n v="91.398345289999995"/>
    <n v="7731.8813505999997"/>
    <n v="0"/>
    <n v="0"/>
    <n v="0"/>
    <n v="0"/>
    <n v="860"/>
    <n v="86334.458299999998"/>
    <s v="EPER"/>
    <n v="7414000005"/>
  </r>
  <r>
    <x v="106"/>
    <s v="BANCO SANTANDER (MEXICO) FIDEICOMISO F/11280-0"/>
    <x v="130"/>
    <s v="NORMAL"/>
    <s v="MXN"/>
    <n v="2330000"/>
    <n v="4.5848760000000004"/>
    <n v="10682761.08"/>
    <n v="3.4693629484978539"/>
    <n v="2599145.41"/>
    <n v="0"/>
    <n v="0"/>
    <n v="0"/>
    <n v="0"/>
    <n v="2330000"/>
    <n v="10682761.08"/>
    <s v="EPER"/>
    <n v="7414000005"/>
  </r>
  <r>
    <x v="106"/>
    <s v="BANCO SANTANDER (MEXICO) FIDEICOMISO F/11280-0"/>
    <x v="51"/>
    <s v="NORMAL"/>
    <s v="MXN"/>
    <n v="26"/>
    <n v="775.69178699999998"/>
    <n v="20167.986462000001"/>
    <n v="766.69784126000002"/>
    <n v="233.84258924"/>
    <n v="0"/>
    <n v="0"/>
    <n v="0"/>
    <n v="0"/>
    <n v="26"/>
    <n v="20167.986462000001"/>
    <s v="EPER"/>
    <n v="7414000005"/>
  </r>
  <r>
    <x v="106"/>
    <s v="BANCO SANTANDER (MEXICO) FIDEICOMISO F/11280-0"/>
    <x v="53"/>
    <s v="NORMAL"/>
    <s v="MXN"/>
    <n v="9"/>
    <n v="765.92388300000005"/>
    <n v="6893.3149469999998"/>
    <n v="762.50221063000004"/>
    <n v="30.79505133"/>
    <n v="0"/>
    <n v="0"/>
    <n v="0"/>
    <n v="0"/>
    <n v="9"/>
    <n v="6893.3149469999998"/>
    <s v="EPER"/>
    <n v="7414000005"/>
  </r>
  <r>
    <x v="106"/>
    <s v="BANCO SANTANDER (MEXICO) FIDEICOMISO F/11280-0"/>
    <x v="54"/>
    <s v="NORMAL"/>
    <s v="MXN"/>
    <n v="320"/>
    <n v="684.88915799999995"/>
    <n v="219164.53056000001"/>
    <n v="700.97292315000004"/>
    <n v="-5146.8048479999998"/>
    <n v="0"/>
    <n v="0"/>
    <n v="0"/>
    <n v="0"/>
    <n v="320"/>
    <n v="219164.53056000001"/>
    <s v="EPER"/>
    <n v="7414000005"/>
  </r>
  <r>
    <x v="107"/>
    <s v="BANCO SANTANDER (MEXICO) FIDEICOMISO F/11361-0"/>
    <x v="13"/>
    <s v="NORMAL"/>
    <s v="MXN"/>
    <n v="2820"/>
    <n v="100.000484"/>
    <n v="282001.36488000001"/>
    <n v="100"/>
    <n v="1.3648800000000001"/>
    <n v="0"/>
    <n v="0"/>
    <n v="0"/>
    <n v="0"/>
    <n v="2820"/>
    <n v="282001.36488000001"/>
    <s v="EPER"/>
    <n v="7414000005"/>
  </r>
  <r>
    <x v="107"/>
    <s v="BANCO SANTANDER (MEXICO) FIDEICOMISO F/11361-0"/>
    <x v="147"/>
    <s v="NORMAL"/>
    <s v="MXN"/>
    <n v="0"/>
    <n v="0"/>
    <n v="0"/>
    <n v="0"/>
    <n v="0"/>
    <n v="0"/>
    <n v="0"/>
    <n v="0"/>
    <n v="0"/>
    <n v="0"/>
    <n v="0"/>
    <s v="EPER"/>
    <n v="7414000005"/>
  </r>
  <r>
    <x v="107"/>
    <s v="BANCO SANTANDER (MEXICO) FIDEICOMISO F/11361-0"/>
    <x v="122"/>
    <s v="NORMAL"/>
    <s v="MXN"/>
    <n v="171975"/>
    <n v="8.5044190000000004"/>
    <n v="1462547.457525"/>
    <n v="8.3071887600000007"/>
    <n v="33918.670524000001"/>
    <n v="0"/>
    <n v="0"/>
    <n v="0"/>
    <n v="0"/>
    <n v="171975"/>
    <n v="1462547.457525"/>
    <s v="EPER"/>
    <n v="7414000005"/>
  </r>
  <r>
    <x v="107"/>
    <s v="BANCO SANTANDER (MEXICO) FIDEICOMISO F/11361-0"/>
    <x v="71"/>
    <s v="NORMAL"/>
    <s v="MXN"/>
    <n v="237940"/>
    <n v="8.3813510000000004"/>
    <n v="1994258.6569399999"/>
    <n v="8.2713784227645633"/>
    <n v="26166.875027400001"/>
    <n v="0"/>
    <n v="0"/>
    <n v="0"/>
    <n v="0"/>
    <n v="237940"/>
    <n v="1994258.6569399999"/>
    <s v="EPER"/>
    <n v="7414000005"/>
  </r>
  <r>
    <x v="107"/>
    <s v="BANCO SANTANDER (MEXICO) FIDEICOMISO F/11361-0"/>
    <x v="16"/>
    <s v="NORMAL"/>
    <s v="MXN"/>
    <n v="133000"/>
    <n v="8.2580650000000002"/>
    <n v="1098322.645"/>
    <n v="8.2405797294736836"/>
    <n v="2325.5409800000002"/>
    <n v="0"/>
    <n v="0"/>
    <n v="0"/>
    <n v="0"/>
    <n v="133000"/>
    <n v="1098322.645"/>
    <s v="EPER"/>
    <n v="7414000005"/>
  </r>
  <r>
    <x v="107"/>
    <s v="BANCO SANTANDER (MEXICO) FIDEICOMISO F/11361-0"/>
    <x v="66"/>
    <s v="NORMAL"/>
    <s v="MXN"/>
    <n v="0"/>
    <n v="0"/>
    <n v="488325.78"/>
    <n v="0"/>
    <n v="0"/>
    <n v="0"/>
    <n v="0"/>
    <n v="0"/>
    <n v="0"/>
    <n v="0"/>
    <n v="488325.78"/>
    <s v="EPER"/>
    <n v="7414000005"/>
  </r>
  <r>
    <x v="107"/>
    <s v="BANCO SANTANDER (MEXICO) FIDEICOMISO F/11361-0"/>
    <x v="26"/>
    <s v="NORMAL"/>
    <s v="MXN"/>
    <n v="2736"/>
    <n v="98.730349000000004"/>
    <n v="270126.234864"/>
    <n v="111.89286593999999"/>
    <n v="-36012.646347839996"/>
    <n v="0"/>
    <n v="0"/>
    <n v="0"/>
    <n v="0"/>
    <n v="2736"/>
    <n v="270126.234864"/>
    <s v="EPER"/>
    <n v="7414000005"/>
  </r>
  <r>
    <x v="107"/>
    <s v="BANCO SANTANDER (MEXICO) FIDEICOMISO F/11361-0"/>
    <x v="67"/>
    <s v="NORMAL"/>
    <s v="MXN"/>
    <n v="17830"/>
    <n v="99.247497999999993"/>
    <n v="1769582.88934"/>
    <n v="116.71045514946719"/>
    <n v="-311364.525975"/>
    <n v="0"/>
    <n v="0"/>
    <n v="0"/>
    <n v="0"/>
    <n v="17830"/>
    <n v="1769582.88934"/>
    <s v="EPER"/>
    <n v="7414000005"/>
  </r>
  <r>
    <x v="107"/>
    <s v="BANCO SANTANDER (MEXICO) FIDEICOMISO F/11361-0"/>
    <x v="27"/>
    <s v="NORMAL"/>
    <s v="MXN"/>
    <n v="7071"/>
    <n v="94.973146999999997"/>
    <n v="671555.12243700004"/>
    <n v="90.560310748128984"/>
    <n v="31203.165136979998"/>
    <n v="0"/>
    <n v="0"/>
    <n v="0"/>
    <n v="0"/>
    <n v="7071"/>
    <n v="671555.12243700004"/>
    <s v="EPER"/>
    <n v="7414000005"/>
  </r>
  <r>
    <x v="107"/>
    <s v="BANCO SANTANDER (MEXICO) FIDEICOMISO F/11361-0"/>
    <x v="28"/>
    <s v="NORMAL"/>
    <s v="MXN"/>
    <n v="37048"/>
    <n v="91.911821000000003"/>
    <n v="3405149.1444080002"/>
    <n v="90.749888678419353"/>
    <n v="43047.268649919999"/>
    <n v="0"/>
    <n v="0"/>
    <n v="0"/>
    <n v="0"/>
    <n v="37048"/>
    <n v="3405149.1444080002"/>
    <s v="EPER"/>
    <n v="7414000005"/>
  </r>
  <r>
    <x v="107"/>
    <s v="BANCO SANTANDER (MEXICO) FIDEICOMISO F/11361-0"/>
    <x v="29"/>
    <s v="NORMAL"/>
    <s v="MXN"/>
    <n v="69530"/>
    <n v="92.954503000000003"/>
    <n v="6463126.5935899997"/>
    <n v="93.271311902296844"/>
    <n v="-22027.722976699999"/>
    <n v="0"/>
    <n v="0"/>
    <n v="0"/>
    <n v="0"/>
    <n v="69530"/>
    <n v="6463126.5935899997"/>
    <s v="EPER"/>
    <n v="7414000005"/>
  </r>
  <r>
    <x v="107"/>
    <s v="BANCO SANTANDER (MEXICO) FIDEICOMISO F/11361-0"/>
    <x v="30"/>
    <s v="NORMAL"/>
    <s v="MXN"/>
    <n v="26275"/>
    <n v="88.698122999999995"/>
    <n v="2330543.1818249999"/>
    <n v="88.29884983774501"/>
    <n v="10490.90233825"/>
    <n v="0"/>
    <n v="0"/>
    <n v="0"/>
    <n v="0"/>
    <n v="26275"/>
    <n v="2330543.1818249999"/>
    <s v="EPER"/>
    <n v="7414000005"/>
  </r>
  <r>
    <x v="107"/>
    <s v="BANCO SANTANDER (MEXICO) FIDEICOMISO F/11361-0"/>
    <x v="31"/>
    <s v="NORMAL"/>
    <s v="MXN"/>
    <n v="23960"/>
    <n v="93.314192000000006"/>
    <n v="2235808.0403200001"/>
    <n v="93.347298033418198"/>
    <n v="-793.22056069999996"/>
    <n v="0"/>
    <n v="0"/>
    <n v="0"/>
    <n v="0"/>
    <n v="23960"/>
    <n v="2235808.0403200001"/>
    <s v="EPER"/>
    <n v="7414000005"/>
  </r>
  <r>
    <x v="107"/>
    <s v="BANCO SANTANDER (MEXICO) FIDEICOMISO F/11361-0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107"/>
    <s v="BANCO SANTANDER (MEXICO) FIDEICOMISO F/11361-0"/>
    <x v="88"/>
    <s v="NORMAL"/>
    <s v="MXN"/>
    <n v="1530"/>
    <n v="98.007834000000003"/>
    <n v="149951.98602000001"/>
    <n v="93.280048030000003"/>
    <n v="7233.5125341000003"/>
    <n v="0"/>
    <n v="0"/>
    <n v="0"/>
    <n v="0"/>
    <n v="1530"/>
    <n v="149951.98602000001"/>
    <s v="EPER"/>
    <n v="7414000005"/>
  </r>
  <r>
    <x v="107"/>
    <s v="BANCO SANTANDER (MEXICO) FIDEICOMISO F/11361-0"/>
    <x v="102"/>
    <s v="NORMAL"/>
    <s v="MXN"/>
    <n v="6200"/>
    <n v="100.38890499999999"/>
    <n v="622411.21100000001"/>
    <n v="91.398345289999995"/>
    <n v="55741.470201999997"/>
    <n v="0"/>
    <n v="0"/>
    <n v="0"/>
    <n v="0"/>
    <n v="6200"/>
    <n v="622411.21100000001"/>
    <s v="EPER"/>
    <n v="7414000005"/>
  </r>
  <r>
    <x v="107"/>
    <s v="BANCO SANTANDER (MEXICO) FIDEICOMISO F/11361-0"/>
    <x v="148"/>
    <s v="NORMAL"/>
    <s v="MXN"/>
    <n v="1050000"/>
    <n v="4.1069599999999999"/>
    <n v="4312308"/>
    <n v="3.1698389523809523"/>
    <n v="983977.1"/>
    <n v="0"/>
    <n v="0"/>
    <n v="0"/>
    <n v="0"/>
    <n v="1050000"/>
    <n v="4312308"/>
    <s v="EPER"/>
    <n v="7414000005"/>
  </r>
  <r>
    <x v="107"/>
    <s v="BANCO SANTANDER (MEXICO) FIDEICOMISO F/11361-0"/>
    <x v="52"/>
    <s v="NORMAL"/>
    <s v="MXN"/>
    <n v="3"/>
    <n v="747.17843200000004"/>
    <n v="2241.535296"/>
    <n v="730.99471579999999"/>
    <n v="48.551148599999998"/>
    <n v="0"/>
    <n v="0"/>
    <n v="0"/>
    <n v="0"/>
    <n v="3"/>
    <n v="2241.535296"/>
    <s v="EPER"/>
    <n v="7414000005"/>
  </r>
  <r>
    <x v="108"/>
    <s v="BANCO SANTANDER (MEXICO) FIDEICOMISO F/20441-0"/>
    <x v="13"/>
    <s v="NORMAL"/>
    <s v="MXN"/>
    <n v="147110"/>
    <n v="100.000484"/>
    <n v="14711071.201239999"/>
    <n v="100"/>
    <n v="71.201239999999999"/>
    <n v="0"/>
    <n v="0"/>
    <n v="0"/>
    <n v="0"/>
    <n v="147110"/>
    <n v="14711071.201239999"/>
    <s v="EPER"/>
    <n v="7414000005"/>
  </r>
  <r>
    <x v="108"/>
    <s v="BANCO SANTANDER (MEXICO) FIDEICOMISO F/20441-0"/>
    <x v="147"/>
    <s v="NORMAL"/>
    <s v="MXN"/>
    <n v="0"/>
    <n v="0"/>
    <n v="0"/>
    <n v="0"/>
    <n v="0"/>
    <n v="0"/>
    <n v="0"/>
    <n v="0"/>
    <n v="0"/>
    <n v="0"/>
    <n v="0"/>
    <s v="EPER"/>
    <n v="7414000005"/>
  </r>
  <r>
    <x v="108"/>
    <s v="BANCO SANTANDER (MEXICO) FIDEICOMISO F/20441-0"/>
    <x v="122"/>
    <s v="NORMAL"/>
    <s v="MXN"/>
    <n v="5348712"/>
    <n v="8.5044190000000004"/>
    <n v="45487687.958328001"/>
    <n v="8.3071887600000007"/>
    <n v="1054927.75145088"/>
    <n v="0"/>
    <n v="0"/>
    <n v="0"/>
    <n v="0"/>
    <n v="5348712"/>
    <n v="45487687.958328001"/>
    <s v="EPER"/>
    <n v="7414000005"/>
  </r>
  <r>
    <x v="108"/>
    <s v="BANCO SANTANDER (MEXICO) FIDEICOMISO F/20441-0"/>
    <x v="71"/>
    <s v="NORMAL"/>
    <s v="MXN"/>
    <n v="9698110"/>
    <n v="8.3813510000000004"/>
    <n v="81283263.946610004"/>
    <n v="8.2717659885242494"/>
    <n v="1062767.4956431"/>
    <n v="0"/>
    <n v="0"/>
    <n v="0"/>
    <n v="0"/>
    <n v="9698110"/>
    <n v="81283263.946610004"/>
    <s v="EPER"/>
    <n v="7414000005"/>
  </r>
  <r>
    <x v="108"/>
    <s v="BANCO SANTANDER (MEXICO) FIDEICOMISO F/20441-0"/>
    <x v="16"/>
    <s v="NORMAL"/>
    <s v="MXN"/>
    <n v="19087857"/>
    <n v="8.2580650000000002"/>
    <n v="157628763.81670499"/>
    <n v="8.2567570035609155"/>
    <n v="24966.848985770001"/>
    <n v="0"/>
    <n v="0"/>
    <n v="0"/>
    <n v="0"/>
    <n v="19087857"/>
    <n v="157628763.81670499"/>
    <s v="EPER"/>
    <n v="7414000005"/>
  </r>
  <r>
    <x v="108"/>
    <s v="BANCO SANTANDER (MEXICO) FIDEICOMISO F/20441-0"/>
    <x v="66"/>
    <s v="NORMAL"/>
    <s v="MXN"/>
    <n v="0"/>
    <n v="0"/>
    <n v="6899159.6799999997"/>
    <n v="0"/>
    <n v="0"/>
    <n v="0"/>
    <n v="0"/>
    <n v="0"/>
    <n v="0"/>
    <n v="0"/>
    <n v="6899159.6799999997"/>
    <s v="EPER"/>
    <n v="7414000005"/>
  </r>
  <r>
    <x v="108"/>
    <s v="BANCO SANTANDER (MEXICO) FIDEICOMISO F/20441-0"/>
    <x v="26"/>
    <s v="NORMAL"/>
    <s v="MXN"/>
    <n v="186808"/>
    <n v="98.730349000000004"/>
    <n v="18443619.035992"/>
    <n v="111.89286593999999"/>
    <n v="-2458863.4645275199"/>
    <n v="0"/>
    <n v="0"/>
    <n v="0"/>
    <n v="0"/>
    <n v="186808"/>
    <n v="18443619.035992"/>
    <s v="EPER"/>
    <n v="7414000005"/>
  </r>
  <r>
    <x v="108"/>
    <s v="BANCO SANTANDER (MEXICO) FIDEICOMISO F/20441-0"/>
    <x v="67"/>
    <s v="NORMAL"/>
    <s v="MXN"/>
    <n v="1036770"/>
    <n v="99.247497999999993"/>
    <n v="102896828.50146"/>
    <n v="116.92795819391871"/>
    <n v="-18330570.715249099"/>
    <n v="0"/>
    <n v="0"/>
    <n v="0"/>
    <n v="0"/>
    <n v="1036770"/>
    <n v="102896828.50146"/>
    <s v="EPER"/>
    <n v="7414000005"/>
  </r>
  <r>
    <x v="108"/>
    <s v="BANCO SANTANDER (MEXICO) FIDEICOMISO F/20441-0"/>
    <x v="27"/>
    <s v="NORMAL"/>
    <s v="MXN"/>
    <n v="1004142"/>
    <n v="94.973146999999997"/>
    <n v="95366525.774874002"/>
    <n v="90.042079336113034"/>
    <n v="4951492.1461507799"/>
    <n v="0"/>
    <n v="0"/>
    <n v="0"/>
    <n v="0"/>
    <n v="1004142"/>
    <n v="95366525.774874002"/>
    <s v="EPER"/>
    <n v="7414000005"/>
  </r>
  <r>
    <x v="108"/>
    <s v="BANCO SANTANDER (MEXICO) FIDEICOMISO F/20441-0"/>
    <x v="28"/>
    <s v="NORMAL"/>
    <s v="MXN"/>
    <n v="1855916"/>
    <n v="91.911821000000003"/>
    <n v="170580619.183036"/>
    <n v="90.841685154635201"/>
    <n v="1986082.2375860601"/>
    <n v="0"/>
    <n v="0"/>
    <n v="0"/>
    <n v="0"/>
    <n v="1855916"/>
    <n v="170580619.183036"/>
    <s v="EPER"/>
    <n v="7414000005"/>
  </r>
  <r>
    <x v="108"/>
    <s v="BANCO SANTANDER (MEXICO) FIDEICOMISO F/20441-0"/>
    <x v="29"/>
    <s v="NORMAL"/>
    <s v="MXN"/>
    <n v="3388950"/>
    <n v="92.954503000000003"/>
    <n v="315018162.94185001"/>
    <n v="93.270700291316459"/>
    <n v="-1071576.8104069"/>
    <n v="0"/>
    <n v="0"/>
    <n v="0"/>
    <n v="0"/>
    <n v="3388950"/>
    <n v="315018162.94185001"/>
    <s v="EPER"/>
    <n v="7414000005"/>
  </r>
  <r>
    <x v="108"/>
    <s v="BANCO SANTANDER (MEXICO) FIDEICOMISO F/20441-0"/>
    <x v="30"/>
    <s v="NORMAL"/>
    <s v="MXN"/>
    <n v="1246014"/>
    <n v="88.698122999999995"/>
    <n v="110519103.03172199"/>
    <n v="88.298692396428891"/>
    <n v="497696.12407805998"/>
    <n v="0"/>
    <n v="0"/>
    <n v="0"/>
    <n v="0"/>
    <n v="1246014"/>
    <n v="110519103.03172199"/>
    <s v="EPER"/>
    <n v="7414000005"/>
  </r>
  <r>
    <x v="108"/>
    <s v="BANCO SANTANDER (MEXICO) FIDEICOMISO F/20441-0"/>
    <x v="31"/>
    <s v="NORMAL"/>
    <s v="MXN"/>
    <n v="1252910"/>
    <n v="93.314192000000006"/>
    <n v="116914284.29872"/>
    <n v="93.346762706102666"/>
    <n v="-40808.1633831"/>
    <n v="0"/>
    <n v="0"/>
    <n v="0"/>
    <n v="0"/>
    <n v="1252910"/>
    <n v="116914284.29872"/>
    <s v="EPER"/>
    <n v="7414000005"/>
  </r>
  <r>
    <x v="108"/>
    <s v="BANCO SANTANDER (MEXICO) FIDEICOMISO F/20441-0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108"/>
    <s v="BANCO SANTANDER (MEXICO) FIDEICOMISO F/20441-0"/>
    <x v="88"/>
    <s v="NORMAL"/>
    <s v="MXN"/>
    <n v="70103"/>
    <n v="98.007834000000003"/>
    <n v="6870643.1869019996"/>
    <n v="93.280048030000003"/>
    <n v="331431.97985490999"/>
    <n v="0"/>
    <n v="0"/>
    <n v="0"/>
    <n v="0"/>
    <n v="70103"/>
    <n v="6870643.1869019996"/>
    <s v="EPER"/>
    <n v="7414000005"/>
  </r>
  <r>
    <x v="108"/>
    <s v="BANCO SANTANDER (MEXICO) FIDEICOMISO F/20441-0"/>
    <x v="102"/>
    <s v="NORMAL"/>
    <s v="MXN"/>
    <n v="291840"/>
    <n v="100.38890499999999"/>
    <n v="29297498.0352"/>
    <n v="91.398345289999995"/>
    <n v="2623804.9457664001"/>
    <n v="0"/>
    <n v="0"/>
    <n v="0"/>
    <n v="0"/>
    <n v="291840"/>
    <n v="29297498.0352"/>
    <s v="EPER"/>
    <n v="7414000005"/>
  </r>
  <r>
    <x v="108"/>
    <s v="BANCO SANTANDER (MEXICO) FIDEICOMISO F/20441-0"/>
    <x v="148"/>
    <s v="NORMAL"/>
    <s v="MXN"/>
    <n v="54700000"/>
    <n v="4.1069599999999999"/>
    <n v="224650712"/>
    <n v="3.2472985290676415"/>
    <n v="47023482.460000001"/>
    <n v="0"/>
    <n v="0"/>
    <n v="0"/>
    <n v="0"/>
    <n v="54700000"/>
    <n v="224650712"/>
    <s v="EPER"/>
    <n v="7414000005"/>
  </r>
  <r>
    <x v="108"/>
    <s v="BANCO SANTANDER (MEXICO) FIDEICOMISO F/20441-0"/>
    <x v="51"/>
    <s v="NORMAL"/>
    <s v="MXN"/>
    <n v="90"/>
    <n v="775.69178699999998"/>
    <n v="69812.260829999999"/>
    <n v="770.06763651000006"/>
    <n v="506.17354410000002"/>
    <n v="0"/>
    <n v="0"/>
    <n v="0"/>
    <n v="0"/>
    <n v="90"/>
    <n v="69812.260829999999"/>
    <s v="EPER"/>
    <n v="7414000005"/>
  </r>
  <r>
    <x v="108"/>
    <s v="BANCO SANTANDER (MEXICO) FIDEICOMISO F/20441-0"/>
    <x v="52"/>
    <s v="NORMAL"/>
    <s v="MXN"/>
    <n v="564"/>
    <n v="747.17843200000004"/>
    <n v="421408.635648"/>
    <n v="730.99471579999999"/>
    <n v="9127.6159368000008"/>
    <n v="0"/>
    <n v="0"/>
    <n v="0"/>
    <n v="0"/>
    <n v="564"/>
    <n v="421408.635648"/>
    <s v="EPER"/>
    <n v="7414000005"/>
  </r>
  <r>
    <x v="109"/>
    <s v="BCO.SANT.MEX.SA CTA.CONCENTRADORA PLANES PERS.DE RET.APOR NO DEDUC."/>
    <x v="129"/>
    <s v="NORMAL"/>
    <s v="MXN"/>
    <n v="510092"/>
    <n v="3.137273"/>
    <n v="1600297.8591159999"/>
    <n v="3.0779330003215106"/>
    <n v="30268.859116"/>
    <n v="0"/>
    <n v="0"/>
    <n v="0"/>
    <n v="0"/>
    <n v="510092"/>
    <n v="1600297.8591159999"/>
    <s v="EPER"/>
    <n v="7414000005"/>
  </r>
  <r>
    <x v="110"/>
    <s v="BCO.SANTANDER MEX.SA CTA.CONCENTRADORA PLANES PERS.DE RET.APOR.DEDUC."/>
    <x v="149"/>
    <s v="VALORES EN GARANTIA POR FORWARD"/>
    <s v="MXN"/>
    <n v="0"/>
    <n v="0"/>
    <n v="0"/>
    <n v="0"/>
    <n v="0"/>
    <n v="0"/>
    <n v="0"/>
    <n v="0"/>
    <n v="0"/>
    <n v="0"/>
    <n v="0"/>
    <s v="EPER"/>
    <n v="7414000005"/>
  </r>
  <r>
    <x v="110"/>
    <s v="BCO.SANTANDER MEX.SA CTA.CONCENTRADORA PLANES PERS.DE RET.APOR.DEDUC."/>
    <x v="129"/>
    <s v="NORMAL"/>
    <s v="MXN"/>
    <n v="196371"/>
    <n v="3.137273"/>
    <n v="616069.43628300005"/>
    <n v="2.6586447082308489"/>
    <n v="93988.716283000002"/>
    <n v="0"/>
    <n v="0"/>
    <n v="0"/>
    <n v="0"/>
    <n v="196371"/>
    <n v="616069.43628300005"/>
    <s v="EPER"/>
    <n v="7414000005"/>
  </r>
  <r>
    <x v="110"/>
    <s v="BCO.SANTANDER MEX.SA CTA.CONCENTRADORA PLANES PERS.DE RET.APOR.DEDUC."/>
    <x v="150"/>
    <s v="NORMAL"/>
    <s v="MXN"/>
    <n v="10703021"/>
    <n v="3.906444"/>
    <n v="41810752.167323999"/>
    <n v="2.4130519775678287"/>
    <n v="15983806.177324001"/>
    <n v="0"/>
    <n v="0"/>
    <n v="0"/>
    <n v="0"/>
    <n v="10703021"/>
    <n v="41810752.167323999"/>
    <s v="EPER"/>
    <n v="7414000005"/>
  </r>
  <r>
    <x v="111"/>
    <s v="BANCO SANTANDER (MEXICO) FIDEICOMISO F/2112221-1"/>
    <x v="151"/>
    <s v="NORMAL"/>
    <s v="MXN"/>
    <n v="7091577"/>
    <n v="3.0168970000000002"/>
    <n v="21394557.376568999"/>
    <n v="2.9636489316833194"/>
    <n v="377612.77656899998"/>
    <n v="0"/>
    <n v="0"/>
    <n v="0"/>
    <n v="0"/>
    <n v="7091577"/>
    <n v="21394557.376568999"/>
    <s v="EPER"/>
    <n v="7414000005"/>
  </r>
  <r>
    <x v="112"/>
    <s v="BANCO SANTANDER (MEXICO) FIDEICOMISO F/2000363-1"/>
    <x v="146"/>
    <s v="NORMAL"/>
    <s v="MXN"/>
    <n v="0"/>
    <n v="0"/>
    <n v="0"/>
    <n v="0"/>
    <n v="0"/>
    <n v="0"/>
    <n v="0"/>
    <n v="0"/>
    <n v="0"/>
    <n v="0"/>
    <n v="0"/>
    <s v="EPER"/>
    <n v="7414000005"/>
  </r>
  <r>
    <x v="112"/>
    <s v="BANCO SANTANDER (MEXICO) FIDEICOMISO F/2000363-1"/>
    <x v="86"/>
    <s v="NORMAL"/>
    <s v="MXN"/>
    <n v="146155"/>
    <n v="9.4935880000000008"/>
    <n v="1387535.35414"/>
    <n v="8.4405498100000003"/>
    <n v="153906.79665944999"/>
    <n v="0"/>
    <n v="0"/>
    <n v="0"/>
    <n v="0"/>
    <n v="146155"/>
    <n v="1387535.35414"/>
    <s v="EPER"/>
    <n v="7414000005"/>
  </r>
  <r>
    <x v="112"/>
    <s v="BANCO SANTANDER (MEXICO) FIDEICOMISO F/2000363-1"/>
    <x v="72"/>
    <s v="NORMAL"/>
    <s v="MXN"/>
    <n v="199060"/>
    <n v="9.3381629999999998"/>
    <n v="1858854.7267799999"/>
    <n v="8.3307969100000001"/>
    <n v="200526.29387540001"/>
    <n v="0"/>
    <n v="0"/>
    <n v="0"/>
    <n v="0"/>
    <n v="199060"/>
    <n v="1858854.7267799999"/>
    <s v="EPER"/>
    <n v="7414000005"/>
  </r>
  <r>
    <x v="112"/>
    <s v="BANCO SANTANDER (MEXICO) FIDEICOMISO F/2000363-1"/>
    <x v="15"/>
    <s v="NORMAL"/>
    <s v="MXN"/>
    <n v="249960"/>
    <n v="9.190137"/>
    <n v="2297166.6445200001"/>
    <n v="8.2167929437954079"/>
    <n v="243297.0802889"/>
    <n v="0"/>
    <n v="0"/>
    <n v="0"/>
    <n v="0"/>
    <n v="249960"/>
    <n v="2297166.6445200001"/>
    <s v="EPER"/>
    <n v="7414000005"/>
  </r>
  <r>
    <x v="112"/>
    <s v="BANCO SANTANDER (MEXICO) FIDEICOMISO F/2000363-1"/>
    <x v="71"/>
    <s v="NORMAL"/>
    <s v="MXN"/>
    <n v="69270"/>
    <n v="8.3813510000000004"/>
    <n v="580576.18377"/>
    <n v="8.2700011300000007"/>
    <n v="7713.2054949000003"/>
    <n v="0"/>
    <n v="0"/>
    <n v="0"/>
    <n v="0"/>
    <n v="69270"/>
    <n v="580576.18377"/>
    <s v="EPER"/>
    <n v="7414000005"/>
  </r>
  <r>
    <x v="112"/>
    <s v="BANCO SANTANDER (MEXICO) FIDEICOMISO F/2000363-1"/>
    <x v="16"/>
    <s v="NORMAL"/>
    <s v="MXN"/>
    <n v="141260"/>
    <n v="8.2580650000000002"/>
    <n v="1166534.2619"/>
    <n v="8.2501711100000001"/>
    <n v="1115.0909013999999"/>
    <n v="0"/>
    <n v="0"/>
    <n v="0"/>
    <n v="0"/>
    <n v="141260"/>
    <n v="1166534.2619"/>
    <s v="EPER"/>
    <n v="7414000005"/>
  </r>
  <r>
    <x v="112"/>
    <s v="BANCO SANTANDER (MEXICO) FIDEICOMISO F/2000363-1"/>
    <x v="26"/>
    <s v="NORMAL"/>
    <s v="MXN"/>
    <n v="5490"/>
    <n v="98.730349000000004"/>
    <n v="542029.61601"/>
    <n v="104.80973730295082"/>
    <n v="-33375.841783199998"/>
    <n v="0"/>
    <n v="0"/>
    <n v="0"/>
    <n v="0"/>
    <n v="5490"/>
    <n v="542029.61601"/>
    <s v="EPER"/>
    <n v="7414000005"/>
  </r>
  <r>
    <x v="112"/>
    <s v="BANCO SANTANDER (MEXICO) FIDEICOMISO F/2000363-1"/>
    <x v="67"/>
    <s v="NORMAL"/>
    <s v="MXN"/>
    <n v="9056"/>
    <n v="99.247497999999993"/>
    <n v="898785.34188800002"/>
    <n v="104.57350258092093"/>
    <n v="-48232.297484820003"/>
    <n v="0"/>
    <n v="0"/>
    <n v="0"/>
    <n v="0"/>
    <n v="9056"/>
    <n v="898785.34188800002"/>
    <s v="EPER"/>
    <n v="7414000005"/>
  </r>
  <r>
    <x v="112"/>
    <s v="BANCO SANTANDER (MEXICO) FIDEICOMISO F/2000363-1"/>
    <x v="27"/>
    <s v="NORMAL"/>
    <s v="MXN"/>
    <n v="11816"/>
    <n v="94.973146999999997"/>
    <n v="1122202.7049519999"/>
    <n v="90.01616612759986"/>
    <n v="58571.685988279998"/>
    <n v="0"/>
    <n v="0"/>
    <n v="0"/>
    <n v="0"/>
    <n v="11816"/>
    <n v="1122202.7049519999"/>
    <s v="EPER"/>
    <n v="7414000005"/>
  </r>
  <r>
    <x v="112"/>
    <s v="BANCO SANTANDER (MEXICO) FIDEICOMISO F/2000363-1"/>
    <x v="28"/>
    <s v="NORMAL"/>
    <s v="MXN"/>
    <n v="6578"/>
    <n v="91.911821000000003"/>
    <n v="604595.95853800001"/>
    <n v="93.2088459"/>
    <n v="-8531.8297922000002"/>
    <n v="0"/>
    <n v="0"/>
    <n v="0"/>
    <n v="0"/>
    <n v="6578"/>
    <n v="604595.95853800001"/>
    <s v="EPER"/>
    <n v="7414000005"/>
  </r>
  <r>
    <x v="112"/>
    <s v="BANCO SANTANDER (MEXICO) FIDEICOMISO F/2000363-1"/>
    <x v="30"/>
    <s v="NORMAL"/>
    <s v="MXN"/>
    <n v="9566"/>
    <n v="88.698122999999995"/>
    <n v="848486.244618"/>
    <n v="85.747638112803685"/>
    <n v="28224.338430920001"/>
    <n v="0"/>
    <n v="0"/>
    <n v="0"/>
    <n v="0"/>
    <n v="9566"/>
    <n v="848486.244618"/>
    <s v="EPER"/>
    <n v="7414000005"/>
  </r>
  <r>
    <x v="112"/>
    <s v="BANCO SANTANDER (MEXICO) FIDEICOMISO F/2000363-1"/>
    <x v="31"/>
    <s v="NORMAL"/>
    <s v="MXN"/>
    <n v="8296"/>
    <n v="93.314192000000006"/>
    <n v="774134.53683200001"/>
    <n v="97.434902156656221"/>
    <n v="-34185.411459620002"/>
    <n v="0"/>
    <n v="0"/>
    <n v="0"/>
    <n v="0"/>
    <n v="8296"/>
    <n v="774134.53683200001"/>
    <s v="EPER"/>
    <n v="7414000005"/>
  </r>
  <r>
    <x v="112"/>
    <s v="BANCO SANTANDER (MEXICO) FIDEICOMISO F/2000363-1"/>
    <x v="32"/>
    <s v="NORMAL"/>
    <s v="MXN"/>
    <n v="7200"/>
    <n v="94.864168000000006"/>
    <n v="683022.00959999999"/>
    <n v="96.490125727638883"/>
    <n v="-11706.895639"/>
    <n v="0"/>
    <n v="0"/>
    <n v="0"/>
    <n v="0"/>
    <n v="7200"/>
    <n v="683022.00959999999"/>
    <s v="EPER"/>
    <n v="7414000005"/>
  </r>
  <r>
    <x v="112"/>
    <s v="BANCO SANTANDER (MEXICO) FIDEICOMISO F/2000363-1"/>
    <x v="33"/>
    <s v="NORMAL"/>
    <s v="MXN"/>
    <n v="2953"/>
    <n v="94.870157000000006"/>
    <n v="280151.57362099999"/>
    <n v="96.692672049999999"/>
    <n v="-5381.8869426499996"/>
    <n v="0"/>
    <n v="0"/>
    <n v="0"/>
    <n v="0"/>
    <n v="2953"/>
    <n v="280151.57362099999"/>
    <s v="EPER"/>
    <n v="7414000005"/>
  </r>
  <r>
    <x v="112"/>
    <s v="BANCO SANTANDER (MEXICO) FIDEICOMISO F/2000363-1"/>
    <x v="34"/>
    <s v="NORMAL"/>
    <s v="MXN"/>
    <n v="11334"/>
    <n v="89.489464999999996"/>
    <n v="1014273.5963100001"/>
    <n v="83.461092959648838"/>
    <n v="68325.568705340003"/>
    <n v="0"/>
    <n v="0"/>
    <n v="0"/>
    <n v="0"/>
    <n v="11334"/>
    <n v="1014273.5963100001"/>
    <s v="EPER"/>
    <n v="7414000005"/>
  </r>
  <r>
    <x v="112"/>
    <s v="BANCO SANTANDER (MEXICO) FIDEICOMISO F/2000363-1"/>
    <x v="35"/>
    <s v="NORMAL"/>
    <s v="MXN"/>
    <n v="7760"/>
    <n v="86.197128000000006"/>
    <n v="668889.71328000003"/>
    <n v="89.851363189716494"/>
    <n v="-28356.865072199998"/>
    <n v="0"/>
    <n v="0"/>
    <n v="0"/>
    <n v="0"/>
    <n v="7760"/>
    <n v="668889.71328000003"/>
    <s v="EPER"/>
    <n v="7414000005"/>
  </r>
  <r>
    <x v="112"/>
    <s v="BANCO SANTANDER (MEXICO) FIDEICOMISO F/2000363-1"/>
    <x v="36"/>
    <s v="NORMAL"/>
    <s v="MXN"/>
    <n v="39629"/>
    <n v="86.469353999999996"/>
    <n v="3426694.029666"/>
    <n v="90.513408445430613"/>
    <n v="-160261.83361797"/>
    <n v="0"/>
    <n v="0"/>
    <n v="0"/>
    <n v="0"/>
    <n v="39629"/>
    <n v="3426694.029666"/>
    <s v="EPER"/>
    <n v="7414000005"/>
  </r>
  <r>
    <x v="112"/>
    <s v="BANCO SANTANDER (MEXICO) FIDEICOMISO F/2000363-1"/>
    <x v="81"/>
    <s v="NORMAL"/>
    <s v="MXN"/>
    <n v="507"/>
    <n v="101.45096599999999"/>
    <n v="51435.639761999999"/>
    <n v="114.11447106"/>
    <n v="-6420.3970654200002"/>
    <n v="0"/>
    <n v="0"/>
    <n v="0"/>
    <n v="0"/>
    <n v="507"/>
    <n v="51435.639761999999"/>
    <s v="EPER"/>
    <n v="7414000005"/>
  </r>
  <r>
    <x v="112"/>
    <s v="BANCO SANTANDER (MEXICO) FIDEICOMISO F/2000363-1"/>
    <x v="68"/>
    <s v="NORMAL"/>
    <s v="MXN"/>
    <n v="657"/>
    <n v="89.643172000000007"/>
    <n v="58895.564004"/>
    <n v="108.47711812999999"/>
    <n v="-12373.90260741"/>
    <n v="0"/>
    <n v="0"/>
    <n v="0"/>
    <n v="0"/>
    <n v="657"/>
    <n v="58895.564004"/>
    <s v="EPER"/>
    <n v="7414000005"/>
  </r>
  <r>
    <x v="112"/>
    <s v="BANCO SANTANDER (MEXICO) FIDEICOMISO F/2000363-1"/>
    <x v="37"/>
    <s v="NORMAL"/>
    <s v="MXN"/>
    <n v="14007"/>
    <n v="81.738860000000003"/>
    <n v="1144916.21202"/>
    <n v="86.459614233283361"/>
    <n v="-66123.604545599999"/>
    <n v="0"/>
    <n v="0"/>
    <n v="0"/>
    <n v="0"/>
    <n v="14007"/>
    <n v="1144916.21202"/>
    <s v="EPER"/>
    <n v="7414000005"/>
  </r>
  <r>
    <x v="112"/>
    <s v="BANCO SANTANDER (MEXICO) FIDEICOMISO F/2000363-1"/>
    <x v="38"/>
    <s v="NORMAL"/>
    <s v="MXN"/>
    <n v="2080"/>
    <n v="83.200761"/>
    <n v="173057.58288"/>
    <n v="93.184550292500006"/>
    <n v="-20766.281728400001"/>
    <n v="0"/>
    <n v="0"/>
    <n v="0"/>
    <n v="0"/>
    <n v="2080"/>
    <n v="173057.58288"/>
    <s v="EPER"/>
    <n v="7414000005"/>
  </r>
  <r>
    <x v="112"/>
    <s v="BANCO SANTANDER (MEXICO) FIDEICOMISO F/2000363-1"/>
    <x v="39"/>
    <s v="NORMAL"/>
    <s v="MXN"/>
    <n v="21201"/>
    <n v="82.159907000000004"/>
    <n v="1741872.1883070001"/>
    <n v="84.233747164370556"/>
    <n v="-43967.485324820002"/>
    <n v="0"/>
    <n v="0"/>
    <n v="0"/>
    <n v="0"/>
    <n v="21201"/>
    <n v="1741872.1883070001"/>
    <s v="EPER"/>
    <n v="7414000005"/>
  </r>
  <r>
    <x v="112"/>
    <s v="BANCO SANTANDER (MEXICO) FIDEICOMISO F/2000363-1"/>
    <x v="88"/>
    <s v="NORMAL"/>
    <s v="MXN"/>
    <n v="10290"/>
    <n v="98.007834000000003"/>
    <n v="1008500.6118599999"/>
    <n v="92.06780790645287"/>
    <n v="61122.868502600002"/>
    <n v="0"/>
    <n v="0"/>
    <n v="0"/>
    <n v="0"/>
    <n v="10290"/>
    <n v="1008500.6118599999"/>
    <s v="EPER"/>
    <n v="7414000005"/>
  </r>
  <r>
    <x v="112"/>
    <s v="BANCO SANTANDER (MEXICO) FIDEICOMISO F/2000363-1"/>
    <x v="0"/>
    <s v="NORMAL"/>
    <s v="MXN"/>
    <n v="2085150"/>
    <n v="3.3967719999999999"/>
    <n v="7082779.1358000003"/>
    <n v="3.2974583603098098"/>
    <n v="207083.8358"/>
    <n v="0"/>
    <n v="0"/>
    <n v="0"/>
    <n v="0"/>
    <n v="2085150"/>
    <n v="7082779.1358000003"/>
    <s v="EPER"/>
    <n v="7414000005"/>
  </r>
  <r>
    <x v="112"/>
    <s v="BANCO SANTANDER (MEXICO) FIDEICOMISO F/2000363-1"/>
    <x v="80"/>
    <s v="NORMAL"/>
    <s v="MXN"/>
    <n v="1858513"/>
    <n v="3.8832339999999999"/>
    <n v="7217040.8710420001"/>
    <n v="2.8731066933618434"/>
    <n v="1877334.731042"/>
    <n v="0"/>
    <n v="0"/>
    <n v="0"/>
    <n v="0"/>
    <n v="1858513"/>
    <n v="7217040.8710420001"/>
    <s v="EPER"/>
    <n v="7414000005"/>
  </r>
  <r>
    <x v="112"/>
    <s v="BANCO SANTANDER (MEXICO) FIDEICOMISO F/2000363-1"/>
    <x v="141"/>
    <s v="NORMAL"/>
    <s v="MXN"/>
    <n v="152"/>
    <n v="256.05011500000001"/>
    <n v="38919.617480000001"/>
    <n v="487.32003911999999"/>
    <n v="-35153.028466240001"/>
    <n v="0"/>
    <n v="0"/>
    <n v="0"/>
    <n v="0"/>
    <n v="152"/>
    <n v="38919.617480000001"/>
    <s v="EPER"/>
    <n v="7414000005"/>
  </r>
  <r>
    <x v="112"/>
    <s v="BANCO SANTANDER (MEXICO) FIDEICOMISO F/2000363-1"/>
    <x v="115"/>
    <s v="NORMAL"/>
    <s v="MXN"/>
    <n v="0"/>
    <n v="0"/>
    <n v="0"/>
    <n v="0"/>
    <n v="0"/>
    <n v="0"/>
    <n v="0"/>
    <n v="0"/>
    <n v="0"/>
    <n v="0"/>
    <n v="0"/>
    <s v="EPER"/>
    <n v="7414000005"/>
  </r>
  <r>
    <x v="112"/>
    <s v="BANCO SANTANDER (MEXICO) FIDEICOMISO F/2000363-1"/>
    <x v="51"/>
    <s v="NORMAL"/>
    <s v="MXN"/>
    <n v="878"/>
    <n v="775.69178699999998"/>
    <n v="681057.38898599998"/>
    <n v="700.47549593253984"/>
    <n v="66039.903557230005"/>
    <n v="0"/>
    <n v="0"/>
    <n v="0"/>
    <n v="0"/>
    <n v="878"/>
    <n v="681057.38898599998"/>
    <s v="EPER"/>
    <n v="7414000005"/>
  </r>
  <r>
    <x v="112"/>
    <s v="BANCO SANTANDER (MEXICO) FIDEICOMISO F/2000363-1"/>
    <x v="52"/>
    <s v="NORMAL"/>
    <s v="MXN"/>
    <n v="1360"/>
    <n v="747.17843200000004"/>
    <n v="1016162.66752"/>
    <n v="709.92481254102938"/>
    <n v="50664.922464199997"/>
    <n v="0"/>
    <n v="0"/>
    <n v="0"/>
    <n v="0"/>
    <n v="1360"/>
    <n v="1016162.66752"/>
    <s v="EPER"/>
    <n v="7414000005"/>
  </r>
  <r>
    <x v="112"/>
    <s v="BANCO SANTANDER (MEXICO) FIDEICOMISO F/2000363-1"/>
    <x v="53"/>
    <s v="NORMAL"/>
    <s v="MXN"/>
    <n v="1328"/>
    <n v="765.92388300000005"/>
    <n v="1017146.9166239999"/>
    <n v="751.83943144423188"/>
    <n v="18704.151666059999"/>
    <n v="0"/>
    <n v="0"/>
    <n v="0"/>
    <n v="0"/>
    <n v="1328"/>
    <n v="1017146.9166239999"/>
    <s v="EPER"/>
    <n v="7414000005"/>
  </r>
  <r>
    <x v="112"/>
    <s v="BANCO SANTANDER (MEXICO) FIDEICOMISO F/2000363-1"/>
    <x v="54"/>
    <s v="NORMAL"/>
    <s v="MXN"/>
    <n v="6375"/>
    <n v="684.88915799999995"/>
    <n v="4366168.3822499998"/>
    <n v="677.1594670729412"/>
    <n v="49276.77966"/>
    <n v="0"/>
    <n v="0"/>
    <n v="0"/>
    <n v="0"/>
    <n v="6375"/>
    <n v="4366168.3822499998"/>
    <s v="EPER"/>
    <n v="7414000005"/>
  </r>
  <r>
    <x v="112"/>
    <s v="BANCO SANTANDER (MEXICO) FIDEICOMISO F/2000363-1"/>
    <x v="55"/>
    <s v="NORMAL"/>
    <s v="MXN"/>
    <n v="616"/>
    <n v="772.926965"/>
    <n v="476123.01043999998"/>
    <n v="798.93664675000002"/>
    <n v="-16021.963958"/>
    <n v="0"/>
    <n v="0"/>
    <n v="0"/>
    <n v="0"/>
    <n v="616"/>
    <n v="476123.01043999998"/>
    <s v="EPER"/>
    <n v="7414000005"/>
  </r>
  <r>
    <x v="112"/>
    <s v="BANCO SANTANDER (MEXICO) FIDEICOMISO F/2000363-1"/>
    <x v="56"/>
    <s v="NORMAL"/>
    <s v="MXN"/>
    <n v="679"/>
    <n v="721.59464000000003"/>
    <n v="489962.76056000002"/>
    <n v="779.21218873468331"/>
    <n v="-39122.315590849998"/>
    <n v="0"/>
    <n v="0"/>
    <n v="0"/>
    <n v="0"/>
    <n v="679"/>
    <n v="489962.76056000002"/>
    <s v="EPER"/>
    <n v="7414000005"/>
  </r>
  <r>
    <x v="112"/>
    <s v="BANCO SANTANDER (MEXICO) FIDEICOMISO F/2000363-1"/>
    <x v="57"/>
    <s v="NORMAL"/>
    <s v="MXN"/>
    <n v="638"/>
    <n v="635.96311900000001"/>
    <n v="405744.46992200002"/>
    <n v="647.93802047999998"/>
    <n v="-7639.9871442399999"/>
    <n v="0"/>
    <n v="0"/>
    <n v="0"/>
    <n v="0"/>
    <n v="638"/>
    <n v="405744.46992200002"/>
    <s v="EPER"/>
    <n v="7414000005"/>
  </r>
  <r>
    <x v="112"/>
    <s v="BANCO SANTANDER (MEXICO) FIDEICOMISO F/2000363-1"/>
    <x v="58"/>
    <s v="NORMAL"/>
    <s v="MXN"/>
    <n v="1046"/>
    <n v="709.36974099999998"/>
    <n v="742000.74908600003"/>
    <n v="728.33197593174953"/>
    <n v="-19834.49773861"/>
    <n v="0"/>
    <n v="0"/>
    <n v="0"/>
    <n v="0"/>
    <n v="1046"/>
    <n v="742000.74908600003"/>
    <s v="EPER"/>
    <n v="7414000005"/>
  </r>
  <r>
    <x v="112"/>
    <s v="BANCO SANTANDER (MEXICO) FIDEICOMISO F/2000363-1"/>
    <x v="59"/>
    <s v="NORMAL"/>
    <s v="MXN"/>
    <n v="3818"/>
    <n v="694.41118700000004"/>
    <n v="2651261.9119660002"/>
    <n v="724.71258163232585"/>
    <n v="-115690.72470622"/>
    <n v="0"/>
    <n v="0"/>
    <n v="0"/>
    <n v="0"/>
    <n v="3818"/>
    <n v="2651261.9119660002"/>
    <s v="EPER"/>
    <n v="7414000005"/>
  </r>
  <r>
    <x v="113"/>
    <s v="BANCO SANTANDER (MEXICO) FIDEICOMISO F/2000363-2"/>
    <x v="86"/>
    <s v="NORMAL"/>
    <s v="MXN"/>
    <n v="136379"/>
    <n v="9.4935880000000008"/>
    <n v="1294726.037852"/>
    <n v="8.4405498100000003"/>
    <n v="143612.29531401"/>
    <n v="0"/>
    <n v="0"/>
    <n v="0"/>
    <n v="0"/>
    <n v="136379"/>
    <n v="1294726.037852"/>
    <s v="EPER"/>
    <n v="7414000005"/>
  </r>
  <r>
    <x v="113"/>
    <s v="BANCO SANTANDER (MEXICO) FIDEICOMISO F/2000363-2"/>
    <x v="72"/>
    <s v="NORMAL"/>
    <s v="MXN"/>
    <n v="185740"/>
    <n v="9.3381629999999998"/>
    <n v="1734470.3956200001"/>
    <n v="8.3307969100000001"/>
    <n v="187108.17755660001"/>
    <n v="0"/>
    <n v="0"/>
    <n v="0"/>
    <n v="0"/>
    <n v="185740"/>
    <n v="1734470.3956200001"/>
    <s v="EPER"/>
    <n v="7414000005"/>
  </r>
  <r>
    <x v="113"/>
    <s v="BANCO SANTANDER (MEXICO) FIDEICOMISO F/2000363-2"/>
    <x v="15"/>
    <s v="NORMAL"/>
    <s v="MXN"/>
    <n v="234160"/>
    <n v="9.190137"/>
    <n v="2151962.4799199998"/>
    <n v="8.2167948391860275"/>
    <n v="227917.8003762"/>
    <n v="0"/>
    <n v="0"/>
    <n v="0"/>
    <n v="0"/>
    <n v="234160"/>
    <n v="2151962.4799199998"/>
    <s v="EPER"/>
    <n v="7414000005"/>
  </r>
  <r>
    <x v="113"/>
    <s v="BANCO SANTANDER (MEXICO) FIDEICOMISO F/2000363-2"/>
    <x v="71"/>
    <s v="NORMAL"/>
    <s v="MXN"/>
    <n v="64920"/>
    <n v="8.3813510000000004"/>
    <n v="544117.30692"/>
    <n v="8.2700011300000007"/>
    <n v="7228.8335604000004"/>
    <n v="0"/>
    <n v="0"/>
    <n v="0"/>
    <n v="0"/>
    <n v="64920"/>
    <n v="544117.30692"/>
    <s v="EPER"/>
    <n v="7414000005"/>
  </r>
  <r>
    <x v="113"/>
    <s v="BANCO SANTANDER (MEXICO) FIDEICOMISO F/2000363-2"/>
    <x v="16"/>
    <s v="NORMAL"/>
    <s v="MXN"/>
    <n v="132650"/>
    <n v="8.2580650000000002"/>
    <n v="1095432.32225"/>
    <n v="8.2501711100000001"/>
    <n v="1047.1245085"/>
    <n v="0"/>
    <n v="0"/>
    <n v="0"/>
    <n v="0"/>
    <n v="132650"/>
    <n v="1095432.32225"/>
    <s v="EPER"/>
    <n v="7414000005"/>
  </r>
  <r>
    <x v="113"/>
    <s v="BANCO SANTANDER (MEXICO) FIDEICOMISO F/2000363-2"/>
    <x v="26"/>
    <s v="NORMAL"/>
    <s v="MXN"/>
    <n v="4530"/>
    <n v="98.730349000000004"/>
    <n v="447248.48096999998"/>
    <n v="104.81191507"/>
    <n v="-27549.494297099998"/>
    <n v="0"/>
    <n v="0"/>
    <n v="0"/>
    <n v="0"/>
    <n v="4530"/>
    <n v="447248.48096999998"/>
    <s v="EPER"/>
    <n v="7414000005"/>
  </r>
  <r>
    <x v="113"/>
    <s v="BANCO SANTANDER (MEXICO) FIDEICOMISO F/2000363-2"/>
    <x v="67"/>
    <s v="NORMAL"/>
    <s v="MXN"/>
    <n v="7978"/>
    <n v="99.247497999999993"/>
    <n v="791796.53904399998"/>
    <n v="107.59174377659313"/>
    <n v="-66570.392805659998"/>
    <n v="0"/>
    <n v="0"/>
    <n v="0"/>
    <n v="0"/>
    <n v="7978"/>
    <n v="791796.53904399998"/>
    <s v="EPER"/>
    <n v="7414000005"/>
  </r>
  <r>
    <x v="113"/>
    <s v="BANCO SANTANDER (MEXICO) FIDEICOMISO F/2000363-2"/>
    <x v="27"/>
    <s v="NORMAL"/>
    <s v="MXN"/>
    <n v="11009"/>
    <n v="94.973146999999997"/>
    <n v="1045559.375323"/>
    <n v="90.01635830841856"/>
    <n v="54569.286705619998"/>
    <n v="0"/>
    <n v="0"/>
    <n v="0"/>
    <n v="0"/>
    <n v="11009"/>
    <n v="1045559.375323"/>
    <s v="EPER"/>
    <n v="7414000005"/>
  </r>
  <r>
    <x v="113"/>
    <s v="BANCO SANTANDER (MEXICO) FIDEICOMISO F/2000363-2"/>
    <x v="28"/>
    <s v="NORMAL"/>
    <s v="MXN"/>
    <n v="6022"/>
    <n v="91.911821000000003"/>
    <n v="553492.98606200004"/>
    <n v="93.2088459"/>
    <n v="-7810.6839478000002"/>
    <n v="0"/>
    <n v="0"/>
    <n v="0"/>
    <n v="0"/>
    <n v="6022"/>
    <n v="553492.98606200004"/>
    <s v="EPER"/>
    <n v="7414000005"/>
  </r>
  <r>
    <x v="113"/>
    <s v="BANCO SANTANDER (MEXICO) FIDEICOMISO F/2000363-2"/>
    <x v="30"/>
    <s v="NORMAL"/>
    <s v="MXN"/>
    <n v="8895"/>
    <n v="88.698122999999995"/>
    <n v="788969.80408499995"/>
    <n v="85.748156218701524"/>
    <n v="26239.95451965"/>
    <n v="0"/>
    <n v="0"/>
    <n v="0"/>
    <n v="0"/>
    <n v="8895"/>
    <n v="788969.80408499995"/>
    <s v="EPER"/>
    <n v="7414000005"/>
  </r>
  <r>
    <x v="113"/>
    <s v="BANCO SANTANDER (MEXICO) FIDEICOMISO F/2000363-2"/>
    <x v="31"/>
    <s v="NORMAL"/>
    <s v="MXN"/>
    <n v="7218"/>
    <n v="93.314192000000006"/>
    <n v="673541.83785600006"/>
    <n v="97.382118526663902"/>
    <n v="-29362.293669459999"/>
    <n v="0"/>
    <n v="0"/>
    <n v="0"/>
    <n v="0"/>
    <n v="7218"/>
    <n v="673541.83785600006"/>
    <s v="EPER"/>
    <n v="7414000005"/>
  </r>
  <r>
    <x v="113"/>
    <s v="BANCO SANTANDER (MEXICO) FIDEICOMISO F/2000363-2"/>
    <x v="32"/>
    <s v="NORMAL"/>
    <s v="MXN"/>
    <n v="6710"/>
    <n v="94.864168000000006"/>
    <n v="636538.56727999996"/>
    <n v="96.491292991490312"/>
    <n v="-10918.008692900001"/>
    <n v="0"/>
    <n v="0"/>
    <n v="0"/>
    <n v="0"/>
    <n v="6710"/>
    <n v="636538.56727999996"/>
    <s v="EPER"/>
    <n v="7414000005"/>
  </r>
  <r>
    <x v="113"/>
    <s v="BANCO SANTANDER (MEXICO) FIDEICOMISO F/2000363-2"/>
    <x v="33"/>
    <s v="NORMAL"/>
    <s v="MXN"/>
    <n v="2625"/>
    <n v="94.870157000000006"/>
    <n v="249034.162125"/>
    <n v="96.692672049999999"/>
    <n v="-4784.1020062500002"/>
    <n v="0"/>
    <n v="0"/>
    <n v="0"/>
    <n v="0"/>
    <n v="2625"/>
    <n v="249034.162125"/>
    <s v="EPER"/>
    <n v="7414000005"/>
  </r>
  <r>
    <x v="113"/>
    <s v="BANCO SANTANDER (MEXICO) FIDEICOMISO F/2000363-2"/>
    <x v="34"/>
    <s v="NORMAL"/>
    <s v="MXN"/>
    <n v="10540"/>
    <n v="89.489464999999996"/>
    <n v="943218.96109999996"/>
    <n v="85.486036344345351"/>
    <n v="42196.138030599999"/>
    <n v="0"/>
    <n v="0"/>
    <n v="0"/>
    <n v="0"/>
    <n v="10540"/>
    <n v="943218.96109999996"/>
    <s v="EPER"/>
    <n v="7414000005"/>
  </r>
  <r>
    <x v="113"/>
    <s v="BANCO SANTANDER (MEXICO) FIDEICOMISO F/2000363-2"/>
    <x v="35"/>
    <s v="NORMAL"/>
    <s v="MXN"/>
    <n v="7270"/>
    <n v="86.197128000000006"/>
    <n v="626653.12055999995"/>
    <n v="89.849078692008248"/>
    <n v="-26549.681530900001"/>
    <n v="0"/>
    <n v="0"/>
    <n v="0"/>
    <n v="0"/>
    <n v="7270"/>
    <n v="626653.12055999995"/>
    <s v="EPER"/>
    <n v="7414000005"/>
  </r>
  <r>
    <x v="113"/>
    <s v="BANCO SANTANDER (MEXICO) FIDEICOMISO F/2000363-2"/>
    <x v="36"/>
    <s v="NORMAL"/>
    <s v="MXN"/>
    <n v="41347"/>
    <n v="86.469353999999996"/>
    <n v="3575248.3798380001"/>
    <n v="90.392895358433506"/>
    <n v="-162226.66454714999"/>
    <n v="0"/>
    <n v="0"/>
    <n v="0"/>
    <n v="0"/>
    <n v="41347"/>
    <n v="3575248.3798380001"/>
    <s v="EPER"/>
    <n v="7414000005"/>
  </r>
  <r>
    <x v="113"/>
    <s v="BANCO SANTANDER (MEXICO) FIDEICOMISO F/2000363-2"/>
    <x v="81"/>
    <s v="NORMAL"/>
    <s v="MXN"/>
    <n v="468"/>
    <n v="101.45096599999999"/>
    <n v="47479.052087999997"/>
    <n v="114.11447106"/>
    <n v="-5926.5203680799996"/>
    <n v="0"/>
    <n v="0"/>
    <n v="0"/>
    <n v="0"/>
    <n v="468"/>
    <n v="47479.052087999997"/>
    <s v="EPER"/>
    <n v="7414000005"/>
  </r>
  <r>
    <x v="113"/>
    <s v="BANCO SANTANDER (MEXICO) FIDEICOMISO F/2000363-2"/>
    <x v="68"/>
    <s v="NORMAL"/>
    <s v="MXN"/>
    <n v="568"/>
    <n v="89.643172000000007"/>
    <n v="50917.321695999999"/>
    <n v="108.47711812999999"/>
    <n v="-10697.68140184"/>
    <n v="0"/>
    <n v="0"/>
    <n v="0"/>
    <n v="0"/>
    <n v="568"/>
    <n v="50917.321695999999"/>
    <s v="EPER"/>
    <n v="7414000005"/>
  </r>
  <r>
    <x v="113"/>
    <s v="BANCO SANTANDER (MEXICO) FIDEICOMISO F/2000363-2"/>
    <x v="37"/>
    <s v="NORMAL"/>
    <s v="MXN"/>
    <n v="13071"/>
    <n v="81.738860000000003"/>
    <n v="1068408.63906"/>
    <n v="86.456739232040391"/>
    <n v="-61667.399442000002"/>
    <n v="0"/>
    <n v="0"/>
    <n v="0"/>
    <n v="0"/>
    <n v="13071"/>
    <n v="1068408.63906"/>
    <s v="EPER"/>
    <n v="7414000005"/>
  </r>
  <r>
    <x v="113"/>
    <s v="BANCO SANTANDER (MEXICO) FIDEICOMISO F/2000363-2"/>
    <x v="38"/>
    <s v="NORMAL"/>
    <s v="MXN"/>
    <n v="1883"/>
    <n v="83.200761"/>
    <n v="156667.03296300001"/>
    <n v="93.079391513313865"/>
    <n v="-18601.461256570001"/>
    <n v="0"/>
    <n v="0"/>
    <n v="0"/>
    <n v="0"/>
    <n v="1883"/>
    <n v="156667.03296300001"/>
    <s v="EPER"/>
    <n v="7414000005"/>
  </r>
  <r>
    <x v="113"/>
    <s v="BANCO SANTANDER (MEXICO) FIDEICOMISO F/2000363-2"/>
    <x v="39"/>
    <s v="NORMAL"/>
    <s v="MXN"/>
    <n v="19880"/>
    <n v="82.159907000000004"/>
    <n v="1633338.9511599999"/>
    <n v="84.23074479732395"/>
    <n v="-41168.255410799997"/>
    <n v="0"/>
    <n v="0"/>
    <n v="0"/>
    <n v="0"/>
    <n v="19880"/>
    <n v="1633338.9511599999"/>
    <s v="EPER"/>
    <n v="7414000005"/>
  </r>
  <r>
    <x v="113"/>
    <s v="BANCO SANTANDER (MEXICO) FIDEICOMISO F/2000363-2"/>
    <x v="88"/>
    <s v="NORMAL"/>
    <s v="MXN"/>
    <n v="8710"/>
    <n v="98.007834000000003"/>
    <n v="853648.23413999996"/>
    <n v="92.067783631481049"/>
    <n v="51737.838709800002"/>
    <n v="0"/>
    <n v="0"/>
    <n v="0"/>
    <n v="0"/>
    <n v="8710"/>
    <n v="853648.23413999996"/>
    <s v="EPER"/>
    <n v="7414000005"/>
  </r>
  <r>
    <x v="113"/>
    <s v="BANCO SANTANDER (MEXICO) FIDEICOMISO F/2000363-2"/>
    <x v="0"/>
    <s v="NORMAL"/>
    <s v="MXN"/>
    <n v="2175395"/>
    <n v="3.3967719999999999"/>
    <n v="7389320.8249399997"/>
    <n v="3.2960309093291102"/>
    <n v="219151.66493999999"/>
    <n v="0"/>
    <n v="0"/>
    <n v="0"/>
    <n v="0"/>
    <n v="2175395"/>
    <n v="7389320.8249399997"/>
    <s v="EPER"/>
    <n v="7414000005"/>
  </r>
  <r>
    <x v="113"/>
    <s v="BANCO SANTANDER (MEXICO) FIDEICOMISO F/2000363-2"/>
    <x v="80"/>
    <s v="NORMAL"/>
    <s v="MXN"/>
    <n v="1618546"/>
    <n v="3.8832339999999999"/>
    <n v="6285192.8577640001"/>
    <n v="2.873509853905913"/>
    <n v="1634284.977764"/>
    <n v="0"/>
    <n v="0"/>
    <n v="0"/>
    <n v="0"/>
    <n v="1618546"/>
    <n v="6285192.8577640001"/>
    <s v="EPER"/>
    <n v="7414000005"/>
  </r>
  <r>
    <x v="113"/>
    <s v="BANCO SANTANDER (MEXICO) FIDEICOMISO F/2000363-2"/>
    <x v="141"/>
    <s v="NORMAL"/>
    <s v="MXN"/>
    <n v="120"/>
    <n v="256.05011500000001"/>
    <n v="30726.013800000001"/>
    <n v="487.32003911999999"/>
    <n v="-27752.3908944"/>
    <n v="0"/>
    <n v="0"/>
    <n v="0"/>
    <n v="0"/>
    <n v="120"/>
    <n v="30726.013800000001"/>
    <s v="EPER"/>
    <n v="7414000005"/>
  </r>
  <r>
    <x v="113"/>
    <s v="BANCO SANTANDER (MEXICO) FIDEICOMISO F/2000363-2"/>
    <x v="115"/>
    <s v="NORMAL"/>
    <s v="MXN"/>
    <n v="0"/>
    <n v="0"/>
    <n v="0"/>
    <n v="0"/>
    <n v="0"/>
    <n v="0"/>
    <n v="0"/>
    <n v="0"/>
    <n v="0"/>
    <n v="0"/>
    <n v="0"/>
    <s v="EPER"/>
    <n v="7414000005"/>
  </r>
  <r>
    <x v="113"/>
    <s v="BANCO SANTANDER (MEXICO) FIDEICOMISO F/2000363-2"/>
    <x v="51"/>
    <s v="NORMAL"/>
    <s v="MXN"/>
    <n v="820"/>
    <n v="775.69178699999998"/>
    <n v="636067.26534000004"/>
    <n v="697.68063177139027"/>
    <n v="63969.14728746"/>
    <n v="0"/>
    <n v="0"/>
    <n v="0"/>
    <n v="0"/>
    <n v="820"/>
    <n v="636067.26534000004"/>
    <s v="EPER"/>
    <n v="7414000005"/>
  </r>
  <r>
    <x v="113"/>
    <s v="BANCO SANTANDER (MEXICO) FIDEICOMISO F/2000363-2"/>
    <x v="52"/>
    <s v="NORMAL"/>
    <s v="MXN"/>
    <n v="1260"/>
    <n v="747.17843200000004"/>
    <n v="941444.82432000001"/>
    <n v="709.92084864119045"/>
    <n v="46944.555032099997"/>
    <n v="0"/>
    <n v="0"/>
    <n v="0"/>
    <n v="0"/>
    <n v="1260"/>
    <n v="941444.82432000001"/>
    <s v="EPER"/>
    <n v="7414000005"/>
  </r>
  <r>
    <x v="113"/>
    <s v="BANCO SANTANDER (MEXICO) FIDEICOMISO F/2000363-2"/>
    <x v="53"/>
    <s v="NORMAL"/>
    <s v="MXN"/>
    <n v="1156"/>
    <n v="765.92388300000005"/>
    <n v="885408.00874800002"/>
    <n v="752.68846912662627"/>
    <n v="15300.13843762"/>
    <n v="0"/>
    <n v="0"/>
    <n v="0"/>
    <n v="0"/>
    <n v="1156"/>
    <n v="885408.00874800002"/>
    <s v="EPER"/>
    <n v="7414000005"/>
  </r>
  <r>
    <x v="113"/>
    <s v="BANCO SANTANDER (MEXICO) FIDEICOMISO F/2000363-2"/>
    <x v="54"/>
    <s v="NORMAL"/>
    <s v="MXN"/>
    <n v="5956"/>
    <n v="684.88915799999995"/>
    <n v="4079199.8250480001"/>
    <n v="677.14832988530895"/>
    <n v="46104.372251100001"/>
    <n v="0"/>
    <n v="0"/>
    <n v="0"/>
    <n v="0"/>
    <n v="5956"/>
    <n v="4079199.8250480001"/>
    <s v="EPER"/>
    <n v="7414000005"/>
  </r>
  <r>
    <x v="113"/>
    <s v="BANCO SANTANDER (MEXICO) FIDEICOMISO F/2000363-2"/>
    <x v="55"/>
    <s v="NORMAL"/>
    <s v="MXN"/>
    <n v="554"/>
    <n v="772.926965"/>
    <n v="428201.53860999999"/>
    <n v="798.93664675000002"/>
    <n v="-14409.3636895"/>
    <n v="0"/>
    <n v="0"/>
    <n v="0"/>
    <n v="0"/>
    <n v="554"/>
    <n v="428201.53860999999"/>
    <s v="EPER"/>
    <n v="7414000005"/>
  </r>
  <r>
    <x v="113"/>
    <s v="BANCO SANTANDER (MEXICO) FIDEICOMISO F/2000363-2"/>
    <x v="56"/>
    <s v="NORMAL"/>
    <s v="MXN"/>
    <n v="575"/>
    <n v="721.59464000000003"/>
    <n v="414916.91800000001"/>
    <n v="782.17544843860867"/>
    <n v="-34833.964852199999"/>
    <n v="0"/>
    <n v="0"/>
    <n v="0"/>
    <n v="0"/>
    <n v="575"/>
    <n v="414916.91800000001"/>
    <s v="EPER"/>
    <n v="7414000005"/>
  </r>
  <r>
    <x v="113"/>
    <s v="BANCO SANTANDER (MEXICO) FIDEICOMISO F/2000363-2"/>
    <x v="57"/>
    <s v="NORMAL"/>
    <s v="MXN"/>
    <n v="598"/>
    <n v="635.96311900000001"/>
    <n v="380305.94516200002"/>
    <n v="647.93802047999998"/>
    <n v="-7160.9910850400001"/>
    <n v="0"/>
    <n v="0"/>
    <n v="0"/>
    <n v="0"/>
    <n v="598"/>
    <n v="380305.94516200002"/>
    <s v="EPER"/>
    <n v="7414000005"/>
  </r>
  <r>
    <x v="113"/>
    <s v="BANCO SANTANDER (MEXICO) FIDEICOMISO F/2000363-2"/>
    <x v="58"/>
    <s v="NORMAL"/>
    <s v="MXN"/>
    <n v="909"/>
    <n v="709.36974099999998"/>
    <n v="644817.09456899995"/>
    <n v="729.918912239615"/>
    <n v="-18679.19665681"/>
    <n v="0"/>
    <n v="0"/>
    <n v="0"/>
    <n v="0"/>
    <n v="909"/>
    <n v="644817.09456899995"/>
    <s v="EPER"/>
    <n v="7414000005"/>
  </r>
  <r>
    <x v="113"/>
    <s v="BANCO SANTANDER (MEXICO) FIDEICOMISO F/2000363-2"/>
    <x v="59"/>
    <s v="NORMAL"/>
    <s v="MXN"/>
    <n v="3577"/>
    <n v="694.41118700000004"/>
    <n v="2483908.815899"/>
    <n v="724.58526712771322"/>
    <n v="-107932.68461683"/>
    <n v="0"/>
    <n v="0"/>
    <n v="0"/>
    <n v="0"/>
    <n v="3577"/>
    <n v="2483908.815899"/>
    <s v="EPER"/>
    <n v="7414000005"/>
  </r>
  <r>
    <x v="114"/>
    <s v="BANCO SANTANDER (MEXICO) FIDEICOMISO F/2000363-3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114"/>
    <s v="BANCO SANTANDER (MEXICO) FIDEICOMISO F/2000363-3"/>
    <x v="130"/>
    <s v="NORMAL"/>
    <s v="MXN"/>
    <n v="2930000"/>
    <n v="4.5848760000000004"/>
    <n v="13433686.68"/>
    <n v="4.1918016689419799"/>
    <n v="1151707.79"/>
    <n v="0"/>
    <n v="0"/>
    <n v="0"/>
    <n v="0"/>
    <n v="2930000"/>
    <n v="13433686.68"/>
    <s v="EPER"/>
    <n v="7414000005"/>
  </r>
  <r>
    <x v="114"/>
    <s v="BANCO SANTANDER (MEXICO) FIDEICOMISO F/2000363-3"/>
    <x v="0"/>
    <s v="NORMAL"/>
    <s v="MXN"/>
    <n v="158340"/>
    <n v="3.3967719999999999"/>
    <n v="537844.87847999996"/>
    <n v="3.3379458759631175"/>
    <n v="9314.5284800000009"/>
    <n v="0"/>
    <n v="0"/>
    <n v="0"/>
    <n v="0"/>
    <n v="158340"/>
    <n v="537844.87847999996"/>
    <s v="EPER"/>
    <n v="7414000005"/>
  </r>
  <r>
    <x v="115"/>
    <s v="BANCO SANTANDER (MEXICO) FIDEICOMISO F/2000363-4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115"/>
    <s v="BANCO SANTANDER (MEXICO) FIDEICOMISO F/2000363-4"/>
    <x v="130"/>
    <s v="NORMAL"/>
    <s v="MXN"/>
    <n v="2977000"/>
    <n v="4.5848760000000004"/>
    <n v="13649175.852"/>
    <n v="4.1910542895532412"/>
    <n v="1172407.2320000001"/>
    <n v="0"/>
    <n v="0"/>
    <n v="0"/>
    <n v="0"/>
    <n v="2977000"/>
    <n v="13649175.852"/>
    <s v="EPER"/>
    <n v="7414000005"/>
  </r>
  <r>
    <x v="115"/>
    <s v="BANCO SANTANDER (MEXICO) FIDEICOMISO F/2000363-4"/>
    <x v="0"/>
    <s v="NORMAL"/>
    <s v="MXN"/>
    <n v="170295"/>
    <n v="3.3967719999999999"/>
    <n v="578453.28774000006"/>
    <n v="3.3266897442673007"/>
    <n v="11934.657740000001"/>
    <n v="0"/>
    <n v="0"/>
    <n v="0"/>
    <n v="0"/>
    <n v="170295"/>
    <n v="578453.28774000006"/>
    <s v="EPER"/>
    <n v="7414000005"/>
  </r>
  <r>
    <x v="116"/>
    <s v="BANCO SANTANDER (MEXICO) FIDEICOMISO F/2000362-1"/>
    <x v="146"/>
    <s v="NORMAL"/>
    <s v="MXN"/>
    <n v="0"/>
    <n v="0"/>
    <n v="0"/>
    <n v="0"/>
    <n v="0"/>
    <n v="0"/>
    <n v="0"/>
    <n v="0"/>
    <n v="0"/>
    <n v="0"/>
    <n v="0"/>
    <s v="EPER"/>
    <n v="7414000005"/>
  </r>
  <r>
    <x v="116"/>
    <s v="BANCO SANTANDER (MEXICO) FIDEICOMISO F/2000362-1"/>
    <x v="86"/>
    <s v="NORMAL"/>
    <s v="MXN"/>
    <n v="14681"/>
    <n v="9.4935880000000008"/>
    <n v="139375.36542799999"/>
    <n v="8.4405498100000003"/>
    <n v="15459.653667389999"/>
    <n v="0"/>
    <n v="0"/>
    <n v="0"/>
    <n v="0"/>
    <n v="14681"/>
    <n v="139375.36542799999"/>
    <s v="EPER"/>
    <n v="7414000005"/>
  </r>
  <r>
    <x v="116"/>
    <s v="BANCO SANTANDER (MEXICO) FIDEICOMISO F/2000362-1"/>
    <x v="72"/>
    <s v="NORMAL"/>
    <s v="MXN"/>
    <n v="20030"/>
    <n v="9.3381629999999998"/>
    <n v="187043.40489000001"/>
    <n v="8.3307969100000001"/>
    <n v="20177.542782699998"/>
    <n v="0"/>
    <n v="0"/>
    <n v="0"/>
    <n v="0"/>
    <n v="20030"/>
    <n v="187043.40489000001"/>
    <s v="EPER"/>
    <n v="7414000005"/>
  </r>
  <r>
    <x v="116"/>
    <s v="BANCO SANTANDER (MEXICO) FIDEICOMISO F/2000362-1"/>
    <x v="15"/>
    <s v="NORMAL"/>
    <s v="MXN"/>
    <n v="24750"/>
    <n v="9.190137"/>
    <n v="227455.89074999999"/>
    <n v="8.216786129329293"/>
    <n v="24090.4340491"/>
    <n v="0"/>
    <n v="0"/>
    <n v="0"/>
    <n v="0"/>
    <n v="24750"/>
    <n v="227455.89074999999"/>
    <s v="EPER"/>
    <n v="7414000005"/>
  </r>
  <r>
    <x v="116"/>
    <s v="BANCO SANTANDER (MEXICO) FIDEICOMISO F/2000362-1"/>
    <x v="71"/>
    <s v="NORMAL"/>
    <s v="MXN"/>
    <n v="6270"/>
    <n v="8.3813510000000004"/>
    <n v="52551.070769999998"/>
    <n v="8.2700011300000007"/>
    <n v="698.16368490000002"/>
    <n v="0"/>
    <n v="0"/>
    <n v="0"/>
    <n v="0"/>
    <n v="6270"/>
    <n v="52551.070769999998"/>
    <s v="EPER"/>
    <n v="7414000005"/>
  </r>
  <r>
    <x v="116"/>
    <s v="BANCO SANTANDER (MEXICO) FIDEICOMISO F/2000362-1"/>
    <x v="16"/>
    <s v="NORMAL"/>
    <s v="MXN"/>
    <n v="12680"/>
    <n v="8.2580650000000002"/>
    <n v="104712.26420000001"/>
    <n v="8.2501711100000001"/>
    <n v="100.09452520000001"/>
    <n v="0"/>
    <n v="0"/>
    <n v="0"/>
    <n v="0"/>
    <n v="12680"/>
    <n v="104712.26420000001"/>
    <s v="EPER"/>
    <n v="7414000005"/>
  </r>
  <r>
    <x v="116"/>
    <s v="BANCO SANTANDER (MEXICO) FIDEICOMISO F/2000362-1"/>
    <x v="26"/>
    <s v="NORMAL"/>
    <s v="MXN"/>
    <n v="900"/>
    <n v="98.730349000000004"/>
    <n v="88857.314100000003"/>
    <n v="104.78091818566666"/>
    <n v="-5445.5122670999999"/>
    <n v="0"/>
    <n v="0"/>
    <n v="0"/>
    <n v="0"/>
    <n v="900"/>
    <n v="88857.314100000003"/>
    <s v="EPER"/>
    <n v="7414000005"/>
  </r>
  <r>
    <x v="116"/>
    <s v="BANCO SANTANDER (MEXICO) FIDEICOMISO F/2000362-1"/>
    <x v="67"/>
    <s v="NORMAL"/>
    <s v="MXN"/>
    <n v="800"/>
    <n v="99.247497999999993"/>
    <n v="79397.998399999997"/>
    <n v="75.524746840999995"/>
    <n v="18978.2009272"/>
    <n v="0"/>
    <n v="0"/>
    <n v="0"/>
    <n v="0"/>
    <n v="800"/>
    <n v="79397.998399999997"/>
    <s v="EPER"/>
    <n v="7414000005"/>
  </r>
  <r>
    <x v="116"/>
    <s v="BANCO SANTANDER (MEXICO) FIDEICOMISO F/2000362-1"/>
    <x v="27"/>
    <s v="NORMAL"/>
    <s v="MXN"/>
    <n v="1251"/>
    <n v="94.973146999999997"/>
    <n v="118811.40689699999"/>
    <n v="90.007245033109513"/>
    <n v="6212.3433605800001"/>
    <n v="0"/>
    <n v="0"/>
    <n v="0"/>
    <n v="0"/>
    <n v="1251"/>
    <n v="118811.40689699999"/>
    <s v="EPER"/>
    <n v="7414000005"/>
  </r>
  <r>
    <x v="116"/>
    <s v="BANCO SANTANDER (MEXICO) FIDEICOMISO F/2000362-1"/>
    <x v="28"/>
    <s v="NORMAL"/>
    <s v="MXN"/>
    <n v="785"/>
    <n v="91.911821000000003"/>
    <n v="72150.779485000006"/>
    <n v="93.2088459"/>
    <n v="-1018.1645465"/>
    <n v="0"/>
    <n v="0"/>
    <n v="0"/>
    <n v="0"/>
    <n v="785"/>
    <n v="72150.779485000006"/>
    <s v="EPER"/>
    <n v="7414000005"/>
  </r>
  <r>
    <x v="116"/>
    <s v="BANCO SANTANDER (MEXICO) FIDEICOMISO F/2000362-1"/>
    <x v="30"/>
    <s v="NORMAL"/>
    <s v="MXN"/>
    <n v="1027"/>
    <n v="88.698122999999995"/>
    <n v="91092.972320999994"/>
    <n v="85.754787778880228"/>
    <n v="3022.80527209"/>
    <n v="0"/>
    <n v="0"/>
    <n v="0"/>
    <n v="0"/>
    <n v="1027"/>
    <n v="91092.972320999994"/>
    <s v="EPER"/>
    <n v="7414000005"/>
  </r>
  <r>
    <x v="116"/>
    <s v="BANCO SANTANDER (MEXICO) FIDEICOMISO F/2000362-1"/>
    <x v="31"/>
    <s v="NORMAL"/>
    <s v="MXN"/>
    <n v="1099"/>
    <n v="93.314192000000006"/>
    <n v="102552.29700799999"/>
    <n v="98.662556702893539"/>
    <n v="-5877.85280848"/>
    <n v="0"/>
    <n v="0"/>
    <n v="0"/>
    <n v="0"/>
    <n v="1099"/>
    <n v="102552.29700799999"/>
    <s v="EPER"/>
    <n v="7414000005"/>
  </r>
  <r>
    <x v="116"/>
    <s v="BANCO SANTANDER (MEXICO) FIDEICOMISO F/2000362-1"/>
    <x v="32"/>
    <s v="NORMAL"/>
    <s v="MXN"/>
    <n v="730"/>
    <n v="94.864168000000006"/>
    <n v="69250.842640000003"/>
    <n v="96.464159712876707"/>
    <n v="-1167.9939503999999"/>
    <n v="0"/>
    <n v="0"/>
    <n v="0"/>
    <n v="0"/>
    <n v="730"/>
    <n v="69250.842640000003"/>
    <s v="EPER"/>
    <n v="7414000005"/>
  </r>
  <r>
    <x v="116"/>
    <s v="BANCO SANTANDER (MEXICO) FIDEICOMISO F/2000362-1"/>
    <x v="33"/>
    <s v="NORMAL"/>
    <s v="MXN"/>
    <n v="491"/>
    <n v="94.870157000000006"/>
    <n v="46581.247087000003"/>
    <n v="96.692672049999999"/>
    <n v="-894.85488955000005"/>
    <n v="0"/>
    <n v="0"/>
    <n v="0"/>
    <n v="0"/>
    <n v="491"/>
    <n v="46581.247087000003"/>
    <s v="EPER"/>
    <n v="7414000005"/>
  </r>
  <r>
    <x v="116"/>
    <s v="BANCO SANTANDER (MEXICO) FIDEICOMISO F/2000362-1"/>
    <x v="34"/>
    <s v="NORMAL"/>
    <s v="MXN"/>
    <n v="1151"/>
    <n v="89.489464999999996"/>
    <n v="103002.374215"/>
    <n v="71.001864074074717"/>
    <n v="21279.22866574"/>
    <n v="0"/>
    <n v="0"/>
    <n v="0"/>
    <n v="0"/>
    <n v="1151"/>
    <n v="103002.374215"/>
    <s v="EPER"/>
    <n v="7414000005"/>
  </r>
  <r>
    <x v="116"/>
    <s v="BANCO SANTANDER (MEXICO) FIDEICOMISO F/2000362-1"/>
    <x v="35"/>
    <s v="NORMAL"/>
    <s v="MXN"/>
    <n v="740"/>
    <n v="86.197128000000006"/>
    <n v="63785.87472"/>
    <n v="89.908939955135139"/>
    <n v="-2746.7408467999999"/>
    <n v="0"/>
    <n v="0"/>
    <n v="0"/>
    <n v="0"/>
    <n v="740"/>
    <n v="63785.87472"/>
    <s v="EPER"/>
    <n v="7414000005"/>
  </r>
  <r>
    <x v="116"/>
    <s v="BANCO SANTANDER (MEXICO) FIDEICOMISO F/2000362-1"/>
    <x v="36"/>
    <s v="NORMAL"/>
    <s v="MXN"/>
    <n v="857"/>
    <n v="86.469353999999996"/>
    <n v="74104.236378000001"/>
    <n v="94.74053355987165"/>
    <n v="-7088.4008828100004"/>
    <n v="0"/>
    <n v="0"/>
    <n v="0"/>
    <n v="0"/>
    <n v="857"/>
    <n v="74104.236378000001"/>
    <s v="EPER"/>
    <n v="7414000005"/>
  </r>
  <r>
    <x v="116"/>
    <s v="BANCO SANTANDER (MEXICO) FIDEICOMISO F/2000362-1"/>
    <x v="81"/>
    <s v="NORMAL"/>
    <s v="MXN"/>
    <n v="51"/>
    <n v="101.45096599999999"/>
    <n v="5173.9992659999998"/>
    <n v="114.11447106"/>
    <n v="-645.83875806000003"/>
    <n v="0"/>
    <n v="0"/>
    <n v="0"/>
    <n v="0"/>
    <n v="51"/>
    <n v="5173.9992659999998"/>
    <s v="EPER"/>
    <n v="7414000005"/>
  </r>
  <r>
    <x v="116"/>
    <s v="BANCO SANTANDER (MEXICO) FIDEICOMISO F/2000362-1"/>
    <x v="68"/>
    <s v="NORMAL"/>
    <s v="MXN"/>
    <n v="61"/>
    <n v="89.643172000000007"/>
    <n v="5468.2334920000003"/>
    <n v="117.68286983"/>
    <n v="-1710.42156763"/>
    <n v="0"/>
    <n v="0"/>
    <n v="0"/>
    <n v="0"/>
    <n v="61"/>
    <n v="5468.2334920000003"/>
    <s v="EPER"/>
    <n v="7414000005"/>
  </r>
  <r>
    <x v="116"/>
    <s v="BANCO SANTANDER (MEXICO) FIDEICOMISO F/2000362-1"/>
    <x v="37"/>
    <s v="NORMAL"/>
    <s v="MXN"/>
    <n v="1304"/>
    <n v="81.738860000000003"/>
    <n v="106587.47344"/>
    <n v="86.479330660506136"/>
    <n v="-6181.5737412999997"/>
    <n v="0"/>
    <n v="0"/>
    <n v="0"/>
    <n v="0"/>
    <n v="1304"/>
    <n v="106587.47344"/>
    <s v="EPER"/>
    <n v="7414000005"/>
  </r>
  <r>
    <x v="116"/>
    <s v="BANCO SANTANDER (MEXICO) FIDEICOMISO F/2000362-1"/>
    <x v="38"/>
    <s v="NORMAL"/>
    <s v="MXN"/>
    <n v="344"/>
    <n v="83.200761"/>
    <n v="28621.061784000001"/>
    <n v="94.370822079534889"/>
    <n v="-3842.5010113600001"/>
    <n v="0"/>
    <n v="0"/>
    <n v="0"/>
    <n v="0"/>
    <n v="344"/>
    <n v="28621.061784000001"/>
    <s v="EPER"/>
    <n v="7414000005"/>
  </r>
  <r>
    <x v="116"/>
    <s v="BANCO SANTANDER (MEXICO) FIDEICOMISO F/2000362-1"/>
    <x v="39"/>
    <s v="NORMAL"/>
    <s v="MXN"/>
    <n v="1952"/>
    <n v="82.159907000000004"/>
    <n v="160376.13846399999"/>
    <n v="84.305724856834019"/>
    <n v="-4188.6364565399999"/>
    <n v="0"/>
    <n v="0"/>
    <n v="0"/>
    <n v="0"/>
    <n v="1952"/>
    <n v="160376.13846399999"/>
    <s v="EPER"/>
    <n v="7414000005"/>
  </r>
  <r>
    <x v="116"/>
    <s v="BANCO SANTANDER (MEXICO) FIDEICOMISO F/2000362-1"/>
    <x v="88"/>
    <s v="NORMAL"/>
    <s v="MXN"/>
    <n v="1440"/>
    <n v="98.007834000000003"/>
    <n v="141131.28096"/>
    <n v="92.068008551250003"/>
    <n v="8553.3486462000001"/>
    <n v="0"/>
    <n v="0"/>
    <n v="0"/>
    <n v="0"/>
    <n v="1440"/>
    <n v="141131.28096"/>
    <s v="EPER"/>
    <n v="7414000005"/>
  </r>
  <r>
    <x v="116"/>
    <s v="BANCO SANTANDER (MEXICO) FIDEICOMISO F/2000362-1"/>
    <x v="0"/>
    <s v="NORMAL"/>
    <s v="MXN"/>
    <n v="211039"/>
    <n v="3.3967719999999999"/>
    <n v="716851.36610800005"/>
    <n v="3.2828755822383542"/>
    <n v="24036.586108"/>
    <n v="0"/>
    <n v="0"/>
    <n v="0"/>
    <n v="0"/>
    <n v="211039"/>
    <n v="716851.36610800005"/>
    <s v="EPER"/>
    <n v="7414000005"/>
  </r>
  <r>
    <x v="116"/>
    <s v="BANCO SANTANDER (MEXICO) FIDEICOMISO F/2000362-1"/>
    <x v="80"/>
    <s v="NORMAL"/>
    <s v="MXN"/>
    <n v="80994"/>
    <n v="3.8832339999999999"/>
    <n v="314518.65459599998"/>
    <n v="2.9842845149023383"/>
    <n v="72809.514595999994"/>
    <n v="0"/>
    <n v="0"/>
    <n v="0"/>
    <n v="0"/>
    <n v="80994"/>
    <n v="314518.65459599998"/>
    <s v="EPER"/>
    <n v="7414000005"/>
  </r>
  <r>
    <x v="116"/>
    <s v="BANCO SANTANDER (MEXICO) FIDEICOMISO F/2000362-1"/>
    <x v="141"/>
    <s v="NORMAL"/>
    <s v="MXN"/>
    <n v="38"/>
    <n v="256.05011500000001"/>
    <n v="9729.9043700000002"/>
    <n v="487.32003911999999"/>
    <n v="-8788.2571165600002"/>
    <n v="0"/>
    <n v="0"/>
    <n v="0"/>
    <n v="0"/>
    <n v="38"/>
    <n v="9729.9043700000002"/>
    <s v="EPER"/>
    <n v="7414000005"/>
  </r>
  <r>
    <x v="116"/>
    <s v="BANCO SANTANDER (MEXICO) FIDEICOMISO F/2000362-1"/>
    <x v="115"/>
    <s v="NORMAL"/>
    <s v="MXN"/>
    <n v="0"/>
    <n v="0"/>
    <n v="0"/>
    <n v="0"/>
    <n v="0"/>
    <n v="0"/>
    <n v="0"/>
    <n v="0"/>
    <n v="0"/>
    <n v="0"/>
    <n v="0"/>
    <s v="EPER"/>
    <n v="7414000005"/>
  </r>
  <r>
    <x v="116"/>
    <s v="BANCO SANTANDER (MEXICO) FIDEICOMISO F/2000362-1"/>
    <x v="51"/>
    <s v="NORMAL"/>
    <s v="MXN"/>
    <n v="97"/>
    <n v="775.69178699999998"/>
    <n v="75242.103338999994"/>
    <n v="696.9165580026804"/>
    <n v="7641.1972127400004"/>
    <n v="0"/>
    <n v="0"/>
    <n v="0"/>
    <n v="0"/>
    <n v="97"/>
    <n v="75242.103338999994"/>
    <s v="EPER"/>
    <n v="7414000005"/>
  </r>
  <r>
    <x v="116"/>
    <s v="BANCO SANTANDER (MEXICO) FIDEICOMISO F/2000362-1"/>
    <x v="52"/>
    <s v="NORMAL"/>
    <s v="MXN"/>
    <n v="150"/>
    <n v="747.17843200000004"/>
    <n v="112076.7648"/>
    <n v="709.73996555799999"/>
    <n v="5615.7699663000003"/>
    <n v="0"/>
    <n v="0"/>
    <n v="0"/>
    <n v="0"/>
    <n v="150"/>
    <n v="112076.7648"/>
    <s v="EPER"/>
    <n v="7414000005"/>
  </r>
  <r>
    <x v="116"/>
    <s v="BANCO SANTANDER (MEXICO) FIDEICOMISO F/2000362-1"/>
    <x v="53"/>
    <s v="NORMAL"/>
    <s v="MXN"/>
    <n v="168"/>
    <n v="765.92388300000005"/>
    <n v="128675.212344"/>
    <n v="748.03498777940479"/>
    <n v="3005.3343970599999"/>
    <n v="0"/>
    <n v="0"/>
    <n v="0"/>
    <n v="0"/>
    <n v="168"/>
    <n v="128675.212344"/>
    <s v="EPER"/>
    <n v="7414000005"/>
  </r>
  <r>
    <x v="116"/>
    <s v="BANCO SANTANDER (MEXICO) FIDEICOMISO F/2000362-1"/>
    <x v="54"/>
    <s v="NORMAL"/>
    <s v="MXN"/>
    <n v="584"/>
    <n v="684.88915799999995"/>
    <n v="399975.26827200002"/>
    <n v="677.06021272962323"/>
    <n v="4572.1040378999996"/>
    <n v="0"/>
    <n v="0"/>
    <n v="0"/>
    <n v="0"/>
    <n v="584"/>
    <n v="399975.26827200002"/>
    <s v="EPER"/>
    <n v="7414000005"/>
  </r>
  <r>
    <x v="116"/>
    <s v="BANCO SANTANDER (MEXICO) FIDEICOMISO F/2000362-1"/>
    <x v="55"/>
    <s v="NORMAL"/>
    <s v="MXN"/>
    <n v="67"/>
    <n v="772.926965"/>
    <n v="51786.106655000003"/>
    <n v="798.93664675000002"/>
    <n v="-1742.64867725"/>
    <n v="0"/>
    <n v="0"/>
    <n v="0"/>
    <n v="0"/>
    <n v="67"/>
    <n v="51786.106655000003"/>
    <s v="EPER"/>
    <n v="7414000005"/>
  </r>
  <r>
    <x v="116"/>
    <s v="BANCO SANTANDER (MEXICO) FIDEICOMISO F/2000362-1"/>
    <x v="56"/>
    <s v="NORMAL"/>
    <s v="MXN"/>
    <n v="90"/>
    <n v="721.59464000000003"/>
    <n v="64943.517599999999"/>
    <n v="546.01161723200005"/>
    <n v="15802.472049120001"/>
    <n v="0"/>
    <n v="0"/>
    <n v="0"/>
    <n v="0"/>
    <n v="90"/>
    <n v="64943.517599999999"/>
    <s v="EPER"/>
    <n v="7414000005"/>
  </r>
  <r>
    <x v="116"/>
    <s v="BANCO SANTANDER (MEXICO) FIDEICOMISO F/2000362-1"/>
    <x v="57"/>
    <s v="NORMAL"/>
    <s v="MXN"/>
    <n v="57"/>
    <n v="635.96311900000001"/>
    <n v="36249.897783"/>
    <n v="647.93802047999998"/>
    <n v="-682.56938435999996"/>
    <n v="0"/>
    <n v="0"/>
    <n v="0"/>
    <n v="0"/>
    <n v="57"/>
    <n v="36249.897783"/>
    <s v="EPER"/>
    <n v="7414000005"/>
  </r>
  <r>
    <x v="116"/>
    <s v="BANCO SANTANDER (MEXICO) FIDEICOMISO F/2000362-1"/>
    <x v="58"/>
    <s v="NORMAL"/>
    <s v="MXN"/>
    <n v="110"/>
    <n v="709.36974099999998"/>
    <n v="78030.67151"/>
    <n v="738.40352028590905"/>
    <n v="-3193.7157214499998"/>
    <n v="0"/>
    <n v="0"/>
    <n v="0"/>
    <n v="0"/>
    <n v="110"/>
    <n v="78030.67151"/>
    <s v="EPER"/>
    <n v="7414000005"/>
  </r>
  <r>
    <x v="116"/>
    <s v="BANCO SANTANDER (MEXICO) FIDEICOMISO F/2000362-1"/>
    <x v="59"/>
    <s v="NORMAL"/>
    <s v="MXN"/>
    <n v="366"/>
    <n v="694.41118700000004"/>
    <n v="254154.494442"/>
    <n v="723.22520642745906"/>
    <n v="-10545.931110449999"/>
    <n v="0"/>
    <n v="0"/>
    <n v="0"/>
    <n v="0"/>
    <n v="366"/>
    <n v="254154.494442"/>
    <s v="EPER"/>
    <n v="7414000005"/>
  </r>
  <r>
    <x v="117"/>
    <s v="BANCO SANTANDER (MEXICO) FIDEICOMISO F/2000362-2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117"/>
    <s v="BANCO SANTANDER (MEXICO) FIDEICOMISO F/2000362-2"/>
    <x v="130"/>
    <s v="NORMAL"/>
    <s v="MXN"/>
    <n v="191000"/>
    <n v="4.5848760000000004"/>
    <n v="875711.31599999999"/>
    <n v="4.1814367539267012"/>
    <n v="77056.895999999993"/>
    <n v="0"/>
    <n v="0"/>
    <n v="0"/>
    <n v="0"/>
    <n v="191000"/>
    <n v="875711.31599999999"/>
    <s v="EPER"/>
    <n v="7414000005"/>
  </r>
  <r>
    <x v="117"/>
    <s v="BANCO SANTANDER (MEXICO) FIDEICOMISO F/2000362-2"/>
    <x v="0"/>
    <s v="NORMAL"/>
    <s v="MXN"/>
    <n v="6844"/>
    <n v="3.3967719999999999"/>
    <n v="23247.507568000001"/>
    <n v="3.2979456458211573"/>
    <n v="676.36756800000001"/>
    <n v="0"/>
    <n v="0"/>
    <n v="0"/>
    <n v="0"/>
    <n v="6844"/>
    <n v="23247.507568000001"/>
    <s v="EPER"/>
    <n v="7414000005"/>
  </r>
  <r>
    <x v="118"/>
    <s v="BANCO SANTANDER (MEXICO) FIDEICOMISO F/2112323-1"/>
    <x v="152"/>
    <s v="NORMAL"/>
    <s v="MXN"/>
    <n v="0"/>
    <n v="0"/>
    <n v="0"/>
    <n v="0"/>
    <n v="0"/>
    <n v="0"/>
    <n v="0"/>
    <n v="0"/>
    <n v="0"/>
    <n v="0"/>
    <n v="0"/>
    <s v="EPER"/>
    <n v="7414000005"/>
  </r>
  <r>
    <x v="119"/>
    <s v="INST. DEL FDO.NAC.DE LA VIVIENDA PARA LOS TRABAJADORES,  FDO DE AHORRO"/>
    <x v="74"/>
    <s v="NORMAL"/>
    <s v="MXN"/>
    <n v="57088534"/>
    <n v="3.568238"/>
    <n v="203705476.38309199"/>
    <n v="3.5122432497565974"/>
    <n v="3196658.203092"/>
    <n v="0"/>
    <n v="0"/>
    <n v="0"/>
    <n v="0"/>
    <n v="57088534"/>
    <n v="203705476.38309199"/>
    <s v="EPER"/>
    <n v="7414000005"/>
  </r>
  <r>
    <x v="120"/>
    <s v="BCO.SANTANDER MEX.SA CTA.CONCENTRADORA PLANES PERS.RET.APOR.DEDUC.(RV)"/>
    <x v="129"/>
    <s v="NORMAL"/>
    <s v="MXN"/>
    <n v="56295"/>
    <n v="3.137273"/>
    <n v="176612.783535"/>
    <n v="3.1100650146549427"/>
    <n v="1531.6735349999999"/>
    <n v="0"/>
    <n v="0"/>
    <n v="0"/>
    <n v="0"/>
    <n v="56295"/>
    <n v="176612.783535"/>
    <s v="EPER"/>
    <n v="7414000005"/>
  </r>
  <r>
    <x v="120"/>
    <s v="BCO.SANTANDER MEX.SA CTA.CONCENTRADORA PLANES PERS.RET.APOR.DEDUC.(RV)"/>
    <x v="153"/>
    <s v="NORMAL"/>
    <s v="MXN"/>
    <n v="3734855"/>
    <n v="3.6141489999999998"/>
    <n v="13498322.463395"/>
    <n v="2.0109453994867272"/>
    <n v="5987732.983395"/>
    <n v="0"/>
    <n v="0"/>
    <n v="0"/>
    <n v="0"/>
    <n v="3734855"/>
    <n v="13498322.463395"/>
    <s v="EPER"/>
    <n v="7414000005"/>
  </r>
  <r>
    <x v="121"/>
    <s v="AUTOS PULLMAN, S.A. DE C.V."/>
    <x v="144"/>
    <s v="NORMAL"/>
    <s v="MXN"/>
    <n v="0"/>
    <n v="0"/>
    <n v="0"/>
    <n v="0"/>
    <n v="0"/>
    <n v="0"/>
    <n v="0"/>
    <n v="0"/>
    <n v="0"/>
    <n v="0"/>
    <n v="0"/>
    <s v="EPER"/>
    <n v="7414000005"/>
  </r>
  <r>
    <x v="121"/>
    <s v="AUTOS PULLMAN, S.A. DE C.V."/>
    <x v="145"/>
    <s v="NORMAL"/>
    <s v="MXN"/>
    <n v="0"/>
    <n v="0"/>
    <n v="0"/>
    <n v="0"/>
    <n v="0"/>
    <n v="0"/>
    <n v="0"/>
    <n v="0"/>
    <n v="0"/>
    <n v="0"/>
    <n v="0"/>
    <s v="EPER"/>
    <n v="7414000005"/>
  </r>
  <r>
    <x v="122"/>
    <s v="BANCO SANTANDER MEXICO FIDEICOMISO F 211"/>
    <x v="0"/>
    <s v="NORMAL"/>
    <s v="MXN"/>
    <n v="1743597"/>
    <n v="3.3967719999999999"/>
    <n v="5922601.4688839996"/>
    <n v="3.2865207556562668"/>
    <n v="192233.73888399999"/>
    <n v="0"/>
    <n v="0"/>
    <n v="0"/>
    <n v="0"/>
    <n v="1743597"/>
    <n v="5922601.4688839996"/>
    <s v="EPER"/>
    <n v="7414000005"/>
  </r>
  <r>
    <x v="122"/>
    <s v="BANCO SANTANDER MEXICO FIDEICOMISO F 211"/>
    <x v="83"/>
    <s v="NORMAL"/>
    <s v="MXN"/>
    <n v="84040000"/>
    <n v="2.106938"/>
    <n v="177067069.52000001"/>
    <n v="1.543948766777725"/>
    <n v="49546969.439999998"/>
    <n v="1060000"/>
    <n v="2233354.2799999998"/>
    <n v="0"/>
    <n v="0"/>
    <n v="85100000"/>
    <n v="179300423.80000001"/>
    <s v="EPER"/>
    <n v="7414000005"/>
  </r>
  <r>
    <x v="123"/>
    <s v="DANONE DE MEXICO SA DE CV"/>
    <x v="0"/>
    <s v="NORMAL"/>
    <s v="MXN"/>
    <n v="6007055"/>
    <n v="3.3967719999999999"/>
    <n v="20404596.226459999"/>
    <n v="2.9504198779601651"/>
    <n v="2681261.7464600001"/>
    <n v="0"/>
    <n v="0"/>
    <n v="0"/>
    <n v="0"/>
    <n v="6007055"/>
    <n v="20404596.226459999"/>
    <s v="EPER"/>
    <n v="7414000005"/>
  </r>
  <r>
    <x v="123"/>
    <s v="DANONE DE MEXICO SA DE CV"/>
    <x v="80"/>
    <s v="NORMAL"/>
    <s v="MXN"/>
    <n v="1003693"/>
    <n v="3.8832339999999999"/>
    <n v="3897574.7831620001"/>
    <n v="2.8271847168407072"/>
    <n v="1059949.2731620001"/>
    <n v="0"/>
    <n v="0"/>
    <n v="0"/>
    <n v="0"/>
    <n v="1003693"/>
    <n v="3897574.7831620001"/>
    <s v="EPER"/>
    <n v="7414000005"/>
  </r>
  <r>
    <x v="123"/>
    <s v="DANONE DE MEXICO SA DE CV"/>
    <x v="64"/>
    <s v="NORMAL"/>
    <s v="MXN"/>
    <n v="3046859"/>
    <n v="2.7668819999999998"/>
    <n v="8430299.3236379996"/>
    <n v="2.3501809995145821"/>
    <n v="1269629.1936379999"/>
    <n v="0"/>
    <n v="0"/>
    <n v="0"/>
    <n v="0"/>
    <n v="3046859"/>
    <n v="8430299.3236379996"/>
    <s v="EPER"/>
    <n v="7414000005"/>
  </r>
  <r>
    <x v="124"/>
    <s v="BOSE CORPORATION SA DE CV FONDO AHORRO E"/>
    <x v="154"/>
    <s v="NORMAL"/>
    <s v="MXN"/>
    <n v="8733529"/>
    <n v="3.4985729999999999"/>
    <n v="30554888.754117001"/>
    <n v="3.4433976906700603"/>
    <n v="481875.16411700001"/>
    <n v="0"/>
    <n v="0"/>
    <n v="0"/>
    <n v="0"/>
    <n v="8733529"/>
    <n v="30554888.754117001"/>
    <s v="EPER"/>
    <n v="7414000005"/>
  </r>
  <r>
    <x v="125"/>
    <s v="BANCO SANTANDER MEXICO FIDEICOMISO F/100654 1"/>
    <x v="75"/>
    <s v="NORMAL"/>
    <s v="MXN"/>
    <n v="31744931"/>
    <n v="3.612981"/>
    <n v="114693832.549311"/>
    <n v="3.5377382593775364"/>
    <n v="2388575.609311"/>
    <n v="0"/>
    <n v="0"/>
    <n v="0"/>
    <n v="0"/>
    <n v="31744931"/>
    <n v="114693832.549311"/>
    <s v="EPER"/>
    <n v="7414000005"/>
  </r>
  <r>
    <x v="126"/>
    <s v="ENVASADORAS DE AGUAS EN MEXICO S DE R LD"/>
    <x v="90"/>
    <s v="NORMAL"/>
    <s v="MXN"/>
    <n v="8590349"/>
    <n v="3.4005040000000002"/>
    <n v="29211516.135896001"/>
    <n v="3.3522186281372268"/>
    <n v="414788.19589600002"/>
    <n v="0"/>
    <n v="0"/>
    <n v="0"/>
    <n v="0"/>
    <n v="8590349"/>
    <n v="29211516.135896001"/>
    <s v="EPER"/>
    <n v="7414000005"/>
  </r>
  <r>
    <x v="127"/>
    <s v="BANCO SANTANDER (MEXICO) FIDEICOMISO F/2001277-1"/>
    <x v="155"/>
    <s v="NORMAL"/>
    <s v="MXN"/>
    <n v="41156258"/>
    <n v="3.4588809999999999"/>
    <n v="142354598.82729799"/>
    <n v="3.3872863533900484"/>
    <n v="2946567.7472979999"/>
    <n v="0"/>
    <n v="0"/>
    <n v="0"/>
    <n v="0"/>
    <n v="41156258"/>
    <n v="142354598.82729799"/>
    <s v="EPER"/>
    <n v="7414000005"/>
  </r>
  <r>
    <x v="128"/>
    <s v="BANCO SANTANDER (MEXICO) FIDEICOMISO F/2001422-1"/>
    <x v="0"/>
    <s v="NORMAL"/>
    <s v="MXN"/>
    <n v="7566899"/>
    <n v="3.3967719999999999"/>
    <n v="25703030.650028002"/>
    <n v="3.0195272647355278"/>
    <n v="2854572.8100279998"/>
    <n v="0"/>
    <n v="0"/>
    <n v="0"/>
    <n v="0"/>
    <n v="7566899"/>
    <n v="25703030.650028002"/>
    <s v="EPER"/>
    <n v="7414000005"/>
  </r>
  <r>
    <x v="129"/>
    <s v="BANCO SANTANDER (MEXICO) FIDEICOMISO F/2001447-1"/>
    <x v="155"/>
    <s v="NORMAL"/>
    <s v="MXN"/>
    <n v="482045523"/>
    <n v="3.4588809999999999"/>
    <n v="1667338100.6397631"/>
    <n v="2.5021924553586197"/>
    <n v="461167429.84976298"/>
    <n v="0"/>
    <n v="0"/>
    <n v="0"/>
    <n v="0"/>
    <n v="482045523"/>
    <n v="1667338100.6397631"/>
    <s v="EPER"/>
    <n v="7414000005"/>
  </r>
  <r>
    <x v="130"/>
    <s v="BANCO SANTANDER (MEXICO) FIDEICOMISO F/2001512-1"/>
    <x v="94"/>
    <s v="NORMAL"/>
    <s v="MXN"/>
    <n v="79330"/>
    <n v="99.629997000000003"/>
    <n v="7903647.6620100001"/>
    <n v="99.126983839999994"/>
    <n v="39904.0339828"/>
    <n v="0"/>
    <n v="0"/>
    <n v="0"/>
    <n v="0"/>
    <n v="79330"/>
    <n v="7903647.6620100001"/>
    <s v="EPER"/>
    <n v="7414000005"/>
  </r>
  <r>
    <x v="130"/>
    <s v="BANCO SANTANDER (MEXICO) FIDEICOMISO F/2001512-1"/>
    <x v="26"/>
    <s v="NORMAL"/>
    <s v="MXN"/>
    <n v="101210"/>
    <n v="98.730349000000004"/>
    <n v="9992498.6222900003"/>
    <n v="103.92405345210058"/>
    <n v="-525654.82759710005"/>
    <n v="0"/>
    <n v="0"/>
    <n v="0"/>
    <n v="0"/>
    <n v="101210"/>
    <n v="9992498.6222900003"/>
    <s v="EPER"/>
    <n v="7414000005"/>
  </r>
  <r>
    <x v="130"/>
    <s v="BANCO SANTANDER (MEXICO) FIDEICOMISO F/2001512-1"/>
    <x v="67"/>
    <s v="NORMAL"/>
    <s v="MXN"/>
    <n v="87888"/>
    <n v="99.247497999999993"/>
    <n v="8722664.1042240001"/>
    <n v="109.95921347146482"/>
    <n v="-941431.24935609999"/>
    <n v="0"/>
    <n v="0"/>
    <n v="0"/>
    <n v="0"/>
    <n v="87888"/>
    <n v="8722664.1042240001"/>
    <s v="EPER"/>
    <n v="7414000005"/>
  </r>
  <r>
    <x v="130"/>
    <s v="BANCO SANTANDER (MEXICO) FIDEICOMISO F/2001512-1"/>
    <x v="28"/>
    <s v="NORMAL"/>
    <s v="MXN"/>
    <n v="39705"/>
    <n v="91.911821000000003"/>
    <n v="3649358.8528049998"/>
    <n v="88.555839661137142"/>
    <n v="133249.23905954999"/>
    <n v="0"/>
    <n v="0"/>
    <n v="0"/>
    <n v="0"/>
    <n v="39705"/>
    <n v="3649358.8528049998"/>
    <s v="EPER"/>
    <n v="7414000005"/>
  </r>
  <r>
    <x v="130"/>
    <s v="BANCO SANTANDER (MEXICO) FIDEICOMISO F/2001512-1"/>
    <x v="31"/>
    <s v="NORMAL"/>
    <s v="MXN"/>
    <n v="82833"/>
    <n v="93.314192000000006"/>
    <n v="7729494.4659360005"/>
    <n v="98.419059661250103"/>
    <n v="-422851.50298433"/>
    <n v="0"/>
    <n v="0"/>
    <n v="0"/>
    <n v="0"/>
    <n v="82833"/>
    <n v="7729494.4659360005"/>
    <s v="EPER"/>
    <n v="7414000005"/>
  </r>
  <r>
    <x v="130"/>
    <s v="BANCO SANTANDER (MEXICO) FIDEICOMISO F/2001512-1"/>
    <x v="33"/>
    <s v="NORMAL"/>
    <s v="MXN"/>
    <n v="251593"/>
    <n v="94.870157000000006"/>
    <n v="23868667.410101"/>
    <n v="103.66754044143859"/>
    <n v="-2213360.09218186"/>
    <n v="0"/>
    <n v="0"/>
    <n v="0"/>
    <n v="0"/>
    <n v="251593"/>
    <n v="23868667.410101"/>
    <s v="EPER"/>
    <n v="7414000005"/>
  </r>
  <r>
    <x v="130"/>
    <s v="BANCO SANTANDER (MEXICO) FIDEICOMISO F/2001512-1"/>
    <x v="34"/>
    <s v="NORMAL"/>
    <s v="MXN"/>
    <n v="1396890"/>
    <n v="89.489464999999996"/>
    <n v="125006938.76385"/>
    <n v="94.429479527766901"/>
    <n v="-6900656.8936922997"/>
    <n v="0"/>
    <n v="0"/>
    <n v="0"/>
    <n v="0"/>
    <n v="1396890"/>
    <n v="125006938.76385"/>
    <s v="EPER"/>
    <n v="7414000005"/>
  </r>
  <r>
    <x v="130"/>
    <s v="BANCO SANTANDER (MEXICO) FIDEICOMISO F/2001512-1"/>
    <x v="35"/>
    <s v="NORMAL"/>
    <s v="MXN"/>
    <n v="1215270"/>
    <n v="86.197128000000006"/>
    <n v="104752783.74456"/>
    <n v="91.512189790675734"/>
    <n v="-6459235.1423544995"/>
    <n v="0"/>
    <n v="0"/>
    <n v="0"/>
    <n v="0"/>
    <n v="1215270"/>
    <n v="104752783.74456"/>
    <s v="EPER"/>
    <n v="7414000005"/>
  </r>
  <r>
    <x v="130"/>
    <s v="BANCO SANTANDER (MEXICO) FIDEICOMISO F/2001512-1"/>
    <x v="36"/>
    <s v="NORMAL"/>
    <s v="MXN"/>
    <n v="201516"/>
    <n v="86.469353999999996"/>
    <n v="17424958.340663999"/>
    <n v="96.442378827576775"/>
    <n v="-2009724.07115396"/>
    <n v="0"/>
    <n v="0"/>
    <n v="0"/>
    <n v="0"/>
    <n v="201516"/>
    <n v="17424958.340663999"/>
    <s v="EPER"/>
    <n v="7414000005"/>
  </r>
  <r>
    <x v="130"/>
    <s v="BANCO SANTANDER (MEXICO) FIDEICOMISO F/2001512-1"/>
    <x v="81"/>
    <s v="NORMAL"/>
    <s v="MXN"/>
    <n v="37130"/>
    <n v="101.45096599999999"/>
    <n v="3766874.3675799998"/>
    <n v="113.80792308148936"/>
    <n v="-458813.81643569999"/>
    <n v="0"/>
    <n v="0"/>
    <n v="0"/>
    <n v="0"/>
    <n v="37130"/>
    <n v="3766874.3675799998"/>
    <s v="EPER"/>
    <n v="7414000005"/>
  </r>
  <r>
    <x v="130"/>
    <s v="BANCO SANTANDER (MEXICO) FIDEICOMISO F/2001512-1"/>
    <x v="68"/>
    <s v="NORMAL"/>
    <s v="MXN"/>
    <n v="109154"/>
    <n v="89.643172000000007"/>
    <n v="9784910.7964880001"/>
    <n v="106.3161803750087"/>
    <n v="-1819925.5561657001"/>
    <n v="0"/>
    <n v="0"/>
    <n v="0"/>
    <n v="0"/>
    <n v="109154"/>
    <n v="9784910.7964880001"/>
    <s v="EPER"/>
    <n v="7414000005"/>
  </r>
  <r>
    <x v="130"/>
    <s v="BANCO SANTANDER (MEXICO) FIDEICOMISO F/2001512-1"/>
    <x v="130"/>
    <s v="NORMAL"/>
    <s v="MXN"/>
    <n v="14461203"/>
    <n v="4.5848760000000004"/>
    <n v="66302822.565828003"/>
    <n v="4.0227219996842587"/>
    <n v="8129423.115828"/>
    <n v="0"/>
    <n v="0"/>
    <n v="0"/>
    <n v="0"/>
    <n v="14461203"/>
    <n v="66302822.565828003"/>
    <s v="EPER"/>
    <n v="7414000005"/>
  </r>
  <r>
    <x v="130"/>
    <s v="BANCO SANTANDER (MEXICO) FIDEICOMISO F/2001512-1"/>
    <x v="0"/>
    <s v="NORMAL"/>
    <s v="MXN"/>
    <n v="3464902"/>
    <n v="3.3967719999999999"/>
    <n v="11769482.096344"/>
    <n v="3.3772509987295458"/>
    <n v="67638.356344"/>
    <n v="0"/>
    <n v="0"/>
    <n v="0"/>
    <n v="0"/>
    <n v="3464902"/>
    <n v="11769482.096344"/>
    <s v="EPER"/>
    <n v="7414000005"/>
  </r>
  <r>
    <x v="130"/>
    <s v="BANCO SANTANDER (MEXICO) FIDEICOMISO F/2001512-1"/>
    <x v="80"/>
    <s v="NORMAL"/>
    <s v="MXN"/>
    <n v="27598227"/>
    <n v="3.8832339999999999"/>
    <n v="107170373.426118"/>
    <n v="3.7159555314912076"/>
    <n v="4616589.1461180001"/>
    <n v="0"/>
    <n v="0"/>
    <n v="0"/>
    <n v="0"/>
    <n v="27598227"/>
    <n v="107170373.426118"/>
    <s v="EPER"/>
    <n v="7414000005"/>
  </r>
  <r>
    <x v="130"/>
    <s v="BANCO SANTANDER (MEXICO) FIDEICOMISO F/2001512-1"/>
    <x v="51"/>
    <s v="NORMAL"/>
    <s v="MXN"/>
    <n v="27623"/>
    <n v="775.69178699999998"/>
    <n v="21426934.232301001"/>
    <n v="648.12360268982366"/>
    <n v="3523815.9552000002"/>
    <n v="0"/>
    <n v="0"/>
    <n v="0"/>
    <n v="0"/>
    <n v="27623"/>
    <n v="21426934.232301001"/>
    <s v="EPER"/>
    <n v="7414000005"/>
  </r>
  <r>
    <x v="130"/>
    <s v="BANCO SANTANDER (MEXICO) FIDEICOMISO F/2001512-1"/>
    <x v="52"/>
    <s v="NORMAL"/>
    <s v="MXN"/>
    <n v="27534"/>
    <n v="747.17843200000004"/>
    <n v="20572810.946688"/>
    <n v="722.20220892999998"/>
    <n v="687695.32600938005"/>
    <n v="0"/>
    <n v="0"/>
    <n v="0"/>
    <n v="0"/>
    <n v="27534"/>
    <n v="20572810.946688"/>
    <s v="EPER"/>
    <n v="7414000005"/>
  </r>
  <r>
    <x v="130"/>
    <s v="BANCO SANTANDER (MEXICO) FIDEICOMISO F/2001512-1"/>
    <x v="53"/>
    <s v="NORMAL"/>
    <s v="MXN"/>
    <n v="24410"/>
    <n v="765.92388300000005"/>
    <n v="18696201.984030001"/>
    <n v="647.13705560405731"/>
    <n v="2899586.45673496"/>
    <n v="0"/>
    <n v="0"/>
    <n v="0"/>
    <n v="0"/>
    <n v="24410"/>
    <n v="18696201.984030001"/>
    <s v="EPER"/>
    <n v="7414000005"/>
  </r>
  <r>
    <x v="130"/>
    <s v="BANCO SANTANDER (MEXICO) FIDEICOMISO F/2001512-1"/>
    <x v="54"/>
    <s v="NORMAL"/>
    <s v="MXN"/>
    <n v="80570"/>
    <n v="684.88915799999995"/>
    <n v="55181519.46006"/>
    <n v="685.12663329600343"/>
    <n v="-19133.384599000001"/>
    <n v="0"/>
    <n v="0"/>
    <n v="0"/>
    <n v="0"/>
    <n v="80570"/>
    <n v="55181519.46006"/>
    <s v="EPER"/>
    <n v="7414000005"/>
  </r>
  <r>
    <x v="130"/>
    <s v="BANCO SANTANDER (MEXICO) FIDEICOMISO F/2001512-1"/>
    <x v="55"/>
    <s v="NORMAL"/>
    <s v="MXN"/>
    <n v="15354"/>
    <n v="772.926965"/>
    <n v="11867520.620610001"/>
    <n v="673.78221765191608"/>
    <n v="1522268.45078248"/>
    <n v="0"/>
    <n v="0"/>
    <n v="0"/>
    <n v="0"/>
    <n v="15354"/>
    <n v="11867520.620610001"/>
    <s v="EPER"/>
    <n v="7414000005"/>
  </r>
  <r>
    <x v="130"/>
    <s v="BANCO SANTANDER (MEXICO) FIDEICOMISO F/2001512-1"/>
    <x v="56"/>
    <s v="NORMAL"/>
    <s v="MXN"/>
    <n v="34797"/>
    <n v="721.59464000000003"/>
    <n v="25109328.688080002"/>
    <n v="620.34572042494301"/>
    <n v="3523158.6544532599"/>
    <n v="0"/>
    <n v="0"/>
    <n v="0"/>
    <n v="0"/>
    <n v="34797"/>
    <n v="25109328.688080002"/>
    <s v="EPER"/>
    <n v="7414000005"/>
  </r>
  <r>
    <x v="130"/>
    <s v="BANCO SANTANDER (MEXICO) FIDEICOMISO F/2001512-1"/>
    <x v="58"/>
    <s v="NORMAL"/>
    <s v="MXN"/>
    <n v="9908"/>
    <n v="709.36974099999998"/>
    <n v="7028435.3938279999"/>
    <n v="665.8216117667622"/>
    <n v="431474.86444292002"/>
    <n v="0"/>
    <n v="0"/>
    <n v="0"/>
    <n v="0"/>
    <n v="9908"/>
    <n v="7028435.3938279999"/>
    <s v="EPER"/>
    <n v="7414000005"/>
  </r>
  <r>
    <x v="130"/>
    <s v="BANCO SANTANDER (MEXICO) FIDEICOMISO F/2001512-1"/>
    <x v="59"/>
    <s v="NORMAL"/>
    <s v="MXN"/>
    <n v="26173"/>
    <n v="694.41118700000004"/>
    <n v="18174823.997350998"/>
    <n v="730.29799159825086"/>
    <n v="-939265.33675002004"/>
    <n v="0"/>
    <n v="0"/>
    <n v="0"/>
    <n v="0"/>
    <n v="26173"/>
    <n v="18174823.997350998"/>
    <s v="EPER"/>
    <n v="7414000005"/>
  </r>
  <r>
    <x v="131"/>
    <s v="BONAFONT SA DE CV"/>
    <x v="0"/>
    <s v="NORMAL"/>
    <s v="MXN"/>
    <n v="2655745"/>
    <n v="3.3967719999999999"/>
    <n v="9020960.2551399991"/>
    <n v="2.8641049648968555"/>
    <n v="1414627.8151400001"/>
    <n v="0"/>
    <n v="0"/>
    <n v="0"/>
    <n v="0"/>
    <n v="2655745"/>
    <n v="9020960.2551399991"/>
    <s v="EPER"/>
    <n v="7414000005"/>
  </r>
  <r>
    <x v="131"/>
    <s v="BONAFONT SA DE CV"/>
    <x v="80"/>
    <s v="NORMAL"/>
    <s v="MXN"/>
    <n v="1056796"/>
    <n v="3.8832339999999999"/>
    <n v="4103786.158264"/>
    <n v="2.7845099527250294"/>
    <n v="1161127.178264"/>
    <n v="0"/>
    <n v="0"/>
    <n v="0"/>
    <n v="0"/>
    <n v="1056796"/>
    <n v="4103786.158264"/>
    <s v="EPER"/>
    <n v="7414000005"/>
  </r>
  <r>
    <x v="131"/>
    <s v="BONAFONT SA DE CV"/>
    <x v="64"/>
    <s v="NORMAL"/>
    <s v="MXN"/>
    <n v="3111042"/>
    <n v="2.7668819999999998"/>
    <n v="8607886.1110440008"/>
    <n v="2.3501810004493673"/>
    <n v="1296374.3110440001"/>
    <n v="0"/>
    <n v="0"/>
    <n v="0"/>
    <n v="0"/>
    <n v="3111042"/>
    <n v="8607886.1110440008"/>
    <s v="EPER"/>
    <n v="7414000005"/>
  </r>
  <r>
    <x v="132"/>
    <s v="UNIVERSIDAD AUTONOMA DEL ESTADO DE MEXIC"/>
    <x v="75"/>
    <s v="NORMAL"/>
    <s v="MXN"/>
    <n v="29051667"/>
    <n v="3.612981"/>
    <n v="104963120.889327"/>
    <n v="3.5375360677237557"/>
    <n v="2191801.049327"/>
    <n v="0"/>
    <n v="0"/>
    <n v="0"/>
    <n v="0"/>
    <n v="29051667"/>
    <n v="104963120.889327"/>
    <s v="EPER"/>
    <n v="7414000005"/>
  </r>
  <r>
    <x v="133"/>
    <s v="BBVA BANCOMER SA F/470914 SUBCTA 1 DIRECCION FIDUCIARIA"/>
    <x v="66"/>
    <s v="NORMAL"/>
    <s v="MXN"/>
    <n v="0"/>
    <n v="0"/>
    <n v="10978925.859999999"/>
    <n v="0"/>
    <n v="0"/>
    <n v="0"/>
    <n v="0"/>
    <n v="0"/>
    <n v="0"/>
    <n v="0"/>
    <n v="10978925.859999999"/>
    <s v="EPER"/>
    <n v="7414000005"/>
  </r>
  <r>
    <x v="133"/>
    <s v="BBVA BANCOMER SA F/470914 SUBCTA 1 DIRECCION FIDUCIARIA"/>
    <x v="88"/>
    <s v="NORMAL"/>
    <s v="MXN"/>
    <n v="51099"/>
    <n v="98.007834000000003"/>
    <n v="5008102.3095659995"/>
    <n v="92.780336949152428"/>
    <n v="267119.87180125999"/>
    <n v="0"/>
    <n v="0"/>
    <n v="0"/>
    <n v="0"/>
    <n v="51099"/>
    <n v="5008102.3095659995"/>
    <s v="EPER"/>
    <n v="7414000005"/>
  </r>
  <r>
    <x v="134"/>
    <s v="BBVA BANCOMER SA F/470914 SUBCTA 4 DIRECCION FIDUCIARIA"/>
    <x v="53"/>
    <s v="NORMAL"/>
    <s v="MXN"/>
    <n v="0"/>
    <n v="0"/>
    <n v="0"/>
    <n v="0"/>
    <n v="0"/>
    <n v="0"/>
    <n v="0"/>
    <n v="0"/>
    <n v="0"/>
    <n v="0"/>
    <n v="0"/>
    <s v="EPER"/>
    <n v="7414000005"/>
  </r>
  <r>
    <x v="134"/>
    <s v="BBVA BANCOMER SA F/470914 SUBCTA 4 DIRECCION FIDUCIARIA"/>
    <x v="54"/>
    <s v="NORMAL"/>
    <s v="MXN"/>
    <n v="0"/>
    <n v="0"/>
    <n v="0"/>
    <n v="0"/>
    <n v="0"/>
    <n v="0"/>
    <n v="0"/>
    <n v="0"/>
    <n v="0"/>
    <n v="0"/>
    <n v="0"/>
    <s v="EPER"/>
    <n v="7414000005"/>
  </r>
  <r>
    <x v="135"/>
    <s v="CAJA DE AHORRO EJECUTIVOS CM AC"/>
    <x v="0"/>
    <s v="NORMAL"/>
    <s v="MXN"/>
    <n v="52715089"/>
    <n v="3.3967719999999999"/>
    <n v="179061138.29270801"/>
    <n v="2.7071831934116624"/>
    <n v="36351735.312707998"/>
    <n v="0"/>
    <n v="0"/>
    <n v="0"/>
    <n v="0"/>
    <n v="52715089"/>
    <n v="179061138.29270801"/>
    <s v="EPER"/>
    <n v="7414000005"/>
  </r>
  <r>
    <x v="136"/>
    <s v="BANCO SANTANDER MEXICO SA FIDEICOMISO 20"/>
    <x v="75"/>
    <s v="NORMAL"/>
    <s v="MXN"/>
    <n v="58014462"/>
    <n v="3.612981"/>
    <n v="209605148.93122199"/>
    <n v="2.2814275197449905"/>
    <n v="77249358.781222001"/>
    <n v="0"/>
    <n v="0"/>
    <n v="0"/>
    <n v="0"/>
    <n v="58014462"/>
    <n v="209605148.93122199"/>
    <s v="EPER"/>
    <n v="7414000005"/>
  </r>
  <r>
    <x v="137"/>
    <s v="ELECTRO COMPONENTES DE MEXICO SA DE CV F"/>
    <x v="129"/>
    <s v="NORMAL"/>
    <s v="MXN"/>
    <n v="1503"/>
    <n v="3.137273"/>
    <n v="4715.3213189999997"/>
    <n v="1.9571390552228876"/>
    <n v="1773.741319"/>
    <n v="0"/>
    <n v="0"/>
    <n v="0"/>
    <n v="0"/>
    <n v="1503"/>
    <n v="4715.3213189999997"/>
    <s v="EPER"/>
    <n v="7414000005"/>
  </r>
  <r>
    <x v="138"/>
    <s v="BANCO SANTANDER MEXICO SA FIDEICOMISO 20 02171 1"/>
    <x v="0"/>
    <s v="NORMAL"/>
    <s v="MXN"/>
    <n v="167258"/>
    <n v="3.3967719999999999"/>
    <n v="568137.29117600003"/>
    <n v="2.9511611402743068"/>
    <n v="74531.981176000001"/>
    <n v="0"/>
    <n v="0"/>
    <n v="0"/>
    <n v="0"/>
    <n v="167258"/>
    <n v="568137.29117600003"/>
    <s v="EPER"/>
    <n v="7414000005"/>
  </r>
  <r>
    <x v="138"/>
    <s v="BANCO SANTANDER MEXICO SA FIDEICOMISO 20 02171 1"/>
    <x v="156"/>
    <s v="NORMAL"/>
    <s v="MXN"/>
    <n v="1098"/>
    <n v="2.6243750000000001"/>
    <n v="2881.5637499999998"/>
    <n v="1.635255009107468"/>
    <n v="1086.05375"/>
    <n v="0"/>
    <n v="0"/>
    <n v="0"/>
    <n v="0"/>
    <n v="1098"/>
    <n v="2881.5637499999998"/>
    <s v="EPER"/>
    <n v="7414000005"/>
  </r>
  <r>
    <x v="139"/>
    <s v="AFORE INVERCAP SA DE CV CV FONDO DE AHOR"/>
    <x v="90"/>
    <s v="NORMAL"/>
    <s v="MXN"/>
    <n v="4312941"/>
    <n v="3.4005040000000002"/>
    <n v="14666173.122264"/>
    <n v="3.3541308680086281"/>
    <n v="200004.582264"/>
    <n v="0"/>
    <n v="0"/>
    <n v="0"/>
    <n v="0"/>
    <n v="4312941"/>
    <n v="14666173.122264"/>
    <s v="EPER"/>
    <n v="7414000005"/>
  </r>
  <r>
    <x v="140"/>
    <s v="DEUTSCHE BANK MEXICO SOCIEDAD ANONIMA DI"/>
    <x v="75"/>
    <s v="NORMAL"/>
    <s v="MXN"/>
    <n v="25603"/>
    <n v="3.612981"/>
    <n v="92503.152543000004"/>
    <n v="3.5483490215990314"/>
    <n v="1654.772543"/>
    <n v="0"/>
    <n v="0"/>
    <n v="0"/>
    <n v="0"/>
    <n v="25603"/>
    <n v="92503.152543000004"/>
    <s v="EPER"/>
    <n v="7414000005"/>
  </r>
  <r>
    <x v="141"/>
    <s v="ADMINISTRADORA DE RESERVAS DE LOS TRABAJ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142"/>
    <s v="NOMISER SA DE CV FONDO DE AHORRO"/>
    <x v="90"/>
    <s v="NORMAL"/>
    <s v="MXN"/>
    <n v="75762"/>
    <n v="3.4005040000000002"/>
    <n v="257628.98404800001"/>
    <n v="3.3420464084897441"/>
    <n v="4428.8640480000004"/>
    <n v="0"/>
    <n v="0"/>
    <n v="0"/>
    <n v="0"/>
    <n v="75762"/>
    <n v="257628.98404800001"/>
    <s v="EPER"/>
    <n v="7414000005"/>
  </r>
  <r>
    <x v="143"/>
    <s v="BANCO SANTANDER MEXICO SA FIDEICOMISO F"/>
    <x v="0"/>
    <s v="NORMAL"/>
    <s v="MXN"/>
    <n v="905405"/>
    <n v="3.3967719999999999"/>
    <n v="3075454.3526599999"/>
    <n v="2.5825996763879147"/>
    <n v="737155.69265999994"/>
    <n v="0"/>
    <n v="0"/>
    <n v="0"/>
    <n v="0"/>
    <n v="905405"/>
    <n v="3075454.3526599999"/>
    <s v="EPER"/>
    <n v="7414000005"/>
  </r>
  <r>
    <x v="143"/>
    <s v="BANCO SANTANDER MEXICO SA FIDEICOMISO F"/>
    <x v="83"/>
    <s v="NORMAL"/>
    <s v="MXN"/>
    <n v="46557518"/>
    <n v="2.106938"/>
    <n v="98093803.859883994"/>
    <n v="1.4363535904126161"/>
    <n v="31220745.719884001"/>
    <n v="0"/>
    <n v="0"/>
    <n v="0"/>
    <n v="0"/>
    <n v="46557518"/>
    <n v="98093803.859883994"/>
    <s v="EPER"/>
    <n v="7414000005"/>
  </r>
  <r>
    <x v="143"/>
    <s v="BANCO SANTANDER MEXICO SA FIDEICOMISO F"/>
    <x v="157"/>
    <s v="NORMAL"/>
    <s v="MXN"/>
    <n v="36294819"/>
    <n v="2.7842250000000002"/>
    <n v="101052942.43027499"/>
    <n v="1.8498402339463382"/>
    <n v="33913325.960275002"/>
    <n v="0"/>
    <n v="0"/>
    <n v="0"/>
    <n v="0"/>
    <n v="36294819"/>
    <n v="101052942.43027499"/>
    <s v="EPER"/>
    <n v="7414000005"/>
  </r>
  <r>
    <x v="144"/>
    <s v="BANCO SANTANDER MEXICO FID F2010190-0"/>
    <x v="66"/>
    <s v="NORMAL"/>
    <s v="MXN"/>
    <n v="0"/>
    <n v="0"/>
    <n v="-4494.99"/>
    <n v="0"/>
    <n v="0"/>
    <n v="0"/>
    <n v="0"/>
    <n v="0"/>
    <n v="0"/>
    <n v="0"/>
    <n v="-4494.99"/>
    <s v="EPER"/>
    <n v="7414000005"/>
  </r>
  <r>
    <x v="144"/>
    <s v="BANCO SANTANDER MEXICO FID F2010190-0"/>
    <x v="0"/>
    <s v="NORMAL"/>
    <s v="MXN"/>
    <n v="13163"/>
    <n v="3.3967719999999999"/>
    <n v="44711.709836000002"/>
    <n v="3.3926832788877914"/>
    <n v="53.819836000000002"/>
    <n v="0"/>
    <n v="0"/>
    <n v="0"/>
    <n v="0"/>
    <n v="13163"/>
    <n v="44711.709836000002"/>
    <s v="EPER"/>
    <n v="7414000005"/>
  </r>
  <r>
    <x v="144"/>
    <s v="BANCO SANTANDER MEXICO FID F2010190-0"/>
    <x v="1"/>
    <s v="NORMAL"/>
    <s v="MXN"/>
    <n v="14492"/>
    <n v="137.94899000000001"/>
    <n v="1999156.7630799999"/>
    <n v="115.64243306651946"/>
    <n v="323266.62307999999"/>
    <n v="0"/>
    <n v="0"/>
    <n v="0"/>
    <n v="0"/>
    <n v="14492"/>
    <n v="1999156.7630799999"/>
    <s v="EPER"/>
    <n v="7414000005"/>
  </r>
  <r>
    <x v="144"/>
    <s v="BANCO SANTANDER MEXICO FID F2010190-0"/>
    <x v="2"/>
    <s v="NORMAL"/>
    <s v="MXN"/>
    <n v="7411197"/>
    <n v="3.6096119999999998"/>
    <n v="26751545.625564002"/>
    <n v="3.0108941470588353"/>
    <n v="4437215.9555639997"/>
    <n v="0"/>
    <n v="0"/>
    <n v="0"/>
    <n v="0"/>
    <n v="7411197"/>
    <n v="26751545.625564002"/>
    <s v="EPER"/>
    <n v="7414000005"/>
  </r>
  <r>
    <x v="144"/>
    <s v="BANCO SANTANDER MEXICO FID F2010190-0"/>
    <x v="3"/>
    <s v="NORMAL"/>
    <s v="MXN"/>
    <n v="3975555"/>
    <n v="2.1897980000000001"/>
    <n v="8705662.3878899999"/>
    <n v="1.973393018081752"/>
    <n v="860329.90789000003"/>
    <n v="0"/>
    <n v="0"/>
    <n v="0"/>
    <n v="0"/>
    <n v="3975555"/>
    <n v="8705662.3878899999"/>
    <s v="EPER"/>
    <n v="7414000005"/>
  </r>
  <r>
    <x v="144"/>
    <s v="BANCO SANTANDER MEXICO FID F2010190-0"/>
    <x v="64"/>
    <s v="NORMAL"/>
    <s v="MXN"/>
    <n v="53678"/>
    <n v="2.7668819999999998"/>
    <n v="148520.69199600001"/>
    <n v="2.390523305637319"/>
    <n v="20202.181995999999"/>
    <n v="0"/>
    <n v="0"/>
    <n v="0"/>
    <n v="0"/>
    <n v="53678"/>
    <n v="148520.69199600001"/>
    <s v="EPER"/>
    <n v="7414000005"/>
  </r>
  <r>
    <x v="145"/>
    <s v="BANCO SANTANDER MEXICO SA FIDEICOMISO F"/>
    <x v="90"/>
    <s v="NORMAL"/>
    <s v="MXN"/>
    <n v="2326612"/>
    <n v="3.4005040000000002"/>
    <n v="7911653.4124480002"/>
    <n v="3.3321816056996183"/>
    <n v="158959.702448"/>
    <n v="0"/>
    <n v="0"/>
    <n v="0"/>
    <n v="0"/>
    <n v="2326612"/>
    <n v="7911653.4124480002"/>
    <s v="EPER"/>
    <n v="7414000005"/>
  </r>
  <r>
    <x v="146"/>
    <s v="BANCO SANTANDER MEXICO SA FIDEICOMISO F"/>
    <x v="129"/>
    <s v="NORMAL"/>
    <s v="MXN"/>
    <n v="1617553"/>
    <n v="3.137273"/>
    <n v="5074705.3529690001"/>
    <n v="3.0779545647035986"/>
    <n v="95950.712969"/>
    <n v="0"/>
    <n v="0"/>
    <n v="0"/>
    <n v="0"/>
    <n v="1617553"/>
    <n v="5074705.3529690001"/>
    <s v="EPER"/>
    <n v="7414000005"/>
  </r>
  <r>
    <x v="147"/>
    <s v="BANCO SANTANDER MEXICO SA FIDEICOMISO F"/>
    <x v="90"/>
    <s v="NORMAL"/>
    <s v="MXN"/>
    <n v="2272024"/>
    <n v="3.4005040000000002"/>
    <n v="7726026.700096"/>
    <n v="3.3321820676190042"/>
    <n v="155229.07009600001"/>
    <n v="0"/>
    <n v="0"/>
    <n v="0"/>
    <n v="0"/>
    <n v="2272024"/>
    <n v="7726026.700096"/>
    <s v="EPER"/>
    <n v="7414000005"/>
  </r>
  <r>
    <x v="148"/>
    <s v="BANCO SANTANDER MEXICO SA FIDEICOMISO F2"/>
    <x v="129"/>
    <s v="NORMAL"/>
    <s v="MXN"/>
    <n v="235705"/>
    <n v="3.137273"/>
    <n v="739470.93246499996"/>
    <n v="3.0779630894550389"/>
    <n v="13979.642465000001"/>
    <n v="0"/>
    <n v="0"/>
    <n v="0"/>
    <n v="0"/>
    <n v="235705"/>
    <n v="739470.93246499996"/>
    <s v="EPER"/>
    <n v="7414000005"/>
  </r>
  <r>
    <x v="149"/>
    <s v="BANCO SANTANDER MEXICO SA FIDEICOMISO F2"/>
    <x v="129"/>
    <s v="NORMAL"/>
    <s v="MXN"/>
    <n v="149673"/>
    <n v="3.137273"/>
    <n v="469565.06172900001"/>
    <n v="3.0779635605620252"/>
    <n v="8877.0217290000001"/>
    <n v="0"/>
    <n v="0"/>
    <n v="0"/>
    <n v="0"/>
    <n v="149673"/>
    <n v="469565.06172900001"/>
    <s v="EPER"/>
    <n v="7414000005"/>
  </r>
  <r>
    <x v="150"/>
    <s v="BANCO SANTANDER MEXICO SA FIDEICOMISO F2"/>
    <x v="129"/>
    <s v="NORMAL"/>
    <s v="MXN"/>
    <n v="94563"/>
    <n v="3.137273"/>
    <n v="296669.94669900002"/>
    <n v="3.0779480346435708"/>
    <n v="5609.9466990000001"/>
    <n v="0"/>
    <n v="0"/>
    <n v="0"/>
    <n v="0"/>
    <n v="94563"/>
    <n v="296669.94669900002"/>
    <s v="EPER"/>
    <n v="7414000005"/>
  </r>
  <r>
    <x v="151"/>
    <s v="BBVA BANCOMER SA F470914 SUBCTA 2 DIREC"/>
    <x v="158"/>
    <s v="NORMAL"/>
    <s v="MXN"/>
    <n v="498833"/>
    <n v="91.663769000000002"/>
    <n v="45724912.881577"/>
    <n v="100.08954932813187"/>
    <n v="-4203057.2784230001"/>
    <n v="0"/>
    <n v="0"/>
    <n v="0"/>
    <n v="0"/>
    <n v="498833"/>
    <n v="45724912.881577"/>
    <s v="EPER"/>
    <n v="7414000005"/>
  </r>
  <r>
    <x v="151"/>
    <s v="BBVA BANCOMER SA F470914 SUBCTA 2 DIREC"/>
    <x v="5"/>
    <s v="NORMAL"/>
    <s v="MXN"/>
    <n v="0"/>
    <n v="0"/>
    <n v="0"/>
    <n v="0"/>
    <n v="0"/>
    <n v="0"/>
    <n v="0"/>
    <n v="0"/>
    <n v="0"/>
    <n v="0"/>
    <n v="0"/>
    <s v="EPER"/>
    <n v="7414000005"/>
  </r>
  <r>
    <x v="151"/>
    <s v="BBVA BANCOMER SA F470914 SUBCTA 2 DIREC"/>
    <x v="159"/>
    <s v="NORMAL"/>
    <s v="MXN"/>
    <n v="216884"/>
    <n v="90.182721000000001"/>
    <n v="19559189.261364002"/>
    <n v="100"/>
    <n v="-2129210.7386360001"/>
    <n v="0"/>
    <n v="0"/>
    <n v="0"/>
    <n v="0"/>
    <n v="216884"/>
    <n v="19559189.261364002"/>
    <s v="EPER"/>
    <n v="7414000005"/>
  </r>
  <r>
    <x v="151"/>
    <s v="BBVA BANCOMER SA F470914 SUBCTA 2 DIREC"/>
    <x v="9"/>
    <s v="NORMAL"/>
    <s v="MXN"/>
    <n v="1251"/>
    <n v="9469.6491050000004"/>
    <n v="11846531.030355001"/>
    <n v="9977.4"/>
    <n v="-635196.36964499997"/>
    <n v="0"/>
    <n v="0"/>
    <n v="0"/>
    <n v="0"/>
    <n v="1251"/>
    <n v="11846531.030355001"/>
    <s v="EPER"/>
    <n v="7414000005"/>
  </r>
  <r>
    <x v="151"/>
    <s v="BBVA BANCOMER SA F470914 SUBCTA 2 DIREC"/>
    <x v="160"/>
    <s v="NORMAL"/>
    <s v="MXN"/>
    <n v="361643"/>
    <n v="98.348472000000001"/>
    <n v="35567036.459495999"/>
    <n v="99.379753789999995"/>
    <n v="-372955.84038096998"/>
    <n v="0"/>
    <n v="0"/>
    <n v="0"/>
    <n v="0"/>
    <n v="361643"/>
    <n v="35567036.459495999"/>
    <s v="EPER"/>
    <n v="7414000005"/>
  </r>
  <r>
    <x v="151"/>
    <s v="BBVA BANCOMER SA F470914 SUBCTA 2 DIREC"/>
    <x v="147"/>
    <s v="NORMAL"/>
    <s v="MXN"/>
    <n v="0"/>
    <n v="0"/>
    <n v="0"/>
    <n v="0"/>
    <n v="0"/>
    <n v="0"/>
    <n v="0"/>
    <n v="0"/>
    <n v="0"/>
    <n v="0"/>
    <n v="0"/>
    <s v="EPER"/>
    <n v="7414000005"/>
  </r>
  <r>
    <x v="151"/>
    <s v="BBVA BANCOMER SA F470914 SUBCTA 2 DIREC"/>
    <x v="86"/>
    <s v="NORMAL"/>
    <s v="MXN"/>
    <n v="415371"/>
    <n v="9.4935880000000008"/>
    <n v="3943361.141148"/>
    <n v="8.2405490399999994"/>
    <n v="520476.04585415998"/>
    <n v="0"/>
    <n v="0"/>
    <n v="0"/>
    <n v="0"/>
    <n v="415371"/>
    <n v="3943361.141148"/>
    <s v="EPER"/>
    <n v="7414000005"/>
  </r>
  <r>
    <x v="151"/>
    <s v="BBVA BANCOMER SA F470914 SUBCTA 2 DIREC"/>
    <x v="15"/>
    <s v="NORMAL"/>
    <s v="MXN"/>
    <n v="15133840"/>
    <n v="9.190137"/>
    <n v="139082062.93608001"/>
    <n v="8.1978244938435321"/>
    <n v="15017498.698171001"/>
    <n v="0"/>
    <n v="0"/>
    <n v="0"/>
    <n v="0"/>
    <n v="15133840"/>
    <n v="139082062.93608001"/>
    <s v="EPER"/>
    <n v="7414000005"/>
  </r>
  <r>
    <x v="151"/>
    <s v="BBVA BANCOMER SA F470914 SUBCTA 2 DIREC"/>
    <x v="65"/>
    <s v="NORMAL"/>
    <s v="MXN"/>
    <n v="2500000"/>
    <n v="9.0839700000000008"/>
    <n v="22709925"/>
    <n v="8.9878796600000008"/>
    <n v="240225.85"/>
    <n v="0"/>
    <n v="0"/>
    <n v="0"/>
    <n v="0"/>
    <n v="2500000"/>
    <n v="22709925"/>
    <s v="EPER"/>
    <n v="7414000005"/>
  </r>
  <r>
    <x v="151"/>
    <s v="BBVA BANCOMER SA F470914 SUBCTA 2 DIREC"/>
    <x v="71"/>
    <s v="NORMAL"/>
    <s v="MXN"/>
    <n v="2829590"/>
    <n v="8.3813510000000004"/>
    <n v="23715786.976089999"/>
    <n v="8.2842867899999995"/>
    <n v="274651.91797389998"/>
    <n v="0"/>
    <n v="0"/>
    <n v="0"/>
    <n v="0"/>
    <n v="2829590"/>
    <n v="23715786.976089999"/>
    <s v="EPER"/>
    <n v="7414000005"/>
  </r>
  <r>
    <x v="151"/>
    <s v="BBVA BANCOMER SA F470914 SUBCTA 2 DIREC"/>
    <x v="98"/>
    <s v="NORMAL"/>
    <s v="MXN"/>
    <n v="332340"/>
    <n v="93.248425999999995"/>
    <n v="30990181.896839999"/>
    <n v="96.771887774684956"/>
    <n v="-1170987.2861988"/>
    <n v="0"/>
    <n v="0"/>
    <n v="0"/>
    <n v="0"/>
    <n v="332340"/>
    <n v="30990181.896839999"/>
    <s v="EPER"/>
    <n v="7414000005"/>
  </r>
  <r>
    <x v="151"/>
    <s v="BBVA BANCOMER SA F470914 SUBCTA 2 DIREC"/>
    <x v="161"/>
    <s v="NORMAL"/>
    <s v="MXN"/>
    <n v="289179"/>
    <n v="89.923210999999995"/>
    <n v="26003904.233769"/>
    <n v="100.39498338"/>
    <n v="-3028216.6650760202"/>
    <n v="0"/>
    <n v="0"/>
    <n v="0"/>
    <n v="0"/>
    <n v="289179"/>
    <n v="26003904.233769"/>
    <s v="EPER"/>
    <n v="7414000005"/>
  </r>
  <r>
    <x v="151"/>
    <s v="BBVA BANCOMER SA F470914 SUBCTA 2 DIREC"/>
    <x v="162"/>
    <s v="NORMAL"/>
    <s v="MXN"/>
    <n v="88561"/>
    <n v="91.196223000000003"/>
    <n v="8076428.7051029997"/>
    <n v="103.24206287"/>
    <n v="-1066791.6247270701"/>
    <n v="0"/>
    <n v="0"/>
    <n v="0"/>
    <n v="0"/>
    <n v="88561"/>
    <n v="8076428.7051029997"/>
    <s v="EPER"/>
    <n v="7414000005"/>
  </r>
  <r>
    <x v="151"/>
    <s v="BBVA BANCOMER SA F470914 SUBCTA 2 DIREC"/>
    <x v="66"/>
    <s v="NORMAL"/>
    <s v="MXN"/>
    <n v="0"/>
    <n v="0"/>
    <n v="70548482.469999999"/>
    <n v="0"/>
    <n v="0"/>
    <n v="0"/>
    <n v="0"/>
    <n v="0"/>
    <n v="0"/>
    <n v="0"/>
    <n v="70548482.469999999"/>
    <s v="EPER"/>
    <n v="7414000005"/>
  </r>
  <r>
    <x v="151"/>
    <s v="BBVA BANCOMER SA F470914 SUBCTA 2 DIREC"/>
    <x v="163"/>
    <s v="NORMAL"/>
    <s v="MXN"/>
    <n v="451511"/>
    <n v="92.468708000000007"/>
    <n v="41750638.817787997"/>
    <n v="98.484768880000004"/>
    <n v="-2716317.6639896799"/>
    <n v="0"/>
    <n v="0"/>
    <n v="0"/>
    <n v="0"/>
    <n v="451511"/>
    <n v="41750638.817787997"/>
    <s v="EPER"/>
    <n v="7414000005"/>
  </r>
  <r>
    <x v="151"/>
    <s v="BBVA BANCOMER SA F470914 SUBCTA 2 DIREC"/>
    <x v="164"/>
    <s v="NORMAL"/>
    <s v="MXN"/>
    <n v="413372"/>
    <n v="91.505291999999997"/>
    <n v="37825725.564623997"/>
    <n v="100.00000423"/>
    <n v="-3511476.1839395599"/>
    <n v="0"/>
    <n v="0"/>
    <n v="0"/>
    <n v="0"/>
    <n v="413372"/>
    <n v="37825725.564623997"/>
    <s v="EPER"/>
    <n v="7414000005"/>
  </r>
  <r>
    <x v="151"/>
    <s v="BBVA BANCOMER SA F470914 SUBCTA 2 DIREC"/>
    <x v="31"/>
    <s v="NORMAL"/>
    <s v="MXN"/>
    <n v="608050"/>
    <n v="93.314192000000006"/>
    <n v="56739694.445600003"/>
    <n v="110.16760435222153"/>
    <n v="-10247717.380768299"/>
    <n v="0"/>
    <n v="0"/>
    <n v="0"/>
    <n v="0"/>
    <n v="608050"/>
    <n v="56739694.445600003"/>
    <s v="EPER"/>
    <n v="7414000005"/>
  </r>
  <r>
    <x v="151"/>
    <s v="BBVA BANCOMER SA F470914 SUBCTA 2 DIREC"/>
    <x v="33"/>
    <s v="NORMAL"/>
    <s v="MXN"/>
    <n v="3359452"/>
    <n v="94.870157000000006"/>
    <n v="318711738.67396402"/>
    <n v="98.254289750684009"/>
    <n v="-11368831.53755088"/>
    <n v="0"/>
    <n v="0"/>
    <n v="0"/>
    <n v="0"/>
    <n v="3359452"/>
    <n v="318711738.67396402"/>
    <s v="EPER"/>
    <n v="7414000005"/>
  </r>
  <r>
    <x v="151"/>
    <s v="BBVA BANCOMER SA F470914 SUBCTA 2 DIREC"/>
    <x v="34"/>
    <s v="NORMAL"/>
    <s v="MXN"/>
    <n v="3987641"/>
    <n v="89.489464999999996"/>
    <n v="356851859.70206499"/>
    <n v="91.739808376252356"/>
    <n v="-8973561.5112223402"/>
    <n v="0"/>
    <n v="0"/>
    <n v="0"/>
    <n v="0"/>
    <n v="3987641"/>
    <n v="356851859.70206499"/>
    <s v="EPER"/>
    <n v="7414000005"/>
  </r>
  <r>
    <x v="151"/>
    <s v="BBVA BANCOMER SA F470914 SUBCTA 2 DIREC"/>
    <x v="35"/>
    <s v="NORMAL"/>
    <s v="MXN"/>
    <n v="2950940"/>
    <n v="86.197128000000006"/>
    <n v="254362552.90031999"/>
    <n v="90.365245438784896"/>
    <n v="-12299864.474807899"/>
    <n v="0"/>
    <n v="0"/>
    <n v="0"/>
    <n v="0"/>
    <n v="2950940"/>
    <n v="254362552.90031999"/>
    <s v="EPER"/>
    <n v="7414000005"/>
  </r>
  <r>
    <x v="151"/>
    <s v="BBVA BANCOMER SA F470914 SUBCTA 2 DIREC"/>
    <x v="36"/>
    <s v="NORMAL"/>
    <s v="MXN"/>
    <n v="455830"/>
    <n v="86.469353999999996"/>
    <n v="39415325.633819997"/>
    <n v="89.838096089999993"/>
    <n v="-1535573.7068847001"/>
    <n v="0"/>
    <n v="0"/>
    <n v="0"/>
    <n v="0"/>
    <n v="455830"/>
    <n v="39415325.633819997"/>
    <s v="EPER"/>
    <n v="7414000005"/>
  </r>
  <r>
    <x v="151"/>
    <s v="BBVA BANCOMER SA F470914 SUBCTA 2 DIREC"/>
    <x v="165"/>
    <s v="NORMAL"/>
    <s v="MXN"/>
    <n v="372066"/>
    <n v="93.083737999999997"/>
    <n v="34633294.062707998"/>
    <n v="100"/>
    <n v="-2573305.9372919998"/>
    <n v="0"/>
    <n v="0"/>
    <n v="0"/>
    <n v="0"/>
    <n v="372066"/>
    <n v="34633294.062707998"/>
    <s v="EPER"/>
    <n v="7414000005"/>
  </r>
  <r>
    <x v="151"/>
    <s v="BBVA BANCOMER SA F470914 SUBCTA 2 DIREC"/>
    <x v="166"/>
    <s v="NORMAL"/>
    <s v="MXN"/>
    <n v="186033"/>
    <n v="92.321154000000007"/>
    <n v="17174781.242082"/>
    <n v="100"/>
    <n v="-1428518.757918"/>
    <n v="0"/>
    <n v="0"/>
    <n v="0"/>
    <n v="0"/>
    <n v="186033"/>
    <n v="17174781.242082"/>
    <s v="EPER"/>
    <n v="7414000005"/>
  </r>
  <r>
    <x v="151"/>
    <s v="BBVA BANCOMER SA F470914 SUBCTA 2 DIREC"/>
    <x v="88"/>
    <s v="NORMAL"/>
    <s v="MXN"/>
    <n v="957110"/>
    <n v="98.007834000000003"/>
    <n v="93804277.999740005"/>
    <n v="92.201123724699144"/>
    <n v="5557660.4715932002"/>
    <n v="0"/>
    <n v="0"/>
    <n v="0"/>
    <n v="0"/>
    <n v="957110"/>
    <n v="93804277.999740005"/>
    <s v="EPER"/>
    <n v="7414000005"/>
  </r>
  <r>
    <x v="151"/>
    <s v="BBVA BANCOMER SA F470914 SUBCTA 2 DIREC"/>
    <x v="167"/>
    <s v="NORMAL"/>
    <s v="MXN"/>
    <n v="161365"/>
    <n v="80.194873000000001"/>
    <n v="12940645.681645"/>
    <n v="97.241272269999996"/>
    <n v="-2750692.2182035502"/>
    <n v="0"/>
    <n v="0"/>
    <n v="0"/>
    <n v="0"/>
    <n v="161365"/>
    <n v="12940645.681645"/>
    <s v="EPER"/>
    <n v="7414000005"/>
  </r>
  <r>
    <x v="151"/>
    <s v="BBVA BANCOMER SA F470914 SUBCTA 2 DIREC"/>
    <x v="51"/>
    <s v="NORMAL"/>
    <s v="MXN"/>
    <n v="96866"/>
    <n v="775.69178699999998"/>
    <n v="75138160.639541999"/>
    <n v="700.92797722962575"/>
    <n v="7242071.1972170696"/>
    <n v="0"/>
    <n v="0"/>
    <n v="0"/>
    <n v="0"/>
    <n v="96866"/>
    <n v="75138160.639541999"/>
    <s v="EPER"/>
    <n v="7414000005"/>
  </r>
  <r>
    <x v="151"/>
    <s v="BBVA BANCOMER SA F470914 SUBCTA 2 DIREC"/>
    <x v="53"/>
    <s v="NORMAL"/>
    <s v="MXN"/>
    <n v="315757"/>
    <n v="765.92388300000005"/>
    <n v="241845827.52443099"/>
    <n v="720.84939207989862"/>
    <n v="14232586.029458441"/>
    <n v="0"/>
    <n v="0"/>
    <n v="0"/>
    <n v="0"/>
    <n v="315757"/>
    <n v="241845827.52443099"/>
    <s v="EPER"/>
    <n v="7414000005"/>
  </r>
  <r>
    <x v="151"/>
    <s v="BBVA BANCOMER SA F470914 SUBCTA 2 DIREC"/>
    <x v="54"/>
    <s v="NORMAL"/>
    <s v="MXN"/>
    <n v="1303272"/>
    <n v="684.88915799999995"/>
    <n v="892596862.72497594"/>
    <n v="680.37312381453808"/>
    <n v="5885620.9049553601"/>
    <n v="0"/>
    <n v="0"/>
    <n v="0"/>
    <n v="0"/>
    <n v="1303272"/>
    <n v="892596862.72497594"/>
    <s v="EPER"/>
    <n v="7414000005"/>
  </r>
  <r>
    <x v="152"/>
    <s v="ADMINISTRADORA FONDO DE AHORRO PALACE RE"/>
    <x v="0"/>
    <s v="NORMAL"/>
    <s v="MXN"/>
    <n v="64582159"/>
    <n v="3.3967719999999999"/>
    <n v="219370869.39074799"/>
    <n v="3.3099701106307085"/>
    <n v="5605853.420748"/>
    <n v="0"/>
    <n v="0"/>
    <n v="0"/>
    <n v="0"/>
    <n v="64582159"/>
    <n v="219370869.39074799"/>
    <s v="EPER"/>
    <n v="7414000005"/>
  </r>
  <r>
    <x v="153"/>
    <s v="BANCO SANTANDER MEXICO SA FIDEICOMISO F"/>
    <x v="168"/>
    <s v="NORMAL"/>
    <s v="MXN"/>
    <n v="130000"/>
    <n v="2.9440539999999999"/>
    <n v="382727.02"/>
    <n v="3.0539399999999999"/>
    <n v="-14285.18"/>
    <n v="0"/>
    <n v="0"/>
    <n v="0"/>
    <n v="0"/>
    <n v="130000"/>
    <n v="382727.02"/>
    <s v="EPER"/>
    <n v="7414000005"/>
  </r>
  <r>
    <x v="153"/>
    <s v="BANCO SANTANDER MEXICO SA FIDEICOMISO F"/>
    <x v="130"/>
    <s v="NORMAL"/>
    <s v="MXN"/>
    <n v="532955"/>
    <n v="4.5848760000000004"/>
    <n v="2443532.5885800002"/>
    <n v="4.5043092193524785"/>
    <n v="42938.468580000001"/>
    <n v="0"/>
    <n v="0"/>
    <n v="0"/>
    <n v="0"/>
    <n v="532955"/>
    <n v="2443532.5885800002"/>
    <s v="EPER"/>
    <n v="7414000005"/>
  </r>
  <r>
    <x v="153"/>
    <s v="BANCO SANTANDER MEXICO SA FIDEICOMISO F"/>
    <x v="0"/>
    <s v="NORMAL"/>
    <s v="MXN"/>
    <n v="1432577"/>
    <n v="3.3967719999999999"/>
    <n v="4866137.4414440002"/>
    <n v="3.3318918634042012"/>
    <n v="92945.791444000002"/>
    <n v="0"/>
    <n v="0"/>
    <n v="0"/>
    <n v="0"/>
    <n v="1432577"/>
    <n v="4866137.4414440002"/>
    <s v="EPER"/>
    <n v="7414000005"/>
  </r>
  <r>
    <x v="153"/>
    <s v="BANCO SANTANDER MEXICO SA FIDEICOMISO F"/>
    <x v="64"/>
    <s v="NORMAL"/>
    <s v="MXN"/>
    <n v="4983656"/>
    <n v="2.7668819999999998"/>
    <n v="13789188.080592001"/>
    <n v="2.7844124775064731"/>
    <n v="-87365.869407999999"/>
    <n v="0"/>
    <n v="0"/>
    <n v="0"/>
    <n v="0"/>
    <n v="4983656"/>
    <n v="13789188.080592001"/>
    <s v="EPER"/>
    <n v="7414000005"/>
  </r>
  <r>
    <x v="154"/>
    <s v="BANCO SANTANDER MEXICO SA FIDEICOMISO F"/>
    <x v="130"/>
    <s v="NORMAL"/>
    <s v="MXN"/>
    <n v="285498"/>
    <n v="4.5848760000000004"/>
    <n v="1308972.9282480001"/>
    <n v="4.4467832699353407"/>
    <n v="39425.198248000001"/>
    <n v="0"/>
    <n v="0"/>
    <n v="0"/>
    <n v="0"/>
    <n v="285498"/>
    <n v="1308972.9282480001"/>
    <s v="EPER"/>
    <n v="7414000005"/>
  </r>
  <r>
    <x v="154"/>
    <s v="BANCO SANTANDER MEXICO SA FIDEICOMISO F"/>
    <x v="0"/>
    <s v="NORMAL"/>
    <s v="MXN"/>
    <n v="827180"/>
    <n v="3.3967719999999999"/>
    <n v="2809741.8629600001"/>
    <n v="3.3318899030440776"/>
    <n v="53669.172960000004"/>
    <n v="0"/>
    <n v="0"/>
    <n v="0"/>
    <n v="0"/>
    <n v="827180"/>
    <n v="2809741.8629600001"/>
    <s v="EPER"/>
    <n v="7414000005"/>
  </r>
  <r>
    <x v="154"/>
    <s v="BANCO SANTANDER MEXICO SA FIDEICOMISO F"/>
    <x v="64"/>
    <s v="NORMAL"/>
    <s v="MXN"/>
    <n v="2667938"/>
    <n v="2.7668819999999998"/>
    <n v="7381869.6293160003"/>
    <n v="2.753500643568179"/>
    <n v="35700.629315999999"/>
    <n v="0"/>
    <n v="0"/>
    <n v="0"/>
    <n v="0"/>
    <n v="2667938"/>
    <n v="7381869.6293160003"/>
    <s v="EPER"/>
    <n v="7414000005"/>
  </r>
  <r>
    <x v="155"/>
    <s v="BANCO SANTANDER MEXICO SA FIDEICOMISO F"/>
    <x v="130"/>
    <s v="NORMAL"/>
    <s v="MXN"/>
    <n v="2802321"/>
    <n v="4.5848760000000004"/>
    <n v="12848294.297196001"/>
    <n v="3.8009839343886727"/>
    <n v="2196717.1971959998"/>
    <n v="0"/>
    <n v="0"/>
    <n v="0"/>
    <n v="0"/>
    <n v="2802321"/>
    <n v="12848294.297196001"/>
    <s v="EPER"/>
    <n v="7414000005"/>
  </r>
  <r>
    <x v="155"/>
    <s v="BANCO SANTANDER MEXICO SA FIDEICOMISO F"/>
    <x v="0"/>
    <s v="NORMAL"/>
    <s v="MXN"/>
    <n v="7999846"/>
    <n v="3.3967719999999999"/>
    <n v="27173652.897112001"/>
    <n v="3.0149077419740329"/>
    <n v="3054855.2571120001"/>
    <n v="0"/>
    <n v="0"/>
    <n v="0"/>
    <n v="0"/>
    <n v="7999846"/>
    <n v="27173652.897112001"/>
    <s v="EPER"/>
    <n v="7414000005"/>
  </r>
  <r>
    <x v="155"/>
    <s v="BANCO SANTANDER MEXICO SA FIDEICOMISO F"/>
    <x v="64"/>
    <s v="NORMAL"/>
    <s v="MXN"/>
    <n v="26007587"/>
    <n v="2.7668819999999998"/>
    <n v="71959924.333734006"/>
    <n v="2.3800462268952516"/>
    <n v="10060665.023734"/>
    <n v="0"/>
    <n v="0"/>
    <n v="0"/>
    <n v="0"/>
    <n v="26007587"/>
    <n v="71959924.333734006"/>
    <s v="EPER"/>
    <n v="7414000005"/>
  </r>
  <r>
    <x v="156"/>
    <s v="BANCO SANTANDER MEXICO SA FIDEICOMISO F"/>
    <x v="130"/>
    <s v="NORMAL"/>
    <s v="MXN"/>
    <n v="1387386"/>
    <n v="4.5848760000000004"/>
    <n v="6360992.7741360003"/>
    <n v="3.7480388010258139"/>
    <n v="1161016.214136"/>
    <n v="0"/>
    <n v="0"/>
    <n v="0"/>
    <n v="0"/>
    <n v="1387386"/>
    <n v="6360992.7741360003"/>
    <s v="EPER"/>
    <n v="7414000005"/>
  </r>
  <r>
    <x v="156"/>
    <s v="BANCO SANTANDER MEXICO SA FIDEICOMISO F"/>
    <x v="0"/>
    <s v="NORMAL"/>
    <s v="MXN"/>
    <n v="3959730"/>
    <n v="3.3967719999999999"/>
    <n v="13450299.991560001"/>
    <n v="2.9583808618264378"/>
    <n v="1735910.54156"/>
    <n v="0"/>
    <n v="0"/>
    <n v="0"/>
    <n v="0"/>
    <n v="3959730"/>
    <n v="13450299.991560001"/>
    <s v="EPER"/>
    <n v="7414000005"/>
  </r>
  <r>
    <x v="156"/>
    <s v="BANCO SANTANDER MEXICO SA FIDEICOMISO F"/>
    <x v="64"/>
    <s v="NORMAL"/>
    <s v="MXN"/>
    <n v="12874573"/>
    <n v="2.7668819999999998"/>
    <n v="35622424.291386001"/>
    <n v="2.3518498330002866"/>
    <n v="5343361.9313859995"/>
    <n v="0"/>
    <n v="0"/>
    <n v="0"/>
    <n v="0"/>
    <n v="12874573"/>
    <n v="35622424.291386001"/>
    <s v="EPER"/>
    <n v="7414000005"/>
  </r>
  <r>
    <x v="157"/>
    <s v="BANCO SANTANDER MEXICO SA FIDEICOMISO F"/>
    <x v="130"/>
    <s v="NORMAL"/>
    <s v="MXN"/>
    <n v="1831441"/>
    <n v="4.5848760000000004"/>
    <n v="8396929.8863159996"/>
    <n v="4.3415386736455064"/>
    <n v="445657.95631600003"/>
    <n v="0"/>
    <n v="0"/>
    <n v="0"/>
    <n v="0"/>
    <n v="1831441"/>
    <n v="8396929.8863159996"/>
    <s v="EPER"/>
    <n v="7414000005"/>
  </r>
  <r>
    <x v="157"/>
    <s v="BANCO SANTANDER MEXICO SA FIDEICOMISO F"/>
    <x v="0"/>
    <s v="NORMAL"/>
    <s v="MXN"/>
    <n v="5271949"/>
    <n v="3.3967719999999999"/>
    <n v="17907608.748628002"/>
    <n v="3.3318869795591723"/>
    <n v="342070.51862799999"/>
    <n v="0"/>
    <n v="0"/>
    <n v="0"/>
    <n v="0"/>
    <n v="5271949"/>
    <n v="17907608.748628002"/>
    <s v="EPER"/>
    <n v="7414000005"/>
  </r>
  <r>
    <x v="157"/>
    <s v="BANCO SANTANDER MEXICO SA FIDEICOMISO F"/>
    <x v="64"/>
    <s v="NORMAL"/>
    <s v="MXN"/>
    <n v="17064907"/>
    <n v="2.7668819999999998"/>
    <n v="47216584.009974003"/>
    <n v="2.6774071051192956"/>
    <n v="1526880.759974"/>
    <n v="0"/>
    <n v="0"/>
    <n v="0"/>
    <n v="0"/>
    <n v="17064907"/>
    <n v="47216584.009974003"/>
    <s v="EPER"/>
    <n v="7414000005"/>
  </r>
  <r>
    <x v="158"/>
    <s v="BANCO SANTANDER MEXICO SA FIDEICOMISO F"/>
    <x v="130"/>
    <s v="NORMAL"/>
    <s v="MXN"/>
    <n v="11635107"/>
    <n v="4.5848760000000004"/>
    <n v="53345522.841732003"/>
    <n v="3.7227900061426165"/>
    <n v="10030462.781732"/>
    <n v="0"/>
    <n v="0"/>
    <n v="0"/>
    <n v="0"/>
    <n v="11635107"/>
    <n v="53345522.841732003"/>
    <s v="EPER"/>
    <n v="7414000005"/>
  </r>
  <r>
    <x v="158"/>
    <s v="BANCO SANTANDER MEXICO SA FIDEICOMISO F"/>
    <x v="0"/>
    <s v="NORMAL"/>
    <s v="MXN"/>
    <n v="33209896"/>
    <n v="3.3967719999999999"/>
    <n v="112806444.855712"/>
    <n v="2.9672430982620361"/>
    <n v="14264610.155711999"/>
    <n v="0"/>
    <n v="0"/>
    <n v="0"/>
    <n v="0"/>
    <n v="33209896"/>
    <n v="112806444.855712"/>
    <s v="EPER"/>
    <n v="7414000005"/>
  </r>
  <r>
    <x v="158"/>
    <s v="BANCO SANTANDER MEXICO SA FIDEICOMISO F"/>
    <x v="64"/>
    <s v="NORMAL"/>
    <s v="MXN"/>
    <n v="107976322"/>
    <n v="2.7668819999999998"/>
    <n v="298757741.768004"/>
    <n v="2.3352240353213736"/>
    <n v="46608839.388003998"/>
    <n v="0"/>
    <n v="0"/>
    <n v="0"/>
    <n v="0"/>
    <n v="107976322"/>
    <n v="298757741.768004"/>
    <s v="EPER"/>
    <n v="7414000005"/>
  </r>
  <r>
    <x v="159"/>
    <s v="BANCO SANTANDER MEXICO FID F2001422-1"/>
    <x v="0"/>
    <s v="NORMAL"/>
    <s v="MXN"/>
    <n v="879732"/>
    <n v="3.3967719999999999"/>
    <n v="2988249.0251039998"/>
    <n v="2.8911910786466786"/>
    <n v="444775.715104"/>
    <n v="0"/>
    <n v="0"/>
    <n v="0"/>
    <n v="0"/>
    <n v="879732"/>
    <n v="2988249.0251039998"/>
    <s v="EPER"/>
    <n v="7414000005"/>
  </r>
  <r>
    <x v="160"/>
    <s v="SINDICATO DE LOS TRAB DEL INST TEC SUP D"/>
    <x v="129"/>
    <s v="NORMAL"/>
    <s v="MXN"/>
    <n v="1552"/>
    <n v="3.137273"/>
    <n v="4869.0476959999996"/>
    <n v="3.1160953608247421"/>
    <n v="32.867696000000002"/>
    <n v="0"/>
    <n v="0"/>
    <n v="0"/>
    <n v="0"/>
    <n v="1552"/>
    <n v="4869.0476959999996"/>
    <s v="EPER"/>
    <n v="7414000005"/>
  </r>
  <r>
    <x v="160"/>
    <s v="SINDICATO DE LOS TRAB DEL INST TEC SUP D"/>
    <x v="169"/>
    <s v="NORMAL"/>
    <s v="MXN"/>
    <n v="419"/>
    <n v="129.376824"/>
    <n v="54208.889256000002"/>
    <n v="123.22701670644392"/>
    <n v="2576.769256"/>
    <n v="0"/>
    <n v="0"/>
    <n v="0"/>
    <n v="0"/>
    <n v="419"/>
    <n v="54208.889256000002"/>
    <s v="EPER"/>
    <n v="7414000005"/>
  </r>
  <r>
    <x v="160"/>
    <s v="SINDICATO DE LOS TRAB DEL INST TEC SUP D"/>
    <x v="170"/>
    <s v="NORMAL"/>
    <s v="MXN"/>
    <n v="1068227"/>
    <n v="3.4740350000000002"/>
    <n v="3711057.9859449998"/>
    <n v="3.2980464451844038"/>
    <n v="187995.72594500001"/>
    <n v="0"/>
    <n v="0"/>
    <n v="0"/>
    <n v="0"/>
    <n v="1068227"/>
    <n v="3711057.9859449998"/>
    <s v="EPER"/>
    <n v="7414000005"/>
  </r>
  <r>
    <x v="160"/>
    <s v="SINDICATO DE LOS TRAB DEL INST TEC SUP D"/>
    <x v="171"/>
    <s v="NORMAL"/>
    <s v="MXN"/>
    <n v="789642"/>
    <n v="2.0364629999999999"/>
    <n v="1608076.716246"/>
    <n v="1.9263570200166658"/>
    <n v="86944.306245999993"/>
    <n v="0"/>
    <n v="0"/>
    <n v="0"/>
    <n v="0"/>
    <n v="789642"/>
    <n v="1608076.716246"/>
    <s v="EPER"/>
    <n v="7414000005"/>
  </r>
  <r>
    <x v="160"/>
    <s v="SINDICATO DE LOS TRAB DEL INST TEC SUP D"/>
    <x v="172"/>
    <s v="NORMAL"/>
    <s v="MXN"/>
    <n v="173600"/>
    <n v="2.7063139999999999"/>
    <n v="469816.11040000001"/>
    <n v="2.5012903801843316"/>
    <n v="35592.100400000003"/>
    <n v="0"/>
    <n v="0"/>
    <n v="0"/>
    <n v="0"/>
    <n v="173600"/>
    <n v="469816.11040000001"/>
    <s v="EPER"/>
    <n v="7414000005"/>
  </r>
  <r>
    <x v="161"/>
    <s v="BANCO SANTANDER MEXICO SA FIDEICOMISO F"/>
    <x v="0"/>
    <s v="NORMAL"/>
    <s v="MXN"/>
    <n v="57965254"/>
    <n v="3.3967719999999999"/>
    <n v="196894751.760088"/>
    <n v="3.23347832220316"/>
    <n v="9465359.5100880004"/>
    <n v="0"/>
    <n v="0"/>
    <n v="0"/>
    <n v="0"/>
    <n v="57965254"/>
    <n v="196894751.760088"/>
    <s v="EPER"/>
    <n v="7414000005"/>
  </r>
  <r>
    <x v="162"/>
    <s v="CASA LEY SAPI DE CV"/>
    <x v="0"/>
    <s v="NORMAL"/>
    <s v="MXN"/>
    <n v="450176"/>
    <n v="3.3967719999999999"/>
    <n v="1529145.231872"/>
    <n v="3.3304544666974696"/>
    <n v="29854.561871999998"/>
    <n v="0"/>
    <n v="0"/>
    <n v="0"/>
    <n v="0"/>
    <n v="450176"/>
    <n v="1529145.231872"/>
    <s v="EPER"/>
    <n v="7414000005"/>
  </r>
  <r>
    <x v="163"/>
    <s v="CASA LEY SAPI DE CV"/>
    <x v="0"/>
    <s v="NORMAL"/>
    <s v="MXN"/>
    <n v="28406006"/>
    <n v="3.3967719999999999"/>
    <n v="96488725.812631994"/>
    <n v="2.601587642768223"/>
    <n v="22588011.622632001"/>
    <n v="0"/>
    <n v="0"/>
    <n v="0"/>
    <n v="0"/>
    <n v="28406006"/>
    <n v="96488725.812631994"/>
    <s v="EPER"/>
    <n v="7414000005"/>
  </r>
  <r>
    <x v="164"/>
    <s v="CASA LEY SAPI DE CV"/>
    <x v="0"/>
    <s v="NORMAL"/>
    <s v="MXN"/>
    <n v="445515"/>
    <n v="3.3967719999999999"/>
    <n v="1513312.8775800001"/>
    <n v="2.4735245502396102"/>
    <n v="411320.58757999999"/>
    <n v="0"/>
    <n v="0"/>
    <n v="0"/>
    <n v="0"/>
    <n v="445515"/>
    <n v="1513312.8775800001"/>
    <s v="EPER"/>
    <n v="7414000005"/>
  </r>
  <r>
    <x v="165"/>
    <s v="BANCO SANTANDER MEXICO SA FIDEICOMISO F2"/>
    <x v="0"/>
    <s v="NORMAL"/>
    <s v="MXN"/>
    <n v="16916396"/>
    <n v="3.3967719999999999"/>
    <n v="57461140.273712002"/>
    <n v="3.3456553180712962"/>
    <n v="864710.033712"/>
    <n v="0"/>
    <n v="0"/>
    <n v="0"/>
    <n v="0"/>
    <n v="16916396"/>
    <n v="57461140.273712002"/>
    <s v="EPER"/>
    <n v="7414000005"/>
  </r>
  <r>
    <x v="166"/>
    <s v="ARCELORMITTAL MEXICO SA DE CV"/>
    <x v="0"/>
    <s v="NORMAL"/>
    <s v="MXN"/>
    <n v="16882061"/>
    <n v="3.3967719999999999"/>
    <n v="57344512.107092001"/>
    <n v="3.3294955124258823"/>
    <n v="1135765.767092"/>
    <n v="0"/>
    <n v="0"/>
    <n v="0"/>
    <n v="0"/>
    <n v="16882061"/>
    <n v="57344512.107092001"/>
    <s v="EPER"/>
    <n v="7414000005"/>
  </r>
  <r>
    <x v="167"/>
    <s v="ARCELORMITTAL PORTUARIOS SA DE CV"/>
    <x v="0"/>
    <s v="NORMAL"/>
    <s v="MXN"/>
    <n v="64153"/>
    <n v="3.3967719999999999"/>
    <n v="217913.11411600001"/>
    <n v="3.3211028322915528"/>
    <n v="4854.4041159999997"/>
    <n v="0"/>
    <n v="0"/>
    <n v="0"/>
    <n v="0"/>
    <n v="64153"/>
    <n v="217913.11411600001"/>
    <s v="EPER"/>
    <n v="7414000005"/>
  </r>
  <r>
    <x v="168"/>
    <s v="CORPORACION DEL BALSAS SA DE CV"/>
    <x v="0"/>
    <s v="NORMAL"/>
    <s v="MXN"/>
    <n v="175118"/>
    <n v="3.3967719999999999"/>
    <n v="594835.91909600003"/>
    <n v="3.31741973983257"/>
    <n v="13896.009096"/>
    <n v="0"/>
    <n v="0"/>
    <n v="0"/>
    <n v="0"/>
    <n v="175118"/>
    <n v="594835.91909600003"/>
    <s v="EPER"/>
    <n v="7414000005"/>
  </r>
  <r>
    <x v="169"/>
    <s v="ARCELORMITTAL LAS TRUCHAS SA DE CV"/>
    <x v="0"/>
    <s v="NORMAL"/>
    <s v="MXN"/>
    <n v="376064"/>
    <n v="3.3967719999999999"/>
    <n v="1277403.6654079999"/>
    <n v="3.3285112640401633"/>
    <n v="25670.405407999999"/>
    <n v="0"/>
    <n v="0"/>
    <n v="0"/>
    <n v="0"/>
    <n v="376064"/>
    <n v="1277403.6654079999"/>
    <s v="EPER"/>
    <n v="7414000005"/>
  </r>
  <r>
    <x v="170"/>
    <s v="COMERCIAL CITY FRESKO S DE RL DE CV"/>
    <x v="0"/>
    <s v="NORMAL"/>
    <s v="MXN"/>
    <n v="2498775"/>
    <n v="3.3967719999999999"/>
    <n v="8487768.9542999994"/>
    <n v="3.3423505997938991"/>
    <n v="135986.83429999999"/>
    <n v="0"/>
    <n v="0"/>
    <n v="0"/>
    <n v="0"/>
    <n v="2498775"/>
    <n v="8487768.9542999994"/>
    <s v="EPER"/>
    <n v="7414000005"/>
  </r>
  <r>
    <x v="171"/>
    <s v="COMERCIAL CITY FRESKO S DE RL DE CV"/>
    <x v="0"/>
    <s v="NORMAL"/>
    <s v="MXN"/>
    <n v="48461742"/>
    <n v="3.3967719999999999"/>
    <n v="164613488.29682401"/>
    <n v="3.3139702411027652"/>
    <n v="4012717.476824"/>
    <n v="0"/>
    <n v="0"/>
    <n v="0"/>
    <n v="0"/>
    <n v="48461742"/>
    <n v="164613488.29682401"/>
    <s v="EPER"/>
    <n v="7414000005"/>
  </r>
  <r>
    <x v="172"/>
    <s v="COMERCIAL CITY FRESKO S DE RL DE CV"/>
    <x v="0"/>
    <s v="NORMAL"/>
    <s v="MXN"/>
    <n v="1810947"/>
    <n v="3.3967719999999999"/>
    <n v="6151374.0630839998"/>
    <n v="3.3214509811717297"/>
    <n v="136402.37308399999"/>
    <n v="0"/>
    <n v="0"/>
    <n v="0"/>
    <n v="0"/>
    <n v="1810947"/>
    <n v="6151374.0630839998"/>
    <s v="EPER"/>
    <n v="7414000005"/>
  </r>
  <r>
    <x v="173"/>
    <s v="COMERCIAL CITY FRESKO S DE RL DE CV"/>
    <x v="0"/>
    <s v="NORMAL"/>
    <s v="MXN"/>
    <n v="1974510"/>
    <n v="3.3967719999999999"/>
    <n v="6706960.2817200003"/>
    <n v="3.2991268213379521"/>
    <n v="192801.38172"/>
    <n v="0"/>
    <n v="0"/>
    <n v="0"/>
    <n v="0"/>
    <n v="1974510"/>
    <n v="6706960.2817200003"/>
    <s v="EPER"/>
    <n v="7414000005"/>
  </r>
  <r>
    <x v="1"/>
    <s v="CONTROLADORA MABE SA DE CV"/>
    <x v="173"/>
    <s v="NORMAL"/>
    <s v="USD"/>
    <n v="600"/>
    <n v="16601.967289"/>
    <n v="9961180.3734000009"/>
    <n v="21701.96"/>
    <n v="-3059995.6266000001"/>
    <n v="0"/>
    <n v="0"/>
    <n v="0"/>
    <n v="0"/>
    <n v="600"/>
    <n v="9961180.3734000009"/>
    <s v="EPER"/>
    <n v="7414000005"/>
  </r>
  <r>
    <x v="1"/>
    <s v="CONTROLADORA MABE SA DE CV"/>
    <x v="174"/>
    <s v="NORMAL"/>
    <s v="USD"/>
    <n v="253805"/>
    <n v="15.408367"/>
    <n v="3910720.5864349999"/>
    <n v="20.56"/>
    <n v="-1307510.2135650001"/>
    <n v="0"/>
    <n v="0"/>
    <n v="0"/>
    <n v="0"/>
    <n v="253805"/>
    <n v="3910720.5864349999"/>
    <s v="EPER"/>
    <n v="7414000005"/>
  </r>
  <r>
    <x v="174"/>
    <s v="ASEGURADORA ASERTA SA DE CV"/>
    <x v="66"/>
    <s v="NORMAL"/>
    <s v="USD"/>
    <n v="0"/>
    <n v="0"/>
    <n v="8938949.8599999994"/>
    <n v="0"/>
    <n v="0"/>
    <n v="0"/>
    <n v="0"/>
    <n v="0"/>
    <n v="0"/>
    <n v="0"/>
    <n v="8938949.8599999994"/>
    <s v="EPER"/>
    <n v="7414000005"/>
  </r>
  <r>
    <x v="175"/>
    <s v="BANCO SANTANDER MEXICO FIDEICOMISO F/2001815 5"/>
    <x v="66"/>
    <s v="NORMAL"/>
    <s v="USD"/>
    <n v="0"/>
    <n v="0"/>
    <n v="30469637.100000001"/>
    <n v="0"/>
    <n v="0"/>
    <n v="0"/>
    <n v="0"/>
    <n v="0"/>
    <n v="0"/>
    <n v="0"/>
    <n v="30469637.100000001"/>
    <s v="EPER"/>
    <n v="7414000005"/>
  </r>
  <r>
    <x v="176"/>
    <s v="BANCO SANTANDER MEXICO FIDEICOMISO F/2001815 6"/>
    <x v="66"/>
    <s v="NORMAL"/>
    <s v="USD"/>
    <n v="0"/>
    <n v="0"/>
    <n v="2673834.7000000002"/>
    <n v="0"/>
    <n v="0"/>
    <n v="0"/>
    <n v="0"/>
    <n v="0"/>
    <n v="0"/>
    <n v="0"/>
    <n v="2673834.7000000002"/>
    <s v="EPER"/>
    <n v="7414000005"/>
  </r>
  <r>
    <x v="177"/>
    <s v="ASEGURADORA INSURGENTES SA DE CV"/>
    <x v="66"/>
    <s v="NORMAL"/>
    <s v="USD"/>
    <n v="0"/>
    <n v="0"/>
    <n v="4309.26"/>
    <n v="0"/>
    <n v="0"/>
    <n v="0"/>
    <n v="0"/>
    <n v="0"/>
    <n v="0"/>
    <n v="0"/>
    <n v="4309.26"/>
    <s v="EPER"/>
    <n v="7414000005"/>
  </r>
  <r>
    <x v="178"/>
    <s v="ASEGURADORA ASERTA SA DE CV"/>
    <x v="66"/>
    <s v="NORMAL"/>
    <s v="USD"/>
    <n v="0"/>
    <n v="0"/>
    <n v="59838.68"/>
    <n v="0"/>
    <n v="0"/>
    <n v="0"/>
    <n v="0"/>
    <n v="0"/>
    <n v="0"/>
    <n v="0"/>
    <n v="59838.68"/>
    <s v="EPER"/>
    <n v="7414000005"/>
  </r>
  <r>
    <x v="179"/>
    <s v="ASEGURADORA ASERTA SA DE CV"/>
    <x v="66"/>
    <s v="NORMAL"/>
    <s v="USD"/>
    <n v="0"/>
    <n v="0"/>
    <n v="2957355.92"/>
    <n v="0"/>
    <n v="0"/>
    <n v="0"/>
    <n v="0"/>
    <n v="0"/>
    <n v="0"/>
    <n v="0"/>
    <n v="2957355.92"/>
    <s v="EPER"/>
    <n v="7414000005"/>
  </r>
  <r>
    <x v="180"/>
    <s v="ASEGURADORA INSURGENTES SA DE CV"/>
    <x v="66"/>
    <s v="NORMAL"/>
    <s v="USD"/>
    <n v="0"/>
    <n v="0"/>
    <n v="1058388.8999999999"/>
    <n v="0"/>
    <n v="0"/>
    <n v="0"/>
    <n v="0"/>
    <n v="0"/>
    <n v="0"/>
    <n v="0"/>
    <n v="1058388.8999999999"/>
    <s v="EPER"/>
    <n v="7414000005"/>
  </r>
  <r>
    <x v="181"/>
    <s v="ASEGURADORA INSURGENTES SA DE CV"/>
    <x v="66"/>
    <s v="NORMAL"/>
    <s v="USD"/>
    <n v="0"/>
    <n v="0"/>
    <n v="208796.14"/>
    <n v="0"/>
    <n v="0"/>
    <n v="0"/>
    <n v="0"/>
    <n v="0"/>
    <n v="0"/>
    <n v="0"/>
    <n v="208796.14"/>
    <s v="EPER"/>
    <n v="7414000005"/>
  </r>
  <r>
    <x v="182"/>
    <s v="SCOTIABANK INVERLAT, S.A. FID. 11032679  (FDO. DE PENS. PMI)"/>
    <x v="175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76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77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78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79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80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08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81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10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82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14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16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17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51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183"/>
    <s v="BCO. SANTANDER ( MEXICO ) FIDEICOMISO F/ 2112257-3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183"/>
    <s v="BCO. SANTANDER ( MEXICO ) FIDEICOMISO F/ 2112257-3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183"/>
    <s v="BCO. SANTANDER ( MEXICO ) FIDEICOMISO F/ 2112257-3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184"/>
    <s v="GESBAN MEXICO SERVICIOS ADMINISTRATIVOS GLOBALES SA CV CAJA DE AHORRO"/>
    <x v="75"/>
    <s v="NORMAL"/>
    <s v="MXN"/>
    <n v="2061"/>
    <n v="3.612981"/>
    <n v="7446.3538410000001"/>
    <n v="3.6055361475012129"/>
    <n v="15.343840999999999"/>
    <n v="0"/>
    <n v="0"/>
    <n v="0"/>
    <n v="0"/>
    <n v="2061"/>
    <n v="7446.3538410000001"/>
    <s v="EPER"/>
    <n v="7414000005"/>
  </r>
  <r>
    <x v="184"/>
    <s v="GESBAN MEXICO SERVICIOS ADMINISTRATIVOS GLOBALES SA CV CAJA DE AHORRO"/>
    <x v="79"/>
    <s v="NORMAL"/>
    <s v="MXN"/>
    <n v="1741"/>
    <n v="2.8149250000000001"/>
    <n v="4900.7844249999998"/>
    <n v="2.8372429638139001"/>
    <n v="-38.855575000000002"/>
    <n v="0"/>
    <n v="0"/>
    <n v="0"/>
    <n v="0"/>
    <n v="1741"/>
    <n v="4900.7844249999998"/>
    <s v="EPER"/>
    <n v="7414000005"/>
  </r>
  <r>
    <x v="185"/>
    <s v="GESBAN MEXICO SERVICIOS ADMINISTRATIVOS GLOBALES SA DE CV FDO PENS CD"/>
    <x v="75"/>
    <s v="NORMAL"/>
    <s v="MXN"/>
    <n v="20082"/>
    <n v="3.612981"/>
    <n v="72555.884441999995"/>
    <n v="3.6043003684891941"/>
    <n v="174.324442"/>
    <n v="0"/>
    <n v="0"/>
    <n v="0"/>
    <n v="0"/>
    <n v="20082"/>
    <n v="72555.884441999995"/>
    <s v="EPER"/>
    <n v="7414000005"/>
  </r>
  <r>
    <x v="185"/>
    <s v="GESBAN MEXICO SERVICIOS ADMINISTRATIVOS GLOBALES SA DE CV FDO PENS CD"/>
    <x v="76"/>
    <s v="NORMAL"/>
    <s v="MXN"/>
    <n v="38519"/>
    <n v="137.04691399999999"/>
    <n v="5278910.0803659996"/>
    <n v="119.20162465276876"/>
    <n v="687382.70036599995"/>
    <n v="0"/>
    <n v="0"/>
    <n v="0"/>
    <n v="0"/>
    <n v="38519"/>
    <n v="5278910.0803659996"/>
    <s v="EPER"/>
    <n v="7414000005"/>
  </r>
  <r>
    <x v="185"/>
    <s v="GESBAN MEXICO SERVICIOS ADMINISTRATIVOS GLOBALES SA DE CV FDO PENS CD"/>
    <x v="77"/>
    <s v="NORMAL"/>
    <s v="MXN"/>
    <n v="1960672"/>
    <n v="3.6364960000000002"/>
    <n v="7129975.8853120003"/>
    <n v="3.0051340614850419"/>
    <n v="1237893.6747119999"/>
    <n v="0"/>
    <n v="0"/>
    <n v="0"/>
    <n v="0"/>
    <n v="1960672"/>
    <n v="7129975.8853120003"/>
    <s v="EPER"/>
    <n v="7414000005"/>
  </r>
  <r>
    <x v="185"/>
    <s v="GESBAN MEXICO SERVICIOS ADMINISTRATIVOS GLOBALES SA DE CV FDO PENS CD"/>
    <x v="78"/>
    <s v="NORMAL"/>
    <s v="MXN"/>
    <n v="10838422"/>
    <n v="2.1315040000000001"/>
    <n v="23102139.846687999"/>
    <n v="1.5000867578693651"/>
    <n v="6843566.5282880003"/>
    <n v="0"/>
    <n v="0"/>
    <n v="0"/>
    <n v="0"/>
    <n v="10838422"/>
    <n v="23102139.846687999"/>
    <s v="EPER"/>
    <n v="7414000005"/>
  </r>
  <r>
    <x v="185"/>
    <s v="GESBAN MEXICO SERVICIOS ADMINISTRATIVOS GLOBALES SA DE CV FDO PENS CD"/>
    <x v="79"/>
    <s v="NORMAL"/>
    <s v="MXN"/>
    <n v="263563"/>
    <n v="2.8149250000000001"/>
    <n v="741910.07777500001"/>
    <n v="2.6900590371182602"/>
    <n v="32910.047774999999"/>
    <n v="0"/>
    <n v="0"/>
    <n v="0"/>
    <n v="0"/>
    <n v="263563"/>
    <n v="741910.07777500001"/>
    <s v="EPER"/>
    <n v="7414000005"/>
  </r>
  <r>
    <x v="186"/>
    <s v="BANCO SANTANDER MEXICO FIDEICOMISO F/2000712 2"/>
    <x v="75"/>
    <s v="NORMAL"/>
    <s v="MXN"/>
    <n v="1599852"/>
    <n v="3.612981"/>
    <n v="5780234.8788120002"/>
    <n v="3.6018284378805041"/>
    <n v="17842.448811999999"/>
    <n v="0"/>
    <n v="0"/>
    <n v="0"/>
    <n v="0"/>
    <n v="1599852"/>
    <n v="5780234.8788120002"/>
    <s v="EPER"/>
    <n v="7414000005"/>
  </r>
  <r>
    <x v="186"/>
    <s v="BANCO SANTANDER MEXICO FIDEICOMISO F/2000712 2"/>
    <x v="77"/>
    <s v="NORMAL"/>
    <s v="MXN"/>
    <n v="252109277"/>
    <n v="3.6364960000000002"/>
    <n v="916794377.37339199"/>
    <n v="2.9731525374213024"/>
    <n v="167235040.75339201"/>
    <n v="0"/>
    <n v="0"/>
    <n v="0"/>
    <n v="0"/>
    <n v="252109277"/>
    <n v="916794377.37339199"/>
    <s v="EPER"/>
    <n v="7414000005"/>
  </r>
  <r>
    <x v="187"/>
    <s v="BANCO SANTANDER MEXICO FIDEICOMISO F/2000712 3"/>
    <x v="75"/>
    <s v="NORMAL"/>
    <s v="MXN"/>
    <n v="464463"/>
    <n v="3.612981"/>
    <n v="1678095.9942030001"/>
    <n v="3.6024266518538615"/>
    <n v="4902.1042029999999"/>
    <n v="0"/>
    <n v="0"/>
    <n v="0"/>
    <n v="0"/>
    <n v="464463"/>
    <n v="1678095.9942030001"/>
    <s v="EPER"/>
    <n v="7414000005"/>
  </r>
  <r>
    <x v="187"/>
    <s v="BANCO SANTANDER MEXICO FIDEICOMISO F/2000712 3"/>
    <x v="78"/>
    <s v="NORMAL"/>
    <s v="MXN"/>
    <n v="123442237"/>
    <n v="2.1315040000000001"/>
    <n v="263117621.934448"/>
    <n v="1.9068421608399724"/>
    <n v="27732759.994447999"/>
    <n v="0"/>
    <n v="0"/>
    <n v="0"/>
    <n v="0"/>
    <n v="123442237"/>
    <n v="263117621.934448"/>
    <s v="EPER"/>
    <n v="7414000005"/>
  </r>
  <r>
    <x v="188"/>
    <s v="BANCO SANTANDER MEXICO FIDEICOMISO F/2000712 4"/>
    <x v="75"/>
    <s v="NORMAL"/>
    <s v="MXN"/>
    <n v="182031"/>
    <n v="3.612981"/>
    <n v="657674.54441099998"/>
    <n v="3.6061048942213141"/>
    <n v="1251.664411"/>
    <n v="0"/>
    <n v="0"/>
    <n v="0"/>
    <n v="0"/>
    <n v="182031"/>
    <n v="657674.54441099998"/>
    <s v="EPER"/>
    <n v="7414000005"/>
  </r>
  <r>
    <x v="188"/>
    <s v="BANCO SANTANDER MEXICO FIDEICOMISO F/2000712 4"/>
    <x v="79"/>
    <s v="NORMAL"/>
    <s v="MXN"/>
    <n v="55059379"/>
    <n v="2.8149250000000001"/>
    <n v="154988022.431575"/>
    <n v="2.6229636790854469"/>
    <n v="10569271.121575"/>
    <n v="0"/>
    <n v="0"/>
    <n v="0"/>
    <n v="0"/>
    <n v="55059379"/>
    <n v="154988022.431575"/>
    <s v="EPER"/>
    <n v="7414000005"/>
  </r>
  <r>
    <x v="189"/>
    <s v="BANCO SANTANDER MEXICO FIDEICOMISO F/2000713 2"/>
    <x v="77"/>
    <s v="NORMAL"/>
    <s v="MXN"/>
    <n v="651583020"/>
    <n v="3.6364960000000002"/>
    <n v="2369479045.8979201"/>
    <n v="2.1459041310959885"/>
    <n v="971244351.52792001"/>
    <n v="0"/>
    <n v="0"/>
    <n v="0"/>
    <n v="0"/>
    <n v="651583020"/>
    <n v="2369479045.8979201"/>
    <s v="EPER"/>
    <n v="7414000005"/>
  </r>
  <r>
    <x v="190"/>
    <s v="BANCO SANTANDER MEXICO FIDEICOMISO F/2000713 3"/>
    <x v="75"/>
    <s v="NORMAL"/>
    <s v="MXN"/>
    <n v="103618"/>
    <n v="3.612981"/>
    <n v="374369.86525799998"/>
    <n v="3.5933001988071571"/>
    <n v="2039.2852580000001"/>
    <n v="0"/>
    <n v="0"/>
    <n v="0"/>
    <n v="0"/>
    <n v="103618"/>
    <n v="374369.86525799998"/>
    <s v="EPER"/>
    <n v="7414000005"/>
  </r>
  <r>
    <x v="190"/>
    <s v="BANCO SANTANDER MEXICO FIDEICOMISO F/2000713 3"/>
    <x v="78"/>
    <s v="NORMAL"/>
    <s v="MXN"/>
    <n v="314923089"/>
    <n v="2.1315040000000001"/>
    <n v="671259823.89585602"/>
    <n v="1.6281428318836286"/>
    <n v="158520053.945856"/>
    <n v="0"/>
    <n v="0"/>
    <n v="0"/>
    <n v="0"/>
    <n v="314923089"/>
    <n v="671259823.89585602"/>
    <s v="EPER"/>
    <n v="7414000005"/>
  </r>
  <r>
    <x v="191"/>
    <s v="BANCO SANTANDER MEXICO S.A. FIDEICOMISO F/2000713-4"/>
    <x v="75"/>
    <s v="NORMAL"/>
    <s v="MXN"/>
    <n v="619170"/>
    <n v="3.612981"/>
    <n v="2237049.4457700001"/>
    <n v="3.6079857228224883"/>
    <n v="3092.9257699999998"/>
    <n v="0"/>
    <n v="0"/>
    <n v="0"/>
    <n v="0"/>
    <n v="619170"/>
    <n v="2237049.4457700001"/>
    <s v="EPER"/>
    <n v="7414000005"/>
  </r>
  <r>
    <x v="191"/>
    <s v="BANCO SANTANDER MEXICO S.A. FIDEICOMISO F/2000713-4"/>
    <x v="79"/>
    <s v="NORMAL"/>
    <s v="MXN"/>
    <n v="140047631"/>
    <n v="2.8149250000000001"/>
    <n v="394223577.69267499"/>
    <n v="2.4446640054196989"/>
    <n v="51854175.142674997"/>
    <n v="0"/>
    <n v="0"/>
    <n v="0"/>
    <n v="0"/>
    <n v="140047631"/>
    <n v="394223577.69267499"/>
    <s v="EPER"/>
    <n v="7414000005"/>
  </r>
  <r>
    <x v="192"/>
    <s v="BANCO NACIONAL DE MEXICO SA FIDEICOMISO F/140021"/>
    <x v="183"/>
    <s v="NORMAL"/>
    <s v="MXN"/>
    <n v="0"/>
    <n v="0"/>
    <n v="0"/>
    <n v="0"/>
    <n v="0"/>
    <n v="0"/>
    <n v="0"/>
    <n v="0"/>
    <n v="0"/>
    <n v="0"/>
    <n v="0"/>
    <s v="EPER"/>
    <n v="7414000005"/>
  </r>
  <r>
    <x v="193"/>
    <s v="GESBAN MEXICO SERVICOS ADMINISTRATIVOS GLOBALES, SA DE CV PRIMA DE ANT"/>
    <x v="75"/>
    <s v="NORMAL"/>
    <s v="MXN"/>
    <n v="364499"/>
    <n v="3.612981"/>
    <n v="1316927.9615189999"/>
    <n v="3.5483489940987494"/>
    <n v="23558.301519000001"/>
    <n v="0"/>
    <n v="0"/>
    <n v="0"/>
    <n v="0"/>
    <n v="364499"/>
    <n v="1316927.9615189999"/>
    <s v="EPER"/>
    <n v="7414000005"/>
  </r>
  <r>
    <x v="194"/>
    <s v="ORGANIZACION FR MEXICO SA CV FDO. PENS."/>
    <x v="0"/>
    <s v="NORMAL"/>
    <s v="MXN"/>
    <n v="277356"/>
    <n v="3.3967719999999999"/>
    <n v="942115.09483199997"/>
    <n v="2.1671337919496962"/>
    <n v="341047.53483199998"/>
    <n v="0"/>
    <n v="0"/>
    <n v="0"/>
    <n v="0"/>
    <n v="277356"/>
    <n v="942115.09483199997"/>
    <s v="EPER"/>
    <n v="7414000005"/>
  </r>
  <r>
    <x v="194"/>
    <s v="ORGANIZACION FR MEXICO SA CV FDO. PENS."/>
    <x v="80"/>
    <s v="NORMAL"/>
    <s v="MXN"/>
    <n v="20088"/>
    <n v="3.8832339999999999"/>
    <n v="78006.404592000006"/>
    <n v="2.8342851453604143"/>
    <n v="21071.284592"/>
    <n v="0"/>
    <n v="0"/>
    <n v="0"/>
    <n v="0"/>
    <n v="20088"/>
    <n v="78006.404592000006"/>
    <s v="EPER"/>
    <n v="7414000005"/>
  </r>
  <r>
    <x v="195"/>
    <s v="CASA DE BOLSA, S.A. DE C.V., CAJA DE AHORRO"/>
    <x v="75"/>
    <s v="NORMAL"/>
    <s v="MXN"/>
    <n v="1844"/>
    <n v="3.612981"/>
    <n v="6662.3369640000001"/>
    <n v="3.6077331887201733"/>
    <n v="9.6769639999999999"/>
    <n v="0"/>
    <n v="0"/>
    <n v="0"/>
    <n v="0"/>
    <n v="1844"/>
    <n v="6662.3369640000001"/>
    <s v="EPER"/>
    <n v="7414000005"/>
  </r>
  <r>
    <x v="195"/>
    <s v="CASA DE BOLSA, S.A. DE C.V., CAJA DE AHORRO"/>
    <x v="76"/>
    <s v="NORMAL"/>
    <s v="MXN"/>
    <n v="4583"/>
    <n v="137.04691399999999"/>
    <n v="628086.00686199998"/>
    <n v="128.52627318350426"/>
    <n v="39050.096861999999"/>
    <n v="0"/>
    <n v="0"/>
    <n v="0"/>
    <n v="0"/>
    <n v="4583"/>
    <n v="628086.00686199998"/>
    <s v="EPER"/>
    <n v="7414000005"/>
  </r>
  <r>
    <x v="195"/>
    <s v="CASA DE BOLSA, S.A. DE C.V., CAJA DE AHORRO"/>
    <x v="77"/>
    <s v="NORMAL"/>
    <s v="MXN"/>
    <n v="315137"/>
    <n v="3.6364960000000002"/>
    <n v="1145994.439952"/>
    <n v="3.4306661547200106"/>
    <n v="64864.599951999997"/>
    <n v="0"/>
    <n v="0"/>
    <n v="0"/>
    <n v="0"/>
    <n v="315137"/>
    <n v="1145994.439952"/>
    <s v="EPER"/>
    <n v="7414000005"/>
  </r>
  <r>
    <x v="195"/>
    <s v="CASA DE BOLSA, S.A. DE C.V., CAJA DE AHORRO"/>
    <x v="78"/>
    <s v="NORMAL"/>
    <s v="MXN"/>
    <n v="144"/>
    <n v="2.1315040000000001"/>
    <n v="306.936576"/>
    <n v="2.029236111111111"/>
    <n v="14.726576"/>
    <n v="0"/>
    <n v="0"/>
    <n v="0"/>
    <n v="0"/>
    <n v="144"/>
    <n v="306.936576"/>
    <s v="EPER"/>
    <n v="7414000005"/>
  </r>
  <r>
    <x v="195"/>
    <s v="CASA DE BOLSA, S.A. DE C.V., CAJA DE AHORRO"/>
    <x v="79"/>
    <s v="NORMAL"/>
    <s v="MXN"/>
    <n v="37927"/>
    <n v="2.8149250000000001"/>
    <n v="106761.660475"/>
    <n v="2.6867529728161994"/>
    <n v="4861.1804750000001"/>
    <n v="0"/>
    <n v="0"/>
    <n v="0"/>
    <n v="0"/>
    <n v="37927"/>
    <n v="106761.660475"/>
    <s v="EPER"/>
    <n v="7414000005"/>
  </r>
  <r>
    <x v="196"/>
    <s v="CASA DE BOLSA, S.A. DE C.V., PLAN DE PENSIONES"/>
    <x v="75"/>
    <s v="NORMAL"/>
    <s v="MXN"/>
    <n v="2269"/>
    <n v="3.612981"/>
    <n v="8197.853889"/>
    <n v="3.6077302776553548"/>
    <n v="11.913888999999999"/>
    <n v="0"/>
    <n v="0"/>
    <n v="0"/>
    <n v="0"/>
    <n v="2269"/>
    <n v="8197.853889"/>
    <s v="EPER"/>
    <n v="7414000005"/>
  </r>
  <r>
    <x v="196"/>
    <s v="CASA DE BOLSA, S.A. DE C.V., PLAN DE PENSIONES"/>
    <x v="76"/>
    <s v="NORMAL"/>
    <s v="MXN"/>
    <n v="11840"/>
    <n v="137.04691399999999"/>
    <n v="1622635.4617600001"/>
    <n v="129.15627195945945"/>
    <n v="93425.201759999996"/>
    <n v="0"/>
    <n v="0"/>
    <n v="0"/>
    <n v="0"/>
    <n v="11840"/>
    <n v="1622635.4617600001"/>
    <s v="EPER"/>
    <n v="7414000005"/>
  </r>
  <r>
    <x v="196"/>
    <s v="CASA DE BOLSA, S.A. DE C.V., PLAN DE PENSIONES"/>
    <x v="77"/>
    <s v="NORMAL"/>
    <s v="MXN"/>
    <n v="713424"/>
    <n v="3.6364960000000002"/>
    <n v="2594363.5223039999"/>
    <n v="3.4416374133754961"/>
    <n v="139016.792304"/>
    <n v="0"/>
    <n v="0"/>
    <n v="0"/>
    <n v="0"/>
    <n v="713424"/>
    <n v="2594363.5223039999"/>
    <s v="EPER"/>
    <n v="7414000005"/>
  </r>
  <r>
    <x v="196"/>
    <s v="CASA DE BOLSA, S.A. DE C.V., PLAN DE PENSIONES"/>
    <x v="78"/>
    <s v="NORMAL"/>
    <s v="MXN"/>
    <n v="415"/>
    <n v="2.1315040000000001"/>
    <n v="884.57416000000001"/>
    <n v="2.0292530120481929"/>
    <n v="42.434159999999999"/>
    <n v="0"/>
    <n v="0"/>
    <n v="0"/>
    <n v="0"/>
    <n v="415"/>
    <n v="884.57416000000001"/>
    <s v="EPER"/>
    <n v="7414000005"/>
  </r>
  <r>
    <x v="196"/>
    <s v="CASA DE BOLSA, S.A. DE C.V., PLAN DE PENSIONES"/>
    <x v="79"/>
    <s v="NORMAL"/>
    <s v="MXN"/>
    <n v="77178"/>
    <n v="2.8149250000000001"/>
    <n v="217250.28164999999"/>
    <n v="2.6871612376584002"/>
    <n v="9860.5516499999994"/>
    <n v="0"/>
    <n v="0"/>
    <n v="0"/>
    <n v="0"/>
    <n v="77178"/>
    <n v="217250.28164999999"/>
    <s v="EPER"/>
    <n v="7414000005"/>
  </r>
  <r>
    <x v="197"/>
    <s v="ORGANIZACION FR MEXICO S.A DE C.V. FDO. PENS. CD"/>
    <x v="0"/>
    <s v="NORMAL"/>
    <s v="MXN"/>
    <n v="5347049"/>
    <n v="3.3967719999999999"/>
    <n v="18162706.325828001"/>
    <n v="2.9602450753677401"/>
    <n v="2334130.8558280002"/>
    <n v="0"/>
    <n v="0"/>
    <n v="0"/>
    <n v="0"/>
    <n v="5347049"/>
    <n v="18162706.325828001"/>
    <s v="EPER"/>
    <n v="7414000005"/>
  </r>
  <r>
    <x v="197"/>
    <s v="ORGANIZACION FR MEXICO S.A DE C.V. FDO. PENS. CD"/>
    <x v="80"/>
    <s v="NORMAL"/>
    <s v="MXN"/>
    <n v="1365476"/>
    <n v="3.8832339999999999"/>
    <n v="5302462.829384"/>
    <n v="2.8560632336269549"/>
    <n v="1402577.029384"/>
    <n v="0"/>
    <n v="0"/>
    <n v="0"/>
    <n v="0"/>
    <n v="1365476"/>
    <n v="5302462.829384"/>
    <s v="EPER"/>
    <n v="7414000005"/>
  </r>
  <r>
    <x v="197"/>
    <s v="ORGANIZACION FR MEXICO S.A DE C.V. FDO. PENS. CD"/>
    <x v="64"/>
    <s v="NORMAL"/>
    <s v="MXN"/>
    <n v="4145611"/>
    <n v="2.7668819999999998"/>
    <n v="11470416.454902001"/>
    <n v="2.3501809986513447"/>
    <n v="1727480.2549020001"/>
    <n v="0"/>
    <n v="0"/>
    <n v="0"/>
    <n v="0"/>
    <n v="4145611"/>
    <n v="11470416.454902001"/>
    <s v="EPER"/>
    <n v="7414000005"/>
  </r>
  <r>
    <x v="197"/>
    <s v="ORGANIZACION FR MEXICO S.A DE C.V. FDO. PENS. CD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198"/>
    <s v="ORGANIZACION FR MEXICO S.A DE C.V. (N/SIND) FDO. AHORRO"/>
    <x v="90"/>
    <s v="NORMAL"/>
    <s v="MXN"/>
    <n v="6734701"/>
    <n v="3.4005040000000002"/>
    <n v="22901377.689304002"/>
    <n v="3.3474759651542065"/>
    <n v="357127.95930400002"/>
    <n v="0"/>
    <n v="0"/>
    <n v="0"/>
    <n v="0"/>
    <n v="6734701"/>
    <n v="22901377.689304002"/>
    <s v="EPER"/>
    <n v="7414000005"/>
  </r>
  <r>
    <x v="199"/>
    <s v="BANCO SANTANDER MEXICO S.A. FIDEICOMISO F/2001896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199"/>
    <s v="BANCO SANTANDER MEXICO S.A. FIDEICOMISO F/2001896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199"/>
    <s v="BANCO SANTANDER MEXICO S.A. FIDEICOMISO F/2001896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00"/>
    <s v="LAFON LAUNAY COSMETICS SA DE CV"/>
    <x v="154"/>
    <s v="NORMAL"/>
    <s v="MXN"/>
    <n v="125"/>
    <n v="3.4985729999999999"/>
    <n v="437.32162499999998"/>
    <n v="3.4843999999999999"/>
    <n v="1.771625"/>
    <n v="0"/>
    <n v="0"/>
    <n v="0"/>
    <n v="0"/>
    <n v="125"/>
    <n v="437.32162499999998"/>
    <s v="EPER"/>
    <n v="7414000005"/>
  </r>
  <r>
    <x v="201"/>
    <s v="BANCO SANTANDER MEXICO FIDEICOMISO F/2002126-1"/>
    <x v="0"/>
    <s v="NORMAL"/>
    <s v="MXN"/>
    <n v="4564664"/>
    <n v="3.3967719999999999"/>
    <n v="15505122.864607999"/>
    <n v="1.9208847157205875"/>
    <n v="6736929.5546080004"/>
    <n v="0"/>
    <n v="0"/>
    <n v="0"/>
    <n v="0"/>
    <n v="4564664"/>
    <n v="15505122.864607999"/>
    <s v="EPER"/>
    <n v="7414000005"/>
  </r>
  <r>
    <x v="202"/>
    <s v="SERVICIO PAN AMERICANO DE PROTECCION, S.A. DE C.V. (FONDO DE AHORRO)"/>
    <x v="74"/>
    <s v="NORMAL"/>
    <s v="MXN"/>
    <n v="4515059"/>
    <n v="3.568238"/>
    <n v="16110805.096042"/>
    <n v="3.517068255364991"/>
    <n v="231034.416042"/>
    <n v="0"/>
    <n v="0"/>
    <n v="0"/>
    <n v="0"/>
    <n v="4515059"/>
    <n v="16110805.096042"/>
    <s v="EPER"/>
    <n v="7414000005"/>
  </r>
  <r>
    <x v="203"/>
    <s v="SUPERMERCADOS INTERNACIONALES HEB. S.A. DE C.V"/>
    <x v="0"/>
    <s v="NORMAL"/>
    <s v="MXN"/>
    <n v="2428"/>
    <n v="3.3967719999999999"/>
    <n v="8247.3624159999999"/>
    <n v="3.3638632619439868"/>
    <n v="79.902416000000002"/>
    <n v="0"/>
    <n v="0"/>
    <n v="0"/>
    <n v="0"/>
    <n v="2428"/>
    <n v="8247.3624159999999"/>
    <s v="EPER"/>
    <n v="7414000005"/>
  </r>
  <r>
    <x v="203"/>
    <s v="SUPERMERCADOS INTERNACIONALES HEB. S.A. DE C.V"/>
    <x v="184"/>
    <s v="NORMAL"/>
    <s v="MXN"/>
    <n v="45836"/>
    <n v="136.12787299999999"/>
    <n v="6239557.1868279995"/>
    <n v="105.27408194432324"/>
    <n v="1414214.3668279999"/>
    <n v="0"/>
    <n v="0"/>
    <n v="0"/>
    <n v="0"/>
    <n v="45836"/>
    <n v="6239557.1868279995"/>
    <s v="EPER"/>
    <n v="7414000005"/>
  </r>
  <r>
    <x v="204"/>
    <s v="SUPERMERCADOS INTERNACIONALES HEB. S.A. DE C.V"/>
    <x v="0"/>
    <s v="NORMAL"/>
    <s v="MXN"/>
    <n v="16768"/>
    <n v="3.3967719999999999"/>
    <n v="56957.072895999998"/>
    <n v="3.3640821803435115"/>
    <n v="548.14289599999995"/>
    <n v="0"/>
    <n v="0"/>
    <n v="0"/>
    <n v="0"/>
    <n v="16768"/>
    <n v="56957.072895999998"/>
    <s v="EPER"/>
    <n v="7414000005"/>
  </r>
  <r>
    <x v="204"/>
    <s v="SUPERMERCADOS INTERNACIONALES HEB. S.A. DE C.V"/>
    <x v="153"/>
    <s v="NORMAL"/>
    <s v="MXN"/>
    <n v="7621745"/>
    <n v="3.6141489999999998"/>
    <n v="27546122.070005"/>
    <n v="2.7274093517954223"/>
    <n v="6758503.4800049998"/>
    <n v="0"/>
    <n v="0"/>
    <n v="0"/>
    <n v="0"/>
    <n v="7621745"/>
    <n v="27546122.070005"/>
    <s v="EPER"/>
    <n v="7414000005"/>
  </r>
  <r>
    <x v="205"/>
    <s v="SUPERMERCADOS INTERNACIONALES HEB. S.A. DE C.V"/>
    <x v="0"/>
    <s v="NORMAL"/>
    <s v="MXN"/>
    <n v="10044"/>
    <n v="3.3967719999999999"/>
    <n v="34117.177968000004"/>
    <n v="3.3698855037833533"/>
    <n v="270.04796800000003"/>
    <n v="0"/>
    <n v="0"/>
    <n v="0"/>
    <n v="0"/>
    <n v="10044"/>
    <n v="34117.177968000004"/>
    <s v="EPER"/>
    <n v="7414000005"/>
  </r>
  <r>
    <x v="205"/>
    <s v="SUPERMERCADOS INTERNACIONALES HEB. S.A. DE C.V"/>
    <x v="83"/>
    <s v="NORMAL"/>
    <s v="MXN"/>
    <n v="3708375"/>
    <n v="2.106938"/>
    <n v="7813316.2057499997"/>
    <n v="1.7795293652880304"/>
    <n v="1214153.99575"/>
    <n v="0"/>
    <n v="0"/>
    <n v="0"/>
    <n v="0"/>
    <n v="3708375"/>
    <n v="7813316.2057499997"/>
    <s v="EPER"/>
    <n v="7414000005"/>
  </r>
  <r>
    <x v="206"/>
    <s v="SUPERMERCADOS INTERNACIONALES HEB. S.A. DE C.V"/>
    <x v="0"/>
    <s v="NORMAL"/>
    <s v="MXN"/>
    <n v="76238"/>
    <n v="3.3967719999999999"/>
    <n v="258963.10373599999"/>
    <n v="3.3641840027282983"/>
    <n v="2484.4437360000002"/>
    <n v="0"/>
    <n v="0"/>
    <n v="0"/>
    <n v="0"/>
    <n v="76238"/>
    <n v="258963.10373599999"/>
    <s v="EPER"/>
    <n v="7414000005"/>
  </r>
  <r>
    <x v="206"/>
    <s v="SUPERMERCADOS INTERNACIONALES HEB. S.A. DE C.V"/>
    <x v="157"/>
    <s v="NORMAL"/>
    <s v="MXN"/>
    <n v="22007941"/>
    <n v="2.7842250000000002"/>
    <n v="61275059.530725002"/>
    <n v="2.1991865068158809"/>
    <n v="12875492.640725"/>
    <n v="0"/>
    <n v="0"/>
    <n v="0"/>
    <n v="0"/>
    <n v="22007941"/>
    <n v="61275059.530725002"/>
    <s v="EPER"/>
    <n v="7414000005"/>
  </r>
  <r>
    <x v="207"/>
    <s v="SERVICIO PAN AMERICANO DE PROTECCION SA DE CV (FDO. DE PENSIONES B.D.)"/>
    <x v="5"/>
    <s v="NORMAL"/>
    <s v="MXN"/>
    <n v="39"/>
    <n v="1786.5"/>
    <n v="69673.5"/>
    <n v="1284.6120512820512"/>
    <n v="35652.129999999997"/>
    <n v="-9"/>
    <n v="-16236.36"/>
    <n v="0"/>
    <n v="0"/>
    <n v="30"/>
    <n v="53437.14"/>
    <s v="EPER"/>
    <n v="7414000005"/>
  </r>
  <r>
    <x v="207"/>
    <s v="SERVICIO PAN AMERICANO DE PROTECCION SA DE CV (FDO. DE PENSIONES B.D.)"/>
    <x v="130"/>
    <s v="NORMAL"/>
    <s v="MXN"/>
    <n v="46600"/>
    <n v="4.5848760000000004"/>
    <n v="213655.22159999999"/>
    <n v="2.907045278969957"/>
    <n v="137790.2996"/>
    <n v="-13000"/>
    <n v="-59603.39"/>
    <n v="0"/>
    <n v="0"/>
    <n v="33600"/>
    <n v="154051.8316"/>
    <s v="EPER"/>
    <n v="7414000005"/>
  </r>
  <r>
    <x v="207"/>
    <s v="SERVICIO PAN AMERICANO DE PROTECCION SA DE CV (FDO. DE PENSIONES B.D.)"/>
    <x v="0"/>
    <s v="NORMAL"/>
    <s v="MXN"/>
    <n v="97953"/>
    <n v="3.3967719999999999"/>
    <n v="332724.00771600002"/>
    <n v="3.3027279409512724"/>
    <n v="9211.8977159999995"/>
    <n v="0"/>
    <n v="0"/>
    <n v="0"/>
    <n v="0"/>
    <n v="97953"/>
    <n v="332724.00771600002"/>
    <s v="EPER"/>
    <n v="7414000005"/>
  </r>
  <r>
    <x v="207"/>
    <s v="SERVICIO PAN AMERICANO DE PROTECCION SA DE CV (FDO. DE PENSIONES B.D.)"/>
    <x v="64"/>
    <s v="NORMAL"/>
    <s v="MXN"/>
    <n v="275534"/>
    <n v="2.7668819999999998"/>
    <n v="762370.06498799997"/>
    <n v="2.3636919944544048"/>
    <n v="111092.554988"/>
    <n v="0"/>
    <n v="0"/>
    <n v="0"/>
    <n v="0"/>
    <n v="275534"/>
    <n v="762370.06498799997"/>
    <s v="EPER"/>
    <n v="7414000005"/>
  </r>
  <r>
    <x v="208"/>
    <s v="SERVICIO PAN AMERICANO DE PROTECCION SA DE CV (FDO. DE PENSIONES C.D)"/>
    <x v="5"/>
    <s v="NORMAL"/>
    <s v="MXN"/>
    <n v="540"/>
    <n v="1786.5"/>
    <n v="964710"/>
    <n v="1601.684074074074"/>
    <n v="99800.6"/>
    <n v="0"/>
    <n v="0"/>
    <n v="0"/>
    <n v="0"/>
    <n v="540"/>
    <n v="964710"/>
    <s v="EPER"/>
    <n v="7414000005"/>
  </r>
  <r>
    <x v="208"/>
    <s v="SERVICIO PAN AMERICANO DE PROTECCION SA DE CV (FDO. DE PENSIONES C.D)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208"/>
    <s v="SERVICIO PAN AMERICANO DE PROTECCION SA DE CV (FDO. DE PENSIONES C.D)"/>
    <x v="130"/>
    <s v="NORMAL"/>
    <s v="MXN"/>
    <n v="630000"/>
    <n v="4.5848760000000004"/>
    <n v="2888471.88"/>
    <n v="4.1732759047619048"/>
    <n v="259308.06"/>
    <n v="0"/>
    <n v="0"/>
    <n v="0"/>
    <n v="0"/>
    <n v="630000"/>
    <n v="2888471.88"/>
    <s v="EPER"/>
    <n v="7414000005"/>
  </r>
  <r>
    <x v="208"/>
    <s v="SERVICIO PAN AMERICANO DE PROTECCION SA DE CV (FDO. DE PENSIONES C.D)"/>
    <x v="0"/>
    <s v="NORMAL"/>
    <s v="MXN"/>
    <n v="2936052"/>
    <n v="3.3967719999999999"/>
    <n v="9973099.2241440006"/>
    <n v="2.8612265484398778"/>
    <n v="1572389.2941439999"/>
    <n v="0"/>
    <n v="0"/>
    <n v="0"/>
    <n v="0"/>
    <n v="2936052"/>
    <n v="9973099.2241440006"/>
    <s v="EPER"/>
    <n v="7414000005"/>
  </r>
  <r>
    <x v="208"/>
    <s v="SERVICIO PAN AMERICANO DE PROTECCION SA DE CV (FDO. DE PENSIONES C.D)"/>
    <x v="64"/>
    <s v="NORMAL"/>
    <s v="MXN"/>
    <n v="4048811"/>
    <n v="2.7668819999999998"/>
    <n v="11202582.277302001"/>
    <n v="2.3636919999476391"/>
    <n v="1632440.107302"/>
    <n v="0"/>
    <n v="0"/>
    <n v="0"/>
    <n v="0"/>
    <n v="4048811"/>
    <n v="11202582.277302001"/>
    <s v="EPER"/>
    <n v="7414000005"/>
  </r>
  <r>
    <x v="209"/>
    <s v="OASIS SOUTH, S. DE R.L. DE C.V. FONDO DE AHORRO"/>
    <x v="154"/>
    <s v="NORMAL"/>
    <s v="MXN"/>
    <n v="6680"/>
    <n v="3.4985729999999999"/>
    <n v="23370.467639999999"/>
    <n v="3.4544176646706588"/>
    <n v="294.95764000000003"/>
    <n v="0"/>
    <n v="0"/>
    <n v="0"/>
    <n v="0"/>
    <n v="6680"/>
    <n v="23370.467639999999"/>
    <s v="EPER"/>
    <n v="7414000005"/>
  </r>
  <r>
    <x v="210"/>
    <s v="CA EMP EJEC Y ADM SERVICIO PAN AMERICANO DE PROTECCION, A.C."/>
    <x v="74"/>
    <s v="NORMAL"/>
    <s v="MXN"/>
    <n v="1262506"/>
    <n v="3.568238"/>
    <n v="4504921.8844280001"/>
    <n v="3.5194257373826341"/>
    <n v="61625.774427999997"/>
    <n v="0"/>
    <n v="0"/>
    <n v="0"/>
    <n v="0"/>
    <n v="1262506"/>
    <n v="4504921.8844280001"/>
    <s v="EPER"/>
    <n v="7414000005"/>
  </r>
  <r>
    <x v="211"/>
    <s v="SERVICIO PAN AMERICANO DE PROTECCION SA DE CV (F.A. PER SIND)"/>
    <x v="74"/>
    <s v="NORMAL"/>
    <s v="MXN"/>
    <n v="1084620"/>
    <n v="3.568238"/>
    <n v="3870182.2995600002"/>
    <n v="3.5339675185779353"/>
    <n v="37170.449560000001"/>
    <n v="0"/>
    <n v="0"/>
    <n v="0"/>
    <n v="0"/>
    <n v="1084620"/>
    <n v="3870182.2995600002"/>
    <s v="EPER"/>
    <n v="7414000005"/>
  </r>
  <r>
    <x v="212"/>
    <s v="BM CONTROL Y ADMON DE PERSONAL SA DE CV (FDO DE AHORRO)"/>
    <x v="74"/>
    <s v="NORMAL"/>
    <s v="MXN"/>
    <n v="42"/>
    <n v="3.568238"/>
    <n v="149.865996"/>
    <n v="3.5033333333333334"/>
    <n v="2.7259959999999999"/>
    <n v="0"/>
    <n v="0"/>
    <n v="0"/>
    <n v="0"/>
    <n v="42"/>
    <n v="149.865996"/>
    <s v="EPER"/>
    <n v="7414000005"/>
  </r>
  <r>
    <x v="213"/>
    <s v="OASIS LATINOAMERICA S DE RL DE CV (FONDO DE AHORRO)"/>
    <x v="154"/>
    <s v="NORMAL"/>
    <s v="MXN"/>
    <n v="1403655"/>
    <n v="3.4985729999999999"/>
    <n v="4910789.4843149995"/>
    <n v="3.4525532556076812"/>
    <n v="64595.844315000002"/>
    <n v="0"/>
    <n v="0"/>
    <n v="0"/>
    <n v="0"/>
    <n v="1403655"/>
    <n v="4910789.4843149995"/>
    <s v="EPER"/>
    <n v="7414000005"/>
  </r>
  <r>
    <x v="214"/>
    <s v="BANCO SANTANDER MEXICO SA FIDEICOMISO F/ 2001213-6"/>
    <x v="5"/>
    <s v="NORMAL"/>
    <s v="MXN"/>
    <n v="470"/>
    <n v="1786.5"/>
    <n v="839655"/>
    <n v="1367.95"/>
    <n v="196718.5"/>
    <n v="0"/>
    <n v="0"/>
    <n v="0"/>
    <n v="0"/>
    <n v="470"/>
    <n v="839655"/>
    <s v="EPER"/>
    <n v="7414000005"/>
  </r>
  <r>
    <x v="214"/>
    <s v="BANCO SANTANDER MEXICO SA FIDEICOMISO F/ 2001213-6"/>
    <x v="185"/>
    <s v="NORMAL"/>
    <s v="MXN"/>
    <n v="47898"/>
    <n v="48.559412999999999"/>
    <n v="2325898.7638739999"/>
    <n v="32.818488037078794"/>
    <n v="753958.82387399999"/>
    <n v="0"/>
    <n v="0"/>
    <n v="0"/>
    <n v="0"/>
    <n v="47898"/>
    <n v="2325898.7638739999"/>
    <s v="EPER"/>
    <n v="7414000005"/>
  </r>
  <r>
    <x v="214"/>
    <s v="BANCO SANTANDER MEXICO SA FIDEICOMISO F/ 2001213-6"/>
    <x v="130"/>
    <s v="NORMAL"/>
    <s v="MXN"/>
    <n v="399680"/>
    <n v="4.5848760000000004"/>
    <n v="1832483.2396800001"/>
    <n v="3.3440324509607686"/>
    <n v="495940.34967999998"/>
    <n v="0"/>
    <n v="0"/>
    <n v="0"/>
    <n v="0"/>
    <n v="399680"/>
    <n v="1832483.2396800001"/>
    <s v="EPER"/>
    <n v="7414000005"/>
  </r>
  <r>
    <x v="214"/>
    <s v="BANCO SANTANDER MEXICO SA FIDEICOMISO F/ 2001213-6"/>
    <x v="186"/>
    <s v="NORMAL"/>
    <s v="MXN"/>
    <n v="637286"/>
    <n v="3.5281129999999998"/>
    <n v="2248417.0213179998"/>
    <n v="2.3012690063801808"/>
    <n v="781850.50131800002"/>
    <n v="0"/>
    <n v="0"/>
    <n v="0"/>
    <n v="0"/>
    <n v="637286"/>
    <n v="2248417.0213179998"/>
    <s v="EPER"/>
    <n v="7414000005"/>
  </r>
  <r>
    <x v="214"/>
    <s v="BANCO SANTANDER MEXICO SA FIDEICOMISO F/ 2001213-6"/>
    <x v="0"/>
    <s v="NORMAL"/>
    <s v="MXN"/>
    <n v="79736"/>
    <n v="3.3967719999999999"/>
    <n v="270845.01219199999"/>
    <n v="2.7001970251831042"/>
    <n v="55542.102191999998"/>
    <n v="0"/>
    <n v="0"/>
    <n v="0"/>
    <n v="0"/>
    <n v="79736"/>
    <n v="270845.01219199999"/>
    <s v="EPER"/>
    <n v="7414000005"/>
  </r>
  <r>
    <x v="215"/>
    <s v="SERVICIO PAN AMERICANO DE PROTECCION SA CV FDO AHORRO PERS SIND INT"/>
    <x v="74"/>
    <s v="NORMAL"/>
    <s v="MXN"/>
    <n v="4313721"/>
    <n v="3.568238"/>
    <n v="15392383.193598"/>
    <n v="3.5358036646319966"/>
    <n v="139912.67359799999"/>
    <n v="0"/>
    <n v="0"/>
    <n v="0"/>
    <n v="0"/>
    <n v="4313721"/>
    <n v="15392383.193598"/>
    <s v="EPER"/>
    <n v="7414000005"/>
  </r>
  <r>
    <x v="216"/>
    <s v="ASOC. DE TRABAJADORES SIND. DE SPAPSA METROPOLITANA AC CAJA DE AHORROS"/>
    <x v="74"/>
    <s v="NORMAL"/>
    <s v="MXN"/>
    <n v="637008"/>
    <n v="3.568238"/>
    <n v="2272996.151904"/>
    <n v="3.5099088551478159"/>
    <n v="37156.131904000002"/>
    <n v="0"/>
    <n v="0"/>
    <n v="0"/>
    <n v="0"/>
    <n v="637008"/>
    <n v="2272996.151904"/>
    <s v="EPER"/>
    <n v="7414000005"/>
  </r>
  <r>
    <x v="217"/>
    <s v="ASOC DE TRABAJADORES SIND DE SPAPSA DEL INT DE LA REP AC CAJA AHORROS"/>
    <x v="74"/>
    <s v="NORMAL"/>
    <s v="MXN"/>
    <n v="3422200"/>
    <n v="3.568238"/>
    <n v="12211224.0836"/>
    <n v="3.5110708111740987"/>
    <n v="195637.55360000001"/>
    <n v="0"/>
    <n v="0"/>
    <n v="0"/>
    <n v="0"/>
    <n v="3422200"/>
    <n v="12211224.0836"/>
    <s v="EPER"/>
    <n v="7414000005"/>
  </r>
  <r>
    <x v="218"/>
    <s v="SERVICIO PAN AMERICANO DE PROTECCION SA DE CV (FDO DE PENSIONES BD)NVO"/>
    <x v="5"/>
    <s v="NORMAL"/>
    <s v="MXN"/>
    <n v="900"/>
    <n v="1786.5"/>
    <n v="1607850"/>
    <n v="1410.5106555555556"/>
    <n v="427715.41"/>
    <n v="-50"/>
    <n v="-90202"/>
    <n v="0"/>
    <n v="0"/>
    <n v="850"/>
    <n v="1517648"/>
    <s v="EPER"/>
    <n v="7414000005"/>
  </r>
  <r>
    <x v="218"/>
    <s v="SERVICIO PAN AMERICANO DE PROTECCION SA DE CV (FDO DE PENSIONES BD)NVO"/>
    <x v="130"/>
    <s v="NORMAL"/>
    <s v="MXN"/>
    <n v="1040000"/>
    <n v="4.5848760000000004"/>
    <n v="4768271.04"/>
    <n v="4.0513652307692309"/>
    <n v="692397.48"/>
    <n v="-30000"/>
    <n v="-137546.28"/>
    <n v="0"/>
    <n v="0"/>
    <n v="1010000"/>
    <n v="4630724.76"/>
    <s v="EPER"/>
    <n v="7414000005"/>
  </r>
  <r>
    <x v="218"/>
    <s v="SERVICIO PAN AMERICANO DE PROTECCION SA DE CV (FDO DE PENSIONES BD)NVO"/>
    <x v="0"/>
    <s v="NORMAL"/>
    <s v="MXN"/>
    <n v="4488918"/>
    <n v="3.3967719999999999"/>
    <n v="15247830.972696001"/>
    <n v="3.1945733715786298"/>
    <n v="907653.06269599998"/>
    <n v="0"/>
    <n v="0"/>
    <n v="0"/>
    <n v="0"/>
    <n v="4488918"/>
    <n v="15247830.972696001"/>
    <s v="EPER"/>
    <n v="7414000005"/>
  </r>
  <r>
    <x v="218"/>
    <s v="SERVICIO PAN AMERICANO DE PROTECCION SA DE CV (FDO DE PENSIONES BD)NVO"/>
    <x v="64"/>
    <s v="NORMAL"/>
    <s v="MXN"/>
    <n v="6664683"/>
    <n v="2.7668819999999998"/>
    <n v="18440391.428406"/>
    <n v="2.3636920000546162"/>
    <n v="2687133.538406"/>
    <n v="0"/>
    <n v="0"/>
    <n v="0"/>
    <n v="0"/>
    <n v="6664683"/>
    <n v="18440391.428406"/>
    <s v="EPER"/>
    <n v="7414000005"/>
  </r>
  <r>
    <x v="219"/>
    <s v="BANCO SANTANDER MEXICO FIDEICOMISO F/2002961-1"/>
    <x v="4"/>
    <s v="NORMAL"/>
    <s v="MXN"/>
    <n v="5200"/>
    <n v="168.64"/>
    <n v="876928"/>
    <n v="177.75180961538462"/>
    <n v="-47381.41"/>
    <n v="0"/>
    <n v="0"/>
    <n v="0"/>
    <n v="0"/>
    <n v="5200"/>
    <n v="876928"/>
    <s v="EPER"/>
    <n v="7414000005"/>
  </r>
  <r>
    <x v="219"/>
    <s v="BANCO SANTANDER MEXICO FIDEICOMISO F/2002961-1"/>
    <x v="187"/>
    <s v="NORMAL"/>
    <s v="MXN"/>
    <n v="16400"/>
    <n v="11.86"/>
    <n v="194504"/>
    <n v="12.184011585365853"/>
    <n v="-5313.79"/>
    <n v="0"/>
    <n v="0"/>
    <n v="0"/>
    <n v="0"/>
    <n v="16400"/>
    <n v="194504"/>
    <s v="EPER"/>
    <n v="7414000005"/>
  </r>
  <r>
    <x v="219"/>
    <s v="BANCO SANTANDER MEXICO FIDEICOMISO F/2002961-1"/>
    <x v="7"/>
    <s v="NORMAL"/>
    <s v="MXN"/>
    <n v="13600"/>
    <n v="73.37"/>
    <n v="997832"/>
    <n v="61.954102941176473"/>
    <n v="155256.20000000001"/>
    <n v="0"/>
    <n v="0"/>
    <n v="0"/>
    <n v="0"/>
    <n v="13600"/>
    <n v="997832"/>
    <s v="EPER"/>
    <n v="7414000005"/>
  </r>
  <r>
    <x v="219"/>
    <s v="BANCO SANTANDER MEXICO FIDEICOMISO F/2002961-1"/>
    <x v="10"/>
    <s v="NORMAL"/>
    <s v="MXN"/>
    <n v="214600"/>
    <n v="15.12"/>
    <n v="3244752"/>
    <n v="16.447551580149113"/>
    <n v="-284892.56910000002"/>
    <n v="0"/>
    <n v="0"/>
    <n v="0"/>
    <n v="0"/>
    <n v="214600"/>
    <n v="3244752"/>
    <s v="EPER"/>
    <n v="7414000005"/>
  </r>
  <r>
    <x v="219"/>
    <s v="BANCO SANTANDER MEXICO FIDEICOMISO F/2002961-1"/>
    <x v="11"/>
    <s v="NORMAL"/>
    <s v="MXN"/>
    <n v="4100"/>
    <n v="525.09"/>
    <n v="2152869"/>
    <n v="491.7044292682927"/>
    <n v="136880.84"/>
    <n v="0"/>
    <n v="0"/>
    <n v="0"/>
    <n v="0"/>
    <n v="4100"/>
    <n v="2152869"/>
    <s v="EPER"/>
    <n v="7414000005"/>
  </r>
  <r>
    <x v="219"/>
    <s v="BANCO SANTANDER MEXICO FIDEICOMISO F/2002961-1"/>
    <x v="12"/>
    <s v="NORMAL"/>
    <s v="MXN"/>
    <n v="9400"/>
    <n v="68.25"/>
    <n v="641550"/>
    <n v="78.644708510638296"/>
    <n v="-97710.26"/>
    <n v="0"/>
    <n v="0"/>
    <n v="0"/>
    <n v="0"/>
    <n v="9400"/>
    <n v="641550"/>
    <s v="EPER"/>
    <n v="7414000005"/>
  </r>
  <r>
    <x v="219"/>
    <s v="BANCO SANTANDER MEXICO FIDEICOMISO F/2002961-1"/>
    <x v="14"/>
    <s v="NORMAL"/>
    <s v="MXN"/>
    <n v="262700"/>
    <n v="14.33"/>
    <n v="3764491"/>
    <n v="12.029771374191093"/>
    <n v="604270.06000000006"/>
    <n v="0"/>
    <n v="0"/>
    <n v="0"/>
    <n v="0"/>
    <n v="262700"/>
    <n v="3764491"/>
    <s v="EPER"/>
    <n v="7414000005"/>
  </r>
  <r>
    <x v="219"/>
    <s v="BANCO SANTANDER MEXICO FIDEICOMISO F/2002961-1"/>
    <x v="188"/>
    <s v="NORMAL"/>
    <s v="MXN"/>
    <n v="5000000"/>
    <n v="9.6141520000000007"/>
    <n v="48070760"/>
    <n v="9.0305956599999995"/>
    <n v="2917781.7"/>
    <n v="0"/>
    <n v="0"/>
    <n v="0"/>
    <n v="0"/>
    <n v="5000000"/>
    <n v="48070760"/>
    <s v="EPER"/>
    <n v="7414000005"/>
  </r>
  <r>
    <x v="219"/>
    <s v="BANCO SANTANDER MEXICO FIDEICOMISO F/2002961-1"/>
    <x v="86"/>
    <s v="NORMAL"/>
    <s v="MXN"/>
    <n v="127633"/>
    <n v="9.4935880000000008"/>
    <n v="1211695.117204"/>
    <n v="8.2405490399999994"/>
    <n v="159929.12158168"/>
    <n v="0"/>
    <n v="0"/>
    <n v="0"/>
    <n v="0"/>
    <n v="127633"/>
    <n v="1211695.117204"/>
    <s v="EPER"/>
    <n v="7414000005"/>
  </r>
  <r>
    <x v="219"/>
    <s v="BANCO SANTANDER MEXICO FIDEICOMISO F/2002961-1"/>
    <x v="72"/>
    <s v="NORMAL"/>
    <s v="MXN"/>
    <n v="636949"/>
    <n v="9.3381629999999998"/>
    <n v="5947933.5846870001"/>
    <n v="8.3209764517660592"/>
    <n v="647895.95471106004"/>
    <n v="0"/>
    <n v="0"/>
    <n v="0"/>
    <n v="0"/>
    <n v="636949"/>
    <n v="5947933.5846870001"/>
    <s v="EPER"/>
    <n v="7414000005"/>
  </r>
  <r>
    <x v="219"/>
    <s v="BANCO SANTANDER MEXICO FIDEICOMISO F/2002961-1"/>
    <x v="15"/>
    <s v="NORMAL"/>
    <s v="MXN"/>
    <n v="659930"/>
    <n v="9.190137"/>
    <n v="6064847.1104100002"/>
    <n v="8.2168159227684754"/>
    <n v="642323.7784974"/>
    <n v="0"/>
    <n v="0"/>
    <n v="0"/>
    <n v="0"/>
    <n v="659930"/>
    <n v="6064847.1104100002"/>
    <s v="EPER"/>
    <n v="7414000005"/>
  </r>
  <r>
    <x v="219"/>
    <s v="BANCO SANTANDER MEXICO FIDEICOMISO F/2002961-1"/>
    <x v="70"/>
    <s v="NORMAL"/>
    <s v="MXN"/>
    <n v="182530"/>
    <n v="9.0112480000000001"/>
    <n v="1644823.0974399999"/>
    <n v="8.9969798000000001"/>
    <n v="2604.374546"/>
    <n v="0"/>
    <n v="0"/>
    <n v="0"/>
    <n v="0"/>
    <n v="182530"/>
    <n v="1644823.0974399999"/>
    <s v="EPER"/>
    <n v="7414000005"/>
  </r>
  <r>
    <x v="219"/>
    <s v="BANCO SANTANDER MEXICO FIDEICOMISO F/2002961-1"/>
    <x v="16"/>
    <s v="NORMAL"/>
    <s v="MXN"/>
    <n v="347450"/>
    <n v="8.2580650000000002"/>
    <n v="2869264.6842499999"/>
    <n v="8.2501711100000001"/>
    <n v="2742.7320804999999"/>
    <n v="0"/>
    <n v="0"/>
    <n v="0"/>
    <n v="0"/>
    <n v="347450"/>
    <n v="2869264.6842499999"/>
    <s v="EPER"/>
    <n v="7414000005"/>
  </r>
  <r>
    <x v="219"/>
    <s v="BANCO SANTANDER MEXICO FIDEICOMISO F/2002961-1"/>
    <x v="20"/>
    <s v="NORMAL"/>
    <s v="MXN"/>
    <n v="19600"/>
    <n v="207.81"/>
    <n v="4073076"/>
    <n v="175.11741887755102"/>
    <n v="640774.59"/>
    <n v="0"/>
    <n v="0"/>
    <n v="0"/>
    <n v="0"/>
    <n v="19600"/>
    <n v="4073076"/>
    <s v="EPER"/>
    <n v="7414000005"/>
  </r>
  <r>
    <x v="219"/>
    <s v="BANCO SANTANDER MEXICO FIDEICOMISO F/2002961-1"/>
    <x v="21"/>
    <s v="NORMAL"/>
    <s v="MXN"/>
    <n v="1700"/>
    <n v="271.94"/>
    <n v="462298"/>
    <n v="287.68018823529411"/>
    <n v="-26758.32"/>
    <n v="0"/>
    <n v="0"/>
    <n v="0"/>
    <n v="0"/>
    <n v="1700"/>
    <n v="462298"/>
    <s v="EPER"/>
    <n v="7414000005"/>
  </r>
  <r>
    <x v="219"/>
    <s v="BANCO SANTANDER MEXICO FIDEICOMISO F/2002961-1"/>
    <x v="22"/>
    <s v="NORMAL"/>
    <s v="MXN"/>
    <n v="6500"/>
    <n v="193.15"/>
    <n v="1255475"/>
    <n v="164.00290153846154"/>
    <n v="189456.14"/>
    <n v="0"/>
    <n v="0"/>
    <n v="0"/>
    <n v="0"/>
    <n v="6500"/>
    <n v="1255475"/>
    <s v="EPER"/>
    <n v="7414000005"/>
  </r>
  <r>
    <x v="219"/>
    <s v="BANCO SANTANDER MEXICO FIDEICOMISO F/2002961-1"/>
    <x v="23"/>
    <s v="NORMAL"/>
    <s v="MXN"/>
    <n v="46900"/>
    <n v="27.12"/>
    <n v="1271928"/>
    <n v="22.59975053304904"/>
    <n v="211999.7"/>
    <n v="0"/>
    <n v="0"/>
    <n v="0"/>
    <n v="0"/>
    <n v="46900"/>
    <n v="1271928"/>
    <s v="EPER"/>
    <n v="7414000005"/>
  </r>
  <r>
    <x v="219"/>
    <s v="BANCO SANTANDER MEXICO FIDEICOMISO F/2002961-1"/>
    <x v="24"/>
    <s v="NORMAL"/>
    <s v="MXN"/>
    <n v="30800"/>
    <n v="176.44"/>
    <n v="5434352"/>
    <n v="151.15674545454544"/>
    <n v="778724.24"/>
    <n v="0"/>
    <n v="0"/>
    <n v="0"/>
    <n v="0"/>
    <n v="30800"/>
    <n v="5434352"/>
    <s v="EPER"/>
    <n v="7414000005"/>
  </r>
  <r>
    <x v="219"/>
    <s v="BANCO SANTANDER MEXICO FIDEICOMISO F/2002961-1"/>
    <x v="25"/>
    <s v="NORMAL"/>
    <s v="MXN"/>
    <n v="36700"/>
    <n v="104.12"/>
    <n v="3821204"/>
    <n v="84.554300272479566"/>
    <n v="718061.18"/>
    <n v="0"/>
    <n v="0"/>
    <n v="0"/>
    <n v="0"/>
    <n v="36700"/>
    <n v="3821204"/>
    <s v="EPER"/>
    <n v="7414000005"/>
  </r>
  <r>
    <x v="219"/>
    <s v="BANCO SANTANDER MEXICO FIDEICOMISO F/2002961-1"/>
    <x v="40"/>
    <s v="NORMAL"/>
    <s v="MXN"/>
    <n v="3300"/>
    <n v="314.42"/>
    <n v="1037586"/>
    <n v="300.61810303030302"/>
    <n v="45546.26"/>
    <n v="0"/>
    <n v="0"/>
    <n v="0"/>
    <n v="0"/>
    <n v="3300"/>
    <n v="1037586"/>
    <s v="EPER"/>
    <n v="7414000005"/>
  </r>
  <r>
    <x v="219"/>
    <s v="BANCO SANTANDER MEXICO FIDEICOMISO F/2002961-1"/>
    <x v="41"/>
    <s v="NORMAL"/>
    <s v="MXN"/>
    <n v="20190"/>
    <n v="43.85"/>
    <n v="885331.5"/>
    <n v="41.152947498761762"/>
    <n v="54453.49"/>
    <n v="0"/>
    <n v="0"/>
    <n v="0"/>
    <n v="0"/>
    <n v="20190"/>
    <n v="885331.5"/>
    <s v="EPER"/>
    <n v="7414000005"/>
  </r>
  <r>
    <x v="219"/>
    <s v="BANCO SANTANDER MEXICO FIDEICOMISO F/2002961-1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219"/>
    <s v="BANCO SANTANDER MEXICO FIDEICOMISO F/2002961-1"/>
    <x v="44"/>
    <s v="NORMAL"/>
    <s v="MXN"/>
    <n v="24200"/>
    <n v="36.28"/>
    <n v="877976"/>
    <n v="39.377865289256199"/>
    <n v="-74968.34"/>
    <n v="0"/>
    <n v="0"/>
    <n v="0"/>
    <n v="0"/>
    <n v="24200"/>
    <n v="877976"/>
    <s v="EPER"/>
    <n v="7414000005"/>
  </r>
  <r>
    <x v="219"/>
    <s v="BANCO SANTANDER MEXICO FIDEICOMISO F/2002961-1"/>
    <x v="45"/>
    <s v="NORMAL"/>
    <s v="MXN"/>
    <n v="3300"/>
    <n v="136.35"/>
    <n v="449955"/>
    <n v="119.05624848484848"/>
    <n v="57069.38"/>
    <n v="0"/>
    <n v="0"/>
    <n v="0"/>
    <n v="0"/>
    <n v="3300"/>
    <n v="449955"/>
    <s v="EPER"/>
    <n v="7414000005"/>
  </r>
  <r>
    <x v="219"/>
    <s v="BANCO SANTANDER MEXICO FIDEICOMISO F/2002961-1"/>
    <x v="48"/>
    <s v="NORMAL"/>
    <s v="MXN"/>
    <n v="5600"/>
    <n v="156"/>
    <n v="873600"/>
    <n v="141.13810535714285"/>
    <n v="83226.61"/>
    <n v="0"/>
    <n v="0"/>
    <n v="0"/>
    <n v="0"/>
    <n v="5600"/>
    <n v="873600"/>
    <s v="EPER"/>
    <n v="7414000005"/>
  </r>
  <r>
    <x v="219"/>
    <s v="BANCO SANTANDER MEXICO FIDEICOMISO F/2002961-1"/>
    <x v="0"/>
    <s v="NORMAL"/>
    <s v="MXN"/>
    <n v="17319553"/>
    <n v="3.3967719999999999"/>
    <n v="58830572.682916"/>
    <n v="3.2498033165174642"/>
    <n v="2545431.9029160002"/>
    <n v="0"/>
    <n v="0"/>
    <n v="0"/>
    <n v="0"/>
    <n v="17319553"/>
    <n v="58830572.682916"/>
    <s v="EPER"/>
    <n v="7414000005"/>
  </r>
  <r>
    <x v="219"/>
    <s v="BANCO SANTANDER MEXICO FIDEICOMISO F/2002961-1"/>
    <x v="50"/>
    <s v="NORMAL"/>
    <s v="MXN"/>
    <n v="31700"/>
    <n v="31.41"/>
    <n v="995697"/>
    <n v="32.104099053627763"/>
    <n v="-22002.94"/>
    <n v="0"/>
    <n v="0"/>
    <n v="0"/>
    <n v="0"/>
    <n v="31700"/>
    <n v="995697"/>
    <s v="EPER"/>
    <n v="7414000005"/>
  </r>
  <r>
    <x v="219"/>
    <s v="BANCO SANTANDER MEXICO FIDEICOMISO F/2002961-1"/>
    <x v="60"/>
    <s v="NORMAL"/>
    <s v="MXN"/>
    <n v="23700"/>
    <n v="58.67"/>
    <n v="1390479"/>
    <n v="59.723732911392403"/>
    <n v="-24973.47"/>
    <n v="0"/>
    <n v="0"/>
    <n v="0"/>
    <n v="0"/>
    <n v="23700"/>
    <n v="1390479"/>
    <s v="EPER"/>
    <n v="7414000005"/>
  </r>
  <r>
    <x v="219"/>
    <s v="BANCO SANTANDER MEXICO FIDEICOMISO F/2002961-1"/>
    <x v="63"/>
    <s v="NORMAL"/>
    <s v="MXN"/>
    <n v="56300"/>
    <n v="65.260000000000005"/>
    <n v="3674138"/>
    <n v="69.916128419182954"/>
    <n v="-262140.03"/>
    <n v="0"/>
    <n v="0"/>
    <n v="0"/>
    <n v="0"/>
    <n v="56300"/>
    <n v="3674138"/>
    <s v="EPER"/>
    <n v="7414000005"/>
  </r>
  <r>
    <x v="220"/>
    <s v="FABRICA DE JABON LA CORONA SA DE CV (FONDO DE PENSIONES CD)"/>
    <x v="0"/>
    <s v="NORMAL"/>
    <s v="MXN"/>
    <n v="168003841"/>
    <n v="3.3967719999999999"/>
    <n v="570670743.00125206"/>
    <n v="2.4139206622067646"/>
    <n v="165122799.88125199"/>
    <n v="0"/>
    <n v="0"/>
    <n v="0"/>
    <n v="0"/>
    <n v="168003841"/>
    <n v="570670743.00125206"/>
    <s v="EPER"/>
    <n v="7414000005"/>
  </r>
  <r>
    <x v="221"/>
    <s v="INSTITUTO DE ESTUDIOS SUPERIORES DE TAMAULIPAS AC (CAJA DE AHORRO)"/>
    <x v="0"/>
    <s v="NORMAL"/>
    <s v="MXN"/>
    <n v="10852072"/>
    <n v="3.3967719999999999"/>
    <n v="36862014.311584003"/>
    <n v="2.9231567907031946"/>
    <n v="5139706.3515839996"/>
    <n v="0"/>
    <n v="0"/>
    <n v="0"/>
    <n v="0"/>
    <n v="10852072"/>
    <n v="36862014.311584003"/>
    <s v="EPER"/>
    <n v="7414000005"/>
  </r>
  <r>
    <x v="222"/>
    <s v="INST. DE ESTUDIOS SUPERIORES DE TAMAULIPAS AC (PENSIONES CONT.)"/>
    <x v="0"/>
    <s v="NORMAL"/>
    <s v="MXN"/>
    <n v="12701127"/>
    <n v="3.3967719999999999"/>
    <n v="43142832.562044002"/>
    <n v="2.9077468999404541"/>
    <n v="6211169.9020440001"/>
    <n v="0"/>
    <n v="0"/>
    <n v="0"/>
    <n v="0"/>
    <n v="12701127"/>
    <n v="43142832.562044002"/>
    <s v="EPER"/>
    <n v="7414000005"/>
  </r>
  <r>
    <x v="223"/>
    <s v="INSTITUTO DE ESTUDIOS SUPERIORES DE TAMAULIPAS AC (FONDO DE PENSIONES)"/>
    <x v="0"/>
    <s v="NORMAL"/>
    <s v="MXN"/>
    <n v="10920208"/>
    <n v="3.3967719999999999"/>
    <n v="37093456.768576004"/>
    <n v="2.317473671746912"/>
    <n v="11786162.238576001"/>
    <n v="0"/>
    <n v="0"/>
    <n v="0"/>
    <n v="0"/>
    <n v="10920208"/>
    <n v="37093456.768576004"/>
    <s v="EPER"/>
    <n v="7414000005"/>
  </r>
  <r>
    <x v="224"/>
    <s v="KIMBERLY CLARK DE MEXICO S.A.B. DE C.V. (PP)"/>
    <x v="4"/>
    <s v="NORMAL"/>
    <s v="MXN"/>
    <n v="52300"/>
    <n v="168.64"/>
    <n v="8819872"/>
    <n v="1.8209361376673041"/>
    <n v="17544509.039999999"/>
    <n v="-52300"/>
    <n v="-8859937.2400000002"/>
    <n v="0"/>
    <n v="0"/>
    <n v="0"/>
    <n v="-40065.24"/>
    <s v="EPER"/>
    <n v="7414000005"/>
  </r>
  <r>
    <x v="224"/>
    <s v="KIMBERLY CLARK DE MEXICO S.A.B. DE C.V. (PP)"/>
    <x v="5"/>
    <s v="NORMAL"/>
    <s v="MXN"/>
    <n v="900"/>
    <n v="1786.5"/>
    <n v="1607850"/>
    <n v="135.04"/>
    <n v="3337236"/>
    <n v="-900"/>
    <n v="-1623636"/>
    <n v="0"/>
    <n v="0"/>
    <n v="0"/>
    <n v="-15786"/>
    <s v="EPER"/>
    <n v="7414000005"/>
  </r>
  <r>
    <x v="224"/>
    <s v="KIMBERLY CLARK DE MEXICO S.A.B. DE C.V. (PP)"/>
    <x v="6"/>
    <s v="NORMAL"/>
    <s v="MXN"/>
    <n v="487300"/>
    <n v="12.48"/>
    <n v="6081504"/>
    <n v="1.5463212226554484"/>
    <n v="12916530.331800001"/>
    <n v="-487300"/>
    <n v="-6084240.7800000003"/>
    <n v="0"/>
    <n v="0"/>
    <n v="0"/>
    <n v="-2736.78"/>
    <s v="EPER"/>
    <n v="7414000005"/>
  </r>
  <r>
    <x v="224"/>
    <s v="KIMBERLY CLARK DE MEXICO S.A.B. DE C.V. (PP)"/>
    <x v="7"/>
    <s v="NORMAL"/>
    <s v="MXN"/>
    <n v="86900"/>
    <n v="73.37"/>
    <n v="6375853"/>
    <n v="14.482966052934408"/>
    <n v="8389805.3599999994"/>
    <n v="-44603"/>
    <n v="-3357713.01"/>
    <n v="0"/>
    <n v="0"/>
    <n v="42297"/>
    <n v="3018139.99"/>
    <s v="EPER"/>
    <n v="7414000005"/>
  </r>
  <r>
    <x v="224"/>
    <s v="KIMBERLY CLARK DE MEXICO S.A.B. DE C.V. (PP)"/>
    <x v="10"/>
    <s v="NORMAL"/>
    <s v="MXN"/>
    <n v="1801000"/>
    <n v="15.12"/>
    <n v="27231120"/>
    <n v="1.9793292781787895"/>
    <n v="50897467.969999999"/>
    <n v="-1801000"/>
    <n v="-27391444.550000001"/>
    <n v="0"/>
    <n v="0"/>
    <n v="0"/>
    <n v="-160324.54999999999"/>
    <s v="EPER"/>
    <n v="7414000005"/>
  </r>
  <r>
    <x v="224"/>
    <s v="KIMBERLY CLARK DE MEXICO S.A.B. DE C.V. (PP)"/>
    <x v="11"/>
    <s v="NORMAL"/>
    <s v="MXN"/>
    <n v="19500"/>
    <n v="525.09"/>
    <n v="10239255"/>
    <n v="25.061602051282051"/>
    <n v="20967211.239999998"/>
    <n v="-19500"/>
    <n v="-10350904.949999999"/>
    <n v="0"/>
    <n v="0"/>
    <n v="0"/>
    <n v="-111649.95"/>
    <s v="EPER"/>
    <n v="7414000005"/>
  </r>
  <r>
    <x v="224"/>
    <s v="KIMBERLY CLARK DE MEXICO S.A.B. DE C.V. (PP)"/>
    <x v="189"/>
    <s v="NORMAL"/>
    <s v="MXN"/>
    <n v="46686"/>
    <n v="99.999110999999999"/>
    <n v="4668558.496146"/>
    <n v="100.00133401876366"/>
    <n v="-103.78385400000001"/>
    <n v="0"/>
    <n v="0"/>
    <n v="0"/>
    <n v="0"/>
    <n v="46686"/>
    <n v="4668558.496146"/>
    <s v="EPER"/>
    <n v="7414000005"/>
  </r>
  <r>
    <x v="224"/>
    <s v="KIMBERLY CLARK DE MEXICO S.A.B. DE C.V. (PP)"/>
    <x v="12"/>
    <s v="NORMAL"/>
    <s v="MXN"/>
    <n v="90140"/>
    <n v="68.25"/>
    <n v="6152055"/>
    <n v="17.227680054359883"/>
    <n v="10751206.9199"/>
    <n v="-90140"/>
    <n v="-6188620.0300000003"/>
    <n v="0"/>
    <n v="0"/>
    <n v="0"/>
    <n v="-36565.03"/>
    <s v="EPER"/>
    <n v="7414000005"/>
  </r>
  <r>
    <x v="224"/>
    <s v="KIMBERLY CLARK DE MEXICO S.A.B. DE C.V. (PP)"/>
    <x v="190"/>
    <s v="NORMAL"/>
    <s v="MXN"/>
    <n v="11000"/>
    <n v="99.923287000000002"/>
    <n v="1099156.1569999999"/>
    <n v="99.961500909999998"/>
    <n v="-420.35300999999998"/>
    <n v="0"/>
    <n v="0"/>
    <n v="0"/>
    <n v="0"/>
    <n v="11000"/>
    <n v="1099156.1569999999"/>
    <s v="EPER"/>
    <n v="7414000005"/>
  </r>
  <r>
    <x v="224"/>
    <s v="KIMBERLY CLARK DE MEXICO S.A.B. DE C.V. (PP)"/>
    <x v="191"/>
    <s v="NORMAL"/>
    <s v="MXN"/>
    <n v="55340"/>
    <n v="99.908186999999998"/>
    <n v="5528919.0685799997"/>
    <n v="100.00094398248645"/>
    <n v="-5133.1714107999996"/>
    <n v="0"/>
    <n v="0"/>
    <n v="0"/>
    <n v="0"/>
    <n v="55340"/>
    <n v="5528919.0685799997"/>
    <s v="EPER"/>
    <n v="7414000005"/>
  </r>
  <r>
    <x v="224"/>
    <s v="KIMBERLY CLARK DE MEXICO S.A.B. DE C.V. (PP)"/>
    <x v="192"/>
    <s v="NORMAL"/>
    <s v="MXN"/>
    <n v="7837"/>
    <n v="99.882447999999997"/>
    <n v="782778.74497600005"/>
    <n v="100.08703075"/>
    <n v="-1603.3150117499999"/>
    <n v="0"/>
    <n v="0"/>
    <n v="0"/>
    <n v="0"/>
    <n v="7837"/>
    <n v="782778.74497600005"/>
    <s v="EPER"/>
    <n v="7414000005"/>
  </r>
  <r>
    <x v="224"/>
    <s v="KIMBERLY CLARK DE MEXICO S.A.B. DE C.V. (PP)"/>
    <x v="14"/>
    <s v="NORMAL"/>
    <s v="MXN"/>
    <n v="1403000"/>
    <n v="14.33"/>
    <n v="20104990"/>
    <n v="2.3293024875267285"/>
    <n v="43477991.390000001"/>
    <n v="-1403000"/>
    <n v="-20161564.879999999"/>
    <n v="0"/>
    <n v="0"/>
    <n v="0"/>
    <n v="-56574.879999999997"/>
    <s v="EPER"/>
    <n v="7414000005"/>
  </r>
  <r>
    <x v="224"/>
    <s v="KIMBERLY CLARK DE MEXICO S.A.B. DE C.V. (PP)"/>
    <x v="193"/>
    <s v="NORMAL"/>
    <s v="MXN"/>
    <n v="31819"/>
    <n v="99.999204000000006"/>
    <n v="3181874.6720759999"/>
    <n v="100.12310977946353"/>
    <n v="-3942.5579967499998"/>
    <n v="0"/>
    <n v="0"/>
    <n v="0"/>
    <n v="0"/>
    <n v="31819"/>
    <n v="3181874.6720759999"/>
    <s v="EPER"/>
    <n v="7414000005"/>
  </r>
  <r>
    <x v="224"/>
    <s v="KIMBERLY CLARK DE MEXICO S.A.B. DE C.V. (PP)"/>
    <x v="70"/>
    <s v="NORMAL"/>
    <s v="MXN"/>
    <n v="0"/>
    <n v="0"/>
    <n v="0"/>
    <n v="0"/>
    <n v="-96965.79"/>
    <n v="17000000"/>
    <n v="153288181.78999999"/>
    <n v="0"/>
    <n v="0"/>
    <n v="17000000"/>
    <n v="153288181.78999999"/>
    <s v="EPER"/>
    <n v="7414000005"/>
  </r>
  <r>
    <x v="224"/>
    <s v="KIMBERLY CLARK DE MEXICO S.A.B. DE C.V. (PP)"/>
    <x v="124"/>
    <s v="NORMAL"/>
    <s v="MXN"/>
    <n v="17068"/>
    <n v="72.270214999999993"/>
    <n v="1233508.0296199999"/>
    <n v="94.414780289999996"/>
    <n v="-377963.44036971999"/>
    <n v="0"/>
    <n v="0"/>
    <n v="0"/>
    <n v="0"/>
    <n v="17068"/>
    <n v="1233508.0296199999"/>
    <s v="EPER"/>
    <n v="7414000005"/>
  </r>
  <r>
    <x v="224"/>
    <s v="KIMBERLY CLARK DE MEXICO S.A.B. DE C.V. (PP)"/>
    <x v="17"/>
    <s v="NORMAL"/>
    <s v="MXN"/>
    <n v="11400"/>
    <n v="675.38"/>
    <n v="7699332"/>
    <n v="14.298342105263158"/>
    <n v="15235662.9"/>
    <n v="-11400"/>
    <n v="-7743678"/>
    <n v="0"/>
    <n v="0"/>
    <n v="0"/>
    <n v="-44346"/>
    <s v="EPER"/>
    <n v="7414000005"/>
  </r>
  <r>
    <x v="224"/>
    <s v="KIMBERLY CLARK DE MEXICO S.A.B. DE C.V. (PP)"/>
    <x v="18"/>
    <s v="NORMAL"/>
    <s v="MXN"/>
    <n v="2670"/>
    <n v="700.65"/>
    <n v="1870735.5"/>
    <n v="77.856460674157304"/>
    <n v="3533594.25"/>
    <n v="-2670"/>
    <n v="-1870735.5"/>
    <n v="0"/>
    <n v="0"/>
    <n v="0"/>
    <n v="0"/>
    <s v="EPER"/>
    <n v="7414000005"/>
  </r>
  <r>
    <x v="224"/>
    <s v="KIMBERLY CLARK DE MEXICO S.A.B. DE C.V. (PP)"/>
    <x v="19"/>
    <s v="NORMAL"/>
    <s v="MXN"/>
    <n v="4570"/>
    <n v="1151"/>
    <n v="5260070"/>
    <n v="75.800722100656458"/>
    <n v="10866549.300000001"/>
    <n v="-4570"/>
    <n v="-5298549.4000000004"/>
    <n v="0"/>
    <n v="0"/>
    <n v="0"/>
    <n v="-38479.4"/>
    <s v="EPER"/>
    <n v="7414000005"/>
  </r>
  <r>
    <x v="224"/>
    <s v="KIMBERLY CLARK DE MEXICO S.A.B. DE C.V. (PP)"/>
    <x v="20"/>
    <s v="NORMAL"/>
    <s v="MXN"/>
    <n v="155000"/>
    <n v="207.81"/>
    <n v="32210550"/>
    <n v="30.196602516129033"/>
    <n v="69101573.390000001"/>
    <n v="-155000"/>
    <n v="-32234583.870000001"/>
    <n v="0"/>
    <n v="0"/>
    <n v="0"/>
    <n v="-24033.87"/>
    <s v="EPER"/>
    <n v="7414000005"/>
  </r>
  <r>
    <x v="224"/>
    <s v="KIMBERLY CLARK DE MEXICO S.A.B. DE C.V. (PP)"/>
    <x v="194"/>
    <s v="NORMAL"/>
    <s v="MXN"/>
    <n v="72893"/>
    <n v="30.9"/>
    <n v="2252393.7000000002"/>
    <n v="1.0095289876942917"/>
    <n v="4431199.8035000004"/>
    <n v="-72893"/>
    <n v="-2254848.7400000002"/>
    <n v="0"/>
    <n v="0"/>
    <n v="0"/>
    <n v="-2455.04"/>
    <s v="EPER"/>
    <n v="7414000005"/>
  </r>
  <r>
    <x v="224"/>
    <s v="KIMBERLY CLARK DE MEXICO S.A.B. DE C.V. (PP)"/>
    <x v="195"/>
    <s v="NORMAL"/>
    <s v="MXN"/>
    <n v="26599"/>
    <n v="68.83"/>
    <n v="1830809.17"/>
    <n v="6.5107834993796763"/>
    <n v="3834729.8402999998"/>
    <n v="-26598"/>
    <n v="-1828025"/>
    <n v="0"/>
    <n v="0"/>
    <n v="1"/>
    <n v="2784.17"/>
    <s v="EPER"/>
    <n v="7414000005"/>
  </r>
  <r>
    <x v="224"/>
    <s v="KIMBERLY CLARK DE MEXICO S.A.B. DE C.V. (PP)"/>
    <x v="21"/>
    <s v="NORMAL"/>
    <s v="MXN"/>
    <n v="25500"/>
    <n v="271.94"/>
    <n v="6934470"/>
    <n v="25.367385490196078"/>
    <n v="13222071.67"/>
    <n v="-25500"/>
    <n v="-6935048.9100000001"/>
    <n v="0"/>
    <n v="0"/>
    <n v="0"/>
    <n v="-578.91"/>
    <s v="EPER"/>
    <n v="7414000005"/>
  </r>
  <r>
    <x v="224"/>
    <s v="KIMBERLY CLARK DE MEXICO S.A.B. DE C.V. (PP)"/>
    <x v="22"/>
    <s v="NORMAL"/>
    <s v="MXN"/>
    <n v="28100"/>
    <n v="193.15"/>
    <n v="5427515"/>
    <n v="38.678827758007117"/>
    <n v="11941905.060000001"/>
    <n v="-28100"/>
    <n v="-5382315.4100000001"/>
    <n v="0"/>
    <n v="0"/>
    <n v="0"/>
    <n v="45199.59"/>
    <s v="EPER"/>
    <n v="7414000005"/>
  </r>
  <r>
    <x v="224"/>
    <s v="KIMBERLY CLARK DE MEXICO S.A.B. DE C.V. (PP)"/>
    <x v="23"/>
    <s v="NORMAL"/>
    <s v="MXN"/>
    <n v="187500"/>
    <n v="27.12"/>
    <n v="5085000"/>
    <n v="6.719973173333333"/>
    <n v="11429994.970000001"/>
    <n v="-187500"/>
    <n v="-5128199.6900000004"/>
    <n v="0"/>
    <n v="0"/>
    <n v="0"/>
    <n v="-43199.69"/>
    <s v="EPER"/>
    <n v="7414000005"/>
  </r>
  <r>
    <x v="224"/>
    <s v="KIMBERLY CLARK DE MEXICO S.A.B. DE C.V. (PP)"/>
    <x v="24"/>
    <s v="NORMAL"/>
    <s v="MXN"/>
    <n v="208400"/>
    <n v="176.44"/>
    <n v="36770096"/>
    <n v="27.264970681381957"/>
    <n v="79222211.890000001"/>
    <n v="-208400"/>
    <n v="-36743086.380000003"/>
    <n v="0"/>
    <n v="0"/>
    <n v="0"/>
    <n v="27009.62"/>
    <s v="EPER"/>
    <n v="7414000005"/>
  </r>
  <r>
    <x v="224"/>
    <s v="KIMBERLY CLARK DE MEXICO S.A.B. DE C.V. (PP)"/>
    <x v="25"/>
    <s v="NORMAL"/>
    <s v="MXN"/>
    <n v="249100"/>
    <n v="104.12"/>
    <n v="25936292"/>
    <n v="3.2896445202729829"/>
    <n v="48362204.25"/>
    <n v="-207515"/>
    <n v="-21709658.379999999"/>
    <n v="0"/>
    <n v="0"/>
    <n v="41585"/>
    <n v="4226633.62"/>
    <s v="EPER"/>
    <n v="7414000005"/>
  </r>
  <r>
    <x v="224"/>
    <s v="KIMBERLY CLARK DE MEXICO S.A.B. DE C.V. (PP)"/>
    <x v="29"/>
    <s v="NORMAL"/>
    <s v="MXN"/>
    <n v="112820"/>
    <n v="92.954503000000003"/>
    <n v="10487127.02846"/>
    <n v="2.8213604009927319E-2"/>
    <n v="20971070.998115599"/>
    <n v="-112820"/>
    <n v="-10586971.74"/>
    <n v="0"/>
    <n v="0"/>
    <n v="0"/>
    <n v="-99844.711540000004"/>
    <s v="EPER"/>
    <n v="7414000005"/>
  </r>
  <r>
    <x v="224"/>
    <s v="KIMBERLY CLARK DE MEXICO S.A.B. DE C.V. (PP)"/>
    <x v="31"/>
    <s v="NORMAL"/>
    <s v="MXN"/>
    <n v="0"/>
    <n v="0"/>
    <n v="0"/>
    <n v="0"/>
    <n v="-187237.269"/>
    <n v="1700000"/>
    <n v="163460947.00999999"/>
    <n v="0"/>
    <n v="0"/>
    <n v="1700000"/>
    <n v="163460947.00999999"/>
    <s v="EPER"/>
    <n v="7414000005"/>
  </r>
  <r>
    <x v="224"/>
    <s v="KIMBERLY CLARK DE MEXICO S.A.B. DE C.V. (PP)"/>
    <x v="32"/>
    <s v="NORMAL"/>
    <s v="MXN"/>
    <n v="40310"/>
    <n v="94.864168000000006"/>
    <n v="3823974.6120799999"/>
    <n v="1.27952157"/>
    <n v="7596371.7096733004"/>
    <n v="-40310"/>
    <n v="-3866855.95"/>
    <n v="0"/>
    <n v="0"/>
    <n v="0"/>
    <n v="-42881.337919999998"/>
    <s v="EPER"/>
    <n v="7414000005"/>
  </r>
  <r>
    <x v="224"/>
    <s v="KIMBERLY CLARK DE MEXICO S.A.B. DE C.V. (PP)"/>
    <x v="33"/>
    <s v="NORMAL"/>
    <s v="MXN"/>
    <n v="100000"/>
    <n v="94.870157000000006"/>
    <n v="9487015.6999999993"/>
    <n v="3.5547954499999999"/>
    <n v="18618551.855"/>
    <n v="-100000"/>
    <n v="-9795321.1300000008"/>
    <n v="0"/>
    <n v="0"/>
    <n v="0"/>
    <n v="-308305.43"/>
    <s v="EPER"/>
    <n v="7414000005"/>
  </r>
  <r>
    <x v="224"/>
    <s v="KIMBERLY CLARK DE MEXICO S.A.B. DE C.V. (PP)"/>
    <x v="34"/>
    <s v="NORMAL"/>
    <s v="MXN"/>
    <n v="26947"/>
    <n v="89.489464999999996"/>
    <n v="2411472.613355"/>
    <n v="5750.4020487202688"/>
    <n v="-412520.89351009001"/>
    <n v="1700000"/>
    <n v="157269859.53999999"/>
    <n v="0"/>
    <n v="0"/>
    <n v="1726947"/>
    <n v="159681332.153355"/>
    <s v="EPER"/>
    <n v="7414000005"/>
  </r>
  <r>
    <x v="224"/>
    <s v="KIMBERLY CLARK DE MEXICO S.A.B. DE C.V. (PP)"/>
    <x v="35"/>
    <s v="NORMAL"/>
    <s v="MXN"/>
    <n v="67810"/>
    <n v="86.197128000000006"/>
    <n v="5845027.2496800004"/>
    <n v="3.7868230498982451"/>
    <n v="11433270.028346401"/>
    <n v="-67810"/>
    <n v="-6038229.0300000003"/>
    <n v="0"/>
    <n v="0"/>
    <n v="0"/>
    <n v="-193201.78031999999"/>
    <s v="EPER"/>
    <n v="7414000005"/>
  </r>
  <r>
    <x v="224"/>
    <s v="KIMBERLY CLARK DE MEXICO S.A.B. DE C.V. (PP)"/>
    <x v="68"/>
    <s v="NORMAL"/>
    <s v="MXN"/>
    <n v="100000"/>
    <n v="89.643172000000007"/>
    <n v="8964317.1999999993"/>
    <n v="1629.3763166599999"/>
    <n v="-1579922.0660000001"/>
    <n v="1700000"/>
    <n v="158510544.72999999"/>
    <n v="0"/>
    <n v="0"/>
    <n v="1800000"/>
    <n v="167474861.93000001"/>
    <s v="EPER"/>
    <n v="7414000005"/>
  </r>
  <r>
    <x v="224"/>
    <s v="KIMBERLY CLARK DE MEXICO S.A.B. DE C.V. (PP)"/>
    <x v="37"/>
    <s v="NORMAL"/>
    <s v="MXN"/>
    <n v="52046"/>
    <n v="81.738860000000003"/>
    <n v="4254180.70756"/>
    <n v="3.6395684427425739"/>
    <n v="8318936.4359490201"/>
    <n v="-52046"/>
    <n v="-4410656"/>
    <n v="0"/>
    <n v="0"/>
    <n v="0"/>
    <n v="-156475.29243999999"/>
    <s v="EPER"/>
    <n v="7414000005"/>
  </r>
  <r>
    <x v="224"/>
    <s v="KIMBERLY CLARK DE MEXICO S.A.B. DE C.V. (PP)"/>
    <x v="38"/>
    <s v="NORMAL"/>
    <s v="MXN"/>
    <n v="21353"/>
    <n v="83.200761"/>
    <n v="1776585.8496330001"/>
    <n v="6.0626566799999999"/>
    <n v="3423715.7911779601"/>
    <n v="-21353"/>
    <n v="-1839649.01"/>
    <n v="0"/>
    <n v="0"/>
    <n v="0"/>
    <n v="-63063.160366999997"/>
    <s v="EPER"/>
    <n v="7414000005"/>
  </r>
  <r>
    <x v="224"/>
    <s v="KIMBERLY CLARK DE MEXICO S.A.B. DE C.V. (PP)"/>
    <x v="39"/>
    <s v="NORMAL"/>
    <s v="MXN"/>
    <n v="20529"/>
    <n v="82.159907000000004"/>
    <n v="1686660.730803"/>
    <n v="6.2834505600000004"/>
    <n v="3244328.5050597601"/>
    <n v="-20529"/>
    <n v="-1710713.91"/>
    <n v="0"/>
    <n v="0"/>
    <n v="0"/>
    <n v="-24053.179197000001"/>
    <s v="EPER"/>
    <n v="7414000005"/>
  </r>
  <r>
    <x v="224"/>
    <s v="KIMBERLY CLARK DE MEXICO S.A.B. DE C.V. (PP)"/>
    <x v="40"/>
    <s v="NORMAL"/>
    <s v="MXN"/>
    <n v="23400"/>
    <n v="314.42"/>
    <n v="7357428"/>
    <n v="47.647804273504271"/>
    <n v="15829814.619999999"/>
    <n v="-23400"/>
    <n v="-7440317.6200000001"/>
    <n v="0"/>
    <n v="0"/>
    <n v="0"/>
    <n v="-82889.62"/>
    <s v="EPER"/>
    <n v="7414000005"/>
  </r>
  <r>
    <x v="224"/>
    <s v="KIMBERLY CLARK DE MEXICO S.A.B. DE C.V. (PP)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224"/>
    <s v="KIMBERLY CLARK DE MEXICO S.A.B. DE C.V. (PP)"/>
    <x v="42"/>
    <s v="NORMAL"/>
    <s v="MXN"/>
    <n v="4450"/>
    <n v="8532.5"/>
    <n v="37969625"/>
    <n v="749.31582022471912"/>
    <n v="79273705.400000006"/>
    <n v="-4450"/>
    <n v="-38402610"/>
    <n v="0"/>
    <n v="0"/>
    <n v="0"/>
    <n v="-432985"/>
    <s v="EPER"/>
    <n v="7414000005"/>
  </r>
  <r>
    <x v="224"/>
    <s v="KIMBERLY CLARK DE MEXICO S.A.B. DE C.V. (PP)"/>
    <x v="196"/>
    <s v="NORMAL"/>
    <s v="MXN"/>
    <n v="114687"/>
    <n v="12.29"/>
    <n v="1409503.23"/>
    <n v="18.874792522256229"/>
    <n v="-755190.1"/>
    <n v="0"/>
    <n v="0"/>
    <n v="0"/>
    <n v="0"/>
    <n v="114687"/>
    <n v="1409503.23"/>
    <s v="EPER"/>
    <n v="7414000005"/>
  </r>
  <r>
    <x v="224"/>
    <s v="KIMBERLY CLARK DE MEXICO S.A.B. DE C.V. (PP)"/>
    <x v="197"/>
    <s v="NORMAL"/>
    <s v="MXN"/>
    <n v="268750"/>
    <n v="92.873472000000007"/>
    <n v="24959745.600000001"/>
    <n v="100"/>
    <n v="-1915254.4"/>
    <n v="0"/>
    <n v="0"/>
    <n v="0"/>
    <n v="0"/>
    <n v="268750"/>
    <n v="24959745.600000001"/>
    <s v="EPER"/>
    <n v="7414000005"/>
  </r>
  <r>
    <x v="224"/>
    <s v="KIMBERLY CLARK DE MEXICO S.A.B. DE C.V. (PP)"/>
    <x v="198"/>
    <s v="NORMAL"/>
    <s v="MXN"/>
    <n v="178200"/>
    <n v="38.369999999999997"/>
    <n v="6837534"/>
    <n v="3.9521592592592594"/>
    <n v="14379342.779999999"/>
    <n v="-178200"/>
    <n v="-6831524.3899999997"/>
    <n v="0"/>
    <n v="0"/>
    <n v="0"/>
    <n v="6009.61"/>
    <s v="EPER"/>
    <n v="7414000005"/>
  </r>
  <r>
    <x v="224"/>
    <s v="KIMBERLY CLARK DE MEXICO S.A.B. DE C.V. (PP)"/>
    <x v="199"/>
    <s v="NORMAL"/>
    <s v="MXN"/>
    <n v="15425"/>
    <n v="99.998991000000004"/>
    <n v="1542484.4361749999"/>
    <n v="100"/>
    <n v="-15.563825"/>
    <n v="0"/>
    <n v="0"/>
    <n v="0"/>
    <n v="0"/>
    <n v="15425"/>
    <n v="1542484.4361749999"/>
    <s v="EPER"/>
    <n v="7414000005"/>
  </r>
  <r>
    <x v="224"/>
    <s v="KIMBERLY CLARK DE MEXICO S.A.B. DE C.V. (PP)"/>
    <x v="43"/>
    <s v="NORMAL"/>
    <s v="MXN"/>
    <n v="35990"/>
    <n v="158.63"/>
    <n v="5709093.7000000002"/>
    <n v="23.735027507641011"/>
    <n v="12272411.039999999"/>
    <n v="-35990"/>
    <n v="-5774051.8499999996"/>
    <n v="0"/>
    <n v="0"/>
    <n v="0"/>
    <n v="-64958.15"/>
    <s v="EPER"/>
    <n v="7414000005"/>
  </r>
  <r>
    <x v="224"/>
    <s v="KIMBERLY CLARK DE MEXICO S.A.B. DE C.V. (PP)"/>
    <x v="48"/>
    <s v="NORMAL"/>
    <s v="MXN"/>
    <n v="32400"/>
    <n v="156"/>
    <n v="5054400"/>
    <n v="17.806790432098765"/>
    <n v="10685740.01"/>
    <n v="-32400"/>
    <n v="-5059432.07"/>
    <n v="0"/>
    <n v="0"/>
    <n v="0"/>
    <n v="-5032.07"/>
    <s v="EPER"/>
    <n v="7414000005"/>
  </r>
  <r>
    <x v="224"/>
    <s v="KIMBERLY CLARK DE MEXICO S.A.B. DE C.V. (PP)"/>
    <x v="49"/>
    <s v="NORMAL"/>
    <s v="MXN"/>
    <n v="17410"/>
    <n v="682.55"/>
    <n v="11883195.5"/>
    <n v="22.827044801838024"/>
    <n v="23368972.149999999"/>
    <n v="-17410"/>
    <n v="-11883195.5"/>
    <n v="0"/>
    <n v="0"/>
    <n v="0"/>
    <n v="0"/>
    <s v="EPER"/>
    <n v="7414000005"/>
  </r>
  <r>
    <x v="224"/>
    <s v="KIMBERLY CLARK DE MEXICO S.A.B. DE C.V. (PP)"/>
    <x v="185"/>
    <s v="NORMAL"/>
    <s v="MXN"/>
    <n v="758611"/>
    <n v="48.559412999999999"/>
    <n v="36837704.855342999"/>
    <n v="5.3953107719239508"/>
    <n v="77768351.810686007"/>
    <n v="-758611"/>
    <n v="-36837704.859999999"/>
    <n v="0"/>
    <n v="0"/>
    <n v="0"/>
    <n v="-4.6569999999999997E-3"/>
    <s v="EPER"/>
    <n v="7414000005"/>
  </r>
  <r>
    <x v="224"/>
    <s v="KIMBERLY CLARK DE MEXICO S.A.B. DE C.V. (PP)"/>
    <x v="186"/>
    <s v="NORMAL"/>
    <s v="MXN"/>
    <n v="11339728"/>
    <n v="3.5281129999999998"/>
    <n v="40007841.773263998"/>
    <n v="0.48951742846036517"/>
    <n v="85566678.036528006"/>
    <n v="-11339728"/>
    <n v="-40007841.770000003"/>
    <n v="0"/>
    <n v="0"/>
    <n v="0"/>
    <n v="3.264E-3"/>
    <s v="EPER"/>
    <n v="7414000005"/>
  </r>
  <r>
    <x v="224"/>
    <s v="KIMBERLY CLARK DE MEXICO S.A.B. DE C.V. (PP)"/>
    <x v="0"/>
    <s v="NORMAL"/>
    <s v="MXN"/>
    <n v="43105121"/>
    <n v="3.3967719999999999"/>
    <n v="146418268.06941199"/>
    <n v="3.2661376435992375"/>
    <n v="5631009.7394120004"/>
    <n v="0"/>
    <n v="0"/>
    <n v="0"/>
    <n v="0"/>
    <n v="43105121"/>
    <n v="146418268.06941199"/>
    <s v="EPER"/>
    <n v="7414000005"/>
  </r>
  <r>
    <x v="224"/>
    <s v="KIMBERLY CLARK DE MEXICO S.A.B. DE C.V. (PP)"/>
    <x v="200"/>
    <s v="NORMAL"/>
    <s v="MXN"/>
    <n v="60600"/>
    <n v="42.3"/>
    <n v="2563380"/>
    <n v="8.8620757425742571"/>
    <n v="5663801.79"/>
    <n v="-60600"/>
    <n v="-2568177.39"/>
    <n v="0"/>
    <n v="0"/>
    <n v="0"/>
    <n v="-4797.3900000000003"/>
    <s v="EPER"/>
    <n v="7414000005"/>
  </r>
  <r>
    <x v="224"/>
    <s v="KIMBERLY CLARK DE MEXICO S.A.B. DE C.V. (PP)"/>
    <x v="51"/>
    <s v="NORMAL"/>
    <s v="MXN"/>
    <n v="1586"/>
    <n v="775.69178699999998"/>
    <n v="1230247.1741820001"/>
    <n v="9.7748114000000008"/>
    <n v="2475997.1992444"/>
    <n v="-1586"/>
    <n v="-1252598.3799999999"/>
    <n v="0"/>
    <n v="0"/>
    <n v="0"/>
    <n v="-22351.205817999999"/>
    <s v="EPER"/>
    <n v="7414000005"/>
  </r>
  <r>
    <x v="224"/>
    <s v="KIMBERLY CLARK DE MEXICO S.A.B. DE C.V. (PP)"/>
    <x v="52"/>
    <s v="NORMAL"/>
    <s v="MXN"/>
    <n v="1315"/>
    <n v="747.17843200000004"/>
    <n v="982539.63807999995"/>
    <n v="17.675020991346006"/>
    <n v="1988321.9287636201"/>
    <n v="-1315"/>
    <n v="-995203.6"/>
    <n v="0"/>
    <n v="0"/>
    <n v="0"/>
    <n v="-12663.96192"/>
    <s v="EPER"/>
    <n v="7414000005"/>
  </r>
  <r>
    <x v="224"/>
    <s v="KIMBERLY CLARK DE MEXICO S.A.B. DE C.V. (PP)"/>
    <x v="53"/>
    <s v="NORMAL"/>
    <s v="MXN"/>
    <n v="1432"/>
    <n v="765.92388300000005"/>
    <n v="1096803.000456"/>
    <n v="5.9096264666689944"/>
    <n v="2202068.5860122698"/>
    <n v="-1432"/>
    <n v="-1115649.07"/>
    <n v="0"/>
    <n v="0"/>
    <n v="0"/>
    <n v="-18846.069544000002"/>
    <s v="EPER"/>
    <n v="7414000005"/>
  </r>
  <r>
    <x v="224"/>
    <s v="KIMBERLY CLARK DE MEXICO S.A.B. DE C.V. (PP)"/>
    <x v="55"/>
    <s v="NORMAL"/>
    <s v="MXN"/>
    <n v="8909"/>
    <n v="772.926965"/>
    <n v="6886006.331185"/>
    <n v="31.998697119999999"/>
    <n v="13486936.269727919"/>
    <n v="-8909"/>
    <n v="-6992006.6399999997"/>
    <n v="0"/>
    <n v="0"/>
    <n v="0"/>
    <n v="-106000.308815"/>
    <s v="EPER"/>
    <n v="7414000005"/>
  </r>
  <r>
    <x v="224"/>
    <s v="KIMBERLY CLARK DE MEXICO S.A.B. DE C.V. (PP)"/>
    <x v="56"/>
    <s v="NORMAL"/>
    <s v="MXN"/>
    <n v="11288"/>
    <n v="721.59464000000003"/>
    <n v="8145360.2963199997"/>
    <n v="25.376388410000001"/>
    <n v="16004271.920267919"/>
    <n v="-11288"/>
    <n v="-8264364.0300000003"/>
    <n v="0"/>
    <n v="0"/>
    <n v="0"/>
    <n v="-119003.73368"/>
    <s v="EPER"/>
    <n v="7414000005"/>
  </r>
  <r>
    <x v="224"/>
    <s v="KIMBERLY CLARK DE MEXICO S.A.B. DE C.V. (PP)"/>
    <x v="57"/>
    <s v="NORMAL"/>
    <s v="MXN"/>
    <n v="794"/>
    <n v="635.96311900000001"/>
    <n v="504954.71648599999"/>
    <n v="38.160738819999999"/>
    <n v="979609.80634891998"/>
    <n v="-794"/>
    <n v="-511907.61"/>
    <n v="0"/>
    <n v="0"/>
    <n v="0"/>
    <n v="-6952.8935140000003"/>
    <s v="EPER"/>
    <n v="7414000005"/>
  </r>
  <r>
    <x v="224"/>
    <s v="KIMBERLY CLARK DE MEXICO S.A.B. DE C.V. (PP)"/>
    <x v="58"/>
    <s v="NORMAL"/>
    <s v="MXN"/>
    <n v="7490"/>
    <n v="709.36974099999998"/>
    <n v="5313179.3600899996"/>
    <n v="58.809078419999999"/>
    <n v="10185878.7228142"/>
    <n v="-7490"/>
    <n v="-5397831.6100000003"/>
    <n v="0"/>
    <n v="0"/>
    <n v="0"/>
    <n v="-84652.249909999999"/>
    <s v="EPER"/>
    <n v="7414000005"/>
  </r>
  <r>
    <x v="224"/>
    <s v="KIMBERLY CLARK DE MEXICO S.A.B. DE C.V. (PP)"/>
    <x v="59"/>
    <s v="NORMAL"/>
    <s v="MXN"/>
    <n v="13932"/>
    <n v="694.41118700000004"/>
    <n v="9674536.6572840009"/>
    <n v="33.238675279839221"/>
    <n v="18885992.09056928"/>
    <n v="-13932"/>
    <n v="-9868932.3100000005"/>
    <n v="0"/>
    <n v="0"/>
    <n v="0"/>
    <n v="-194395.65271600001"/>
    <s v="EPER"/>
    <n v="7414000005"/>
  </r>
  <r>
    <x v="224"/>
    <s v="KIMBERLY CLARK DE MEXICO S.A.B. DE C.V. (PP)"/>
    <x v="60"/>
    <s v="NORMAL"/>
    <s v="MXN"/>
    <n v="110900"/>
    <n v="58.67"/>
    <n v="6506503"/>
    <n v="20.873057530207394"/>
    <n v="7795309.6599000003"/>
    <n v="-61422"/>
    <n v="-3695591.61"/>
    <n v="0"/>
    <n v="0"/>
    <n v="49478"/>
    <n v="2810911.39"/>
    <s v="EPER"/>
    <n v="7414000005"/>
  </r>
  <r>
    <x v="224"/>
    <s v="KIMBERLY CLARK DE MEXICO S.A.B. DE C.V. (PP)"/>
    <x v="61"/>
    <s v="NORMAL"/>
    <s v="MXN"/>
    <n v="10130"/>
    <n v="1090"/>
    <n v="11041700"/>
    <n v="9.3600236920039492"/>
    <n v="21988582.960000001"/>
    <n v="-10130"/>
    <n v="-11083334.300000001"/>
    <n v="0"/>
    <n v="0"/>
    <n v="0"/>
    <n v="-41634.300000000003"/>
    <s v="EPER"/>
    <n v="7414000005"/>
  </r>
  <r>
    <x v="224"/>
    <s v="KIMBERLY CLARK DE MEXICO S.A.B. DE C.V. (PP)"/>
    <x v="63"/>
    <s v="NORMAL"/>
    <s v="MXN"/>
    <n v="350800"/>
    <n v="65.260000000000005"/>
    <n v="22893208"/>
    <n v="3.3676709521094641"/>
    <n v="44605037.030000001"/>
    <n v="-350800"/>
    <n v="-22871663.629999999"/>
    <n v="0"/>
    <n v="0"/>
    <n v="0"/>
    <n v="21544.37"/>
    <s v="EPER"/>
    <n v="7414000005"/>
  </r>
  <r>
    <x v="225"/>
    <s v="KIMBERLY CLARK DE MEXICO S.A.B. DE C.V. (PA)"/>
    <x v="4"/>
    <s v="NORMAL"/>
    <s v="MXN"/>
    <n v="1500"/>
    <n v="168.64"/>
    <n v="252960"/>
    <n v="0.58241333333333334"/>
    <n v="506793.62"/>
    <n v="-1500"/>
    <n v="-254108.89"/>
    <n v="0"/>
    <n v="0"/>
    <n v="0"/>
    <n v="-1148.8900000000001"/>
    <s v="EPER"/>
    <n v="7414000005"/>
  </r>
  <r>
    <x v="225"/>
    <s v="KIMBERLY CLARK DE MEXICO S.A.B. DE C.V. (PA)"/>
    <x v="5"/>
    <s v="NORMAL"/>
    <s v="MXN"/>
    <n v="130"/>
    <n v="1786.5"/>
    <n v="232245"/>
    <n v="171.91230769230771"/>
    <n v="486838.6"/>
    <n v="-130"/>
    <n v="-234525.2"/>
    <n v="0"/>
    <n v="0"/>
    <n v="0"/>
    <n v="-2280.1999999999998"/>
    <s v="EPER"/>
    <n v="7414000005"/>
  </r>
  <r>
    <x v="225"/>
    <s v="KIMBERLY CLARK DE MEXICO S.A.B. DE C.V. (PA)"/>
    <x v="6"/>
    <s v="NORMAL"/>
    <s v="MXN"/>
    <n v="13800"/>
    <n v="12.48"/>
    <n v="172224"/>
    <n v="1.7722623188405797"/>
    <n v="368905.22"/>
    <n v="-13800"/>
    <n v="-172301.4"/>
    <n v="0"/>
    <n v="0"/>
    <n v="0"/>
    <n v="-77.400000000000006"/>
    <s v="EPER"/>
    <n v="7414000005"/>
  </r>
  <r>
    <x v="225"/>
    <s v="KIMBERLY CLARK DE MEXICO S.A.B. DE C.V. (PA)"/>
    <x v="7"/>
    <s v="NORMAL"/>
    <s v="MXN"/>
    <n v="2500"/>
    <n v="73.37"/>
    <n v="183425"/>
    <n v="14.841652"/>
    <n v="240454.58"/>
    <n v="-1283"/>
    <n v="-96584.42"/>
    <n v="0"/>
    <n v="0"/>
    <n v="1217"/>
    <n v="86840.58"/>
    <s v="EPER"/>
    <n v="7414000005"/>
  </r>
  <r>
    <x v="225"/>
    <s v="KIMBERLY CLARK DE MEXICO S.A.B. DE C.V. (PA)"/>
    <x v="10"/>
    <s v="NORMAL"/>
    <s v="MXN"/>
    <n v="51000"/>
    <n v="15.12"/>
    <n v="771120"/>
    <n v="1.3990358803921568"/>
    <n v="1470889.1701"/>
    <n v="-51000"/>
    <n v="-775660.09"/>
    <n v="0"/>
    <n v="0"/>
    <n v="0"/>
    <n v="-4540.09"/>
    <s v="EPER"/>
    <n v="7414000005"/>
  </r>
  <r>
    <x v="225"/>
    <s v="KIMBERLY CLARK DE MEXICO S.A.B. DE C.V. (PA)"/>
    <x v="11"/>
    <s v="NORMAL"/>
    <s v="MXN"/>
    <n v="550"/>
    <n v="525.09"/>
    <n v="288799.5"/>
    <n v="25.065745454545453"/>
    <n v="591385.16"/>
    <n v="-550"/>
    <n v="-291950.15999999997"/>
    <n v="0"/>
    <n v="0"/>
    <n v="0"/>
    <n v="-3150.66"/>
    <s v="EPER"/>
    <n v="7414000005"/>
  </r>
  <r>
    <x v="225"/>
    <s v="KIMBERLY CLARK DE MEXICO S.A.B. DE C.V. (PA)"/>
    <x v="12"/>
    <s v="NORMAL"/>
    <s v="MXN"/>
    <n v="2550"/>
    <n v="68.25"/>
    <n v="174037.5"/>
    <n v="11.36632156862745"/>
    <n v="319090.88"/>
    <n v="-2550"/>
    <n v="-175072.13"/>
    <n v="0"/>
    <n v="0"/>
    <n v="0"/>
    <n v="-1034.6300000000001"/>
    <s v="EPER"/>
    <n v="7414000005"/>
  </r>
  <r>
    <x v="225"/>
    <s v="KIMBERLY CLARK DE MEXICO S.A.B. DE C.V. (PA)"/>
    <x v="14"/>
    <s v="NORMAL"/>
    <s v="MXN"/>
    <n v="40000"/>
    <n v="14.33"/>
    <n v="573200"/>
    <n v="3.0078532500000001"/>
    <n v="1266714.1299999999"/>
    <n v="-40000"/>
    <n v="-574812.94999999995"/>
    <n v="0"/>
    <n v="0"/>
    <n v="0"/>
    <n v="-1612.95"/>
    <s v="EPER"/>
    <n v="7414000005"/>
  </r>
  <r>
    <x v="225"/>
    <s v="KIMBERLY CLARK DE MEXICO S.A.B. DE C.V. (PA)"/>
    <x v="70"/>
    <s v="NORMAL"/>
    <s v="MXN"/>
    <n v="0"/>
    <n v="0"/>
    <n v="0"/>
    <n v="0"/>
    <n v="-1425.9675"/>
    <n v="250000"/>
    <n v="2254237.9700000002"/>
    <n v="0"/>
    <n v="0"/>
    <n v="250000"/>
    <n v="2254237.9700000002"/>
    <s v="EPER"/>
    <n v="7414000005"/>
  </r>
  <r>
    <x v="225"/>
    <s v="KIMBERLY CLARK DE MEXICO S.A.B. DE C.V. (PA)"/>
    <x v="124"/>
    <s v="NORMAL"/>
    <s v="MXN"/>
    <n v="1704"/>
    <n v="72.270214999999993"/>
    <n v="123148.44636"/>
    <n v="94.414778179999999"/>
    <n v="-37734.335658720003"/>
    <n v="0"/>
    <n v="0"/>
    <n v="0"/>
    <n v="0"/>
    <n v="1704"/>
    <n v="123148.44636"/>
    <s v="EPER"/>
    <n v="7414000005"/>
  </r>
  <r>
    <x v="225"/>
    <s v="KIMBERLY CLARK DE MEXICO S.A.B. DE C.V. (PA)"/>
    <x v="17"/>
    <s v="NORMAL"/>
    <s v="MXN"/>
    <n v="300"/>
    <n v="675.38"/>
    <n v="202614"/>
    <n v="104.20343333333334"/>
    <n v="373966.97"/>
    <n v="-300"/>
    <n v="-203781"/>
    <n v="0"/>
    <n v="0"/>
    <n v="0"/>
    <n v="-1167"/>
    <s v="EPER"/>
    <n v="7414000005"/>
  </r>
  <r>
    <x v="225"/>
    <s v="KIMBERLY CLARK DE MEXICO S.A.B. DE C.V. (PA)"/>
    <x v="18"/>
    <s v="NORMAL"/>
    <s v="MXN"/>
    <n v="68"/>
    <n v="700.65"/>
    <n v="47644.2"/>
    <n v="146.34470588235294"/>
    <n v="85336.960000000006"/>
    <n v="-68"/>
    <n v="-47644.2"/>
    <n v="0"/>
    <n v="0"/>
    <n v="0"/>
    <n v="0"/>
    <s v="EPER"/>
    <n v="7414000005"/>
  </r>
  <r>
    <x v="225"/>
    <s v="KIMBERLY CLARK DE MEXICO S.A.B. DE C.V. (PA)"/>
    <x v="19"/>
    <s v="NORMAL"/>
    <s v="MXN"/>
    <n v="120"/>
    <n v="1151"/>
    <n v="138120"/>
    <n v="138.97916666666666"/>
    <n v="292917.5"/>
    <n v="-120"/>
    <n v="-139130.4"/>
    <n v="0"/>
    <n v="0"/>
    <n v="0"/>
    <n v="-1010.4"/>
    <s v="EPER"/>
    <n v="7414000005"/>
  </r>
  <r>
    <x v="225"/>
    <s v="KIMBERLY CLARK DE MEXICO S.A.B. DE C.V. (PA)"/>
    <x v="20"/>
    <s v="NORMAL"/>
    <s v="MXN"/>
    <n v="4400"/>
    <n v="207.81"/>
    <n v="914364"/>
    <n v="37.16596818181818"/>
    <n v="1992258.26"/>
    <n v="-4400"/>
    <n v="-915045.88"/>
    <n v="0"/>
    <n v="0"/>
    <n v="0"/>
    <n v="-681.88"/>
    <s v="EPER"/>
    <n v="7414000005"/>
  </r>
  <r>
    <x v="225"/>
    <s v="KIMBERLY CLARK DE MEXICO S.A.B. DE C.V. (PA)"/>
    <x v="194"/>
    <s v="NORMAL"/>
    <s v="MXN"/>
    <n v="1885"/>
    <n v="30.9"/>
    <n v="58246.5"/>
    <n v="0.77649469496021217"/>
    <n v="115029.3075"/>
    <n v="-1885"/>
    <n v="-58310.29"/>
    <n v="0"/>
    <n v="0"/>
    <n v="0"/>
    <n v="-63.79"/>
    <s v="EPER"/>
    <n v="7414000005"/>
  </r>
  <r>
    <x v="225"/>
    <s v="KIMBERLY CLARK DE MEXICO S.A.B. DE C.V. (PA)"/>
    <x v="195"/>
    <s v="NORMAL"/>
    <s v="MXN"/>
    <n v="819"/>
    <n v="68.83"/>
    <n v="56371.77"/>
    <n v="6.2951002442002446"/>
    <n v="117761.5671"/>
    <n v="-817"/>
    <n v="-56150.61"/>
    <n v="0"/>
    <n v="0"/>
    <n v="2"/>
    <n v="221.16"/>
    <s v="EPER"/>
    <n v="7414000005"/>
  </r>
  <r>
    <x v="225"/>
    <s v="KIMBERLY CLARK DE MEXICO S.A.B. DE C.V. (PA)"/>
    <x v="21"/>
    <s v="NORMAL"/>
    <s v="MXN"/>
    <n v="700"/>
    <n v="271.94"/>
    <n v="190358"/>
    <n v="29.676600000000001"/>
    <n v="359942.38"/>
    <n v="-700"/>
    <n v="-190380.51"/>
    <n v="0"/>
    <n v="0"/>
    <n v="0"/>
    <n v="-22.51"/>
    <s v="EPER"/>
    <n v="7414000005"/>
  </r>
  <r>
    <x v="225"/>
    <s v="KIMBERLY CLARK DE MEXICO S.A.B. DE C.V. (PA)"/>
    <x v="22"/>
    <s v="NORMAL"/>
    <s v="MXN"/>
    <n v="800"/>
    <n v="193.15"/>
    <n v="154520"/>
    <n v="44.399075000000003"/>
    <n v="344559.26"/>
    <n v="-800"/>
    <n v="-153232.23000000001"/>
    <n v="0"/>
    <n v="0"/>
    <n v="0"/>
    <n v="1287.77"/>
    <s v="EPER"/>
    <n v="7414000005"/>
  </r>
  <r>
    <x v="225"/>
    <s v="KIMBERLY CLARK DE MEXICO S.A.B. DE C.V. (PA)"/>
    <x v="23"/>
    <s v="NORMAL"/>
    <s v="MXN"/>
    <n v="5300"/>
    <n v="27.12"/>
    <n v="143736"/>
    <n v="7.5047886792452827"/>
    <n v="327247.38"/>
    <n v="-5300"/>
    <n v="-144956.94"/>
    <n v="0"/>
    <n v="0"/>
    <n v="0"/>
    <n v="-1220.94"/>
    <s v="EPER"/>
    <n v="7414000005"/>
  </r>
  <r>
    <x v="225"/>
    <s v="KIMBERLY CLARK DE MEXICO S.A.B. DE C.V. (PA)"/>
    <x v="201"/>
    <s v="NORMAL"/>
    <s v="MXN"/>
    <n v="1000"/>
    <n v="50.75"/>
    <n v="50750"/>
    <n v="14.14744"/>
    <n v="115647.44"/>
    <n v="-1000"/>
    <n v="-50587.67"/>
    <n v="0"/>
    <n v="0"/>
    <n v="0"/>
    <n v="162.33000000000001"/>
    <s v="EPER"/>
    <n v="7414000005"/>
  </r>
  <r>
    <x v="225"/>
    <s v="KIMBERLY CLARK DE MEXICO S.A.B. DE C.V. (PA)"/>
    <x v="24"/>
    <s v="NORMAL"/>
    <s v="MXN"/>
    <n v="5900"/>
    <n v="176.44"/>
    <n v="1040996"/>
    <n v="34.882522033898304"/>
    <n v="2287798.88"/>
    <n v="-5900"/>
    <n v="-1040230.97"/>
    <n v="0"/>
    <n v="0"/>
    <n v="0"/>
    <n v="765.03"/>
    <s v="EPER"/>
    <n v="7414000005"/>
  </r>
  <r>
    <x v="225"/>
    <s v="KIMBERLY CLARK DE MEXICO S.A.B. DE C.V. (PA)"/>
    <x v="25"/>
    <s v="NORMAL"/>
    <s v="MXN"/>
    <n v="7100"/>
    <n v="104.12"/>
    <n v="739252"/>
    <n v="4.7644338028169013"/>
    <n v="1388949.28"/>
    <n v="-5915"/>
    <n v="-618810.71"/>
    <n v="0"/>
    <n v="0"/>
    <n v="1185"/>
    <n v="120441.29"/>
    <s v="EPER"/>
    <n v="7414000005"/>
  </r>
  <r>
    <x v="225"/>
    <s v="KIMBERLY CLARK DE MEXICO S.A.B. DE C.V. (PA)"/>
    <x v="31"/>
    <s v="NORMAL"/>
    <s v="MXN"/>
    <n v="0"/>
    <n v="0"/>
    <n v="0"/>
    <n v="0"/>
    <n v="-2753.4892500000001"/>
    <n v="25000"/>
    <n v="2403837.46"/>
    <n v="0"/>
    <n v="0"/>
    <n v="25000"/>
    <n v="2403837.46"/>
    <s v="EPER"/>
    <n v="7414000005"/>
  </r>
  <r>
    <x v="225"/>
    <s v="KIMBERLY CLARK DE MEXICO S.A.B. DE C.V. (PA)"/>
    <x v="33"/>
    <s v="NORMAL"/>
    <s v="MXN"/>
    <n v="2190"/>
    <n v="94.870157000000006"/>
    <n v="207765.64382999999"/>
    <n v="1.9151646909589042"/>
    <n v="411337.07698680001"/>
    <n v="-2190"/>
    <n v="-214517.54"/>
    <n v="0"/>
    <n v="0"/>
    <n v="0"/>
    <n v="-6751.89617"/>
    <s v="EPER"/>
    <n v="7414000005"/>
  </r>
  <r>
    <x v="225"/>
    <s v="KIMBERLY CLARK DE MEXICO S.A.B. DE C.V. (PA)"/>
    <x v="34"/>
    <s v="NORMAL"/>
    <s v="MXN"/>
    <n v="843"/>
    <n v="89.489464999999996"/>
    <n v="75439.618994999997"/>
    <n v="2752.6651877773429"/>
    <n v="-7820.5093012999996"/>
    <n v="25000"/>
    <n v="2312792.0499999998"/>
    <n v="0"/>
    <n v="0"/>
    <n v="25843"/>
    <n v="2388231.668995"/>
    <s v="EPER"/>
    <n v="7414000005"/>
  </r>
  <r>
    <x v="225"/>
    <s v="KIMBERLY CLARK DE MEXICO S.A.B. DE C.V. (PA)"/>
    <x v="35"/>
    <s v="NORMAL"/>
    <s v="MXN"/>
    <n v="450"/>
    <n v="86.197128000000006"/>
    <n v="38788.707600000002"/>
    <n v="2.3665609500000002"/>
    <n v="76512.462772500003"/>
    <n v="-450"/>
    <n v="-40070.83"/>
    <n v="0"/>
    <n v="0"/>
    <n v="0"/>
    <n v="-1282.1224"/>
    <s v="EPER"/>
    <n v="7414000005"/>
  </r>
  <r>
    <x v="225"/>
    <s v="KIMBERLY CLARK DE MEXICO S.A.B. DE C.V. (PA)"/>
    <x v="36"/>
    <s v="NORMAL"/>
    <s v="MXN"/>
    <n v="1660"/>
    <n v="86.469353999999996"/>
    <n v="143539.12763999999"/>
    <n v="89.3357706610241"/>
    <n v="-4758.2516573000003"/>
    <n v="0"/>
    <n v="0"/>
    <n v="0"/>
    <n v="0"/>
    <n v="1660"/>
    <n v="143539.12763999999"/>
    <s v="EPER"/>
    <n v="7414000005"/>
  </r>
  <r>
    <x v="225"/>
    <s v="KIMBERLY CLARK DE MEXICO S.A.B. DE C.V. (PA)"/>
    <x v="68"/>
    <s v="NORMAL"/>
    <s v="MXN"/>
    <n v="0"/>
    <n v="0"/>
    <n v="0"/>
    <n v="0"/>
    <n v="-12631.7335"/>
    <n v="25000"/>
    <n v="2331037.42"/>
    <n v="0"/>
    <n v="0"/>
    <n v="25000"/>
    <n v="2331037.42"/>
    <s v="EPER"/>
    <n v="7414000005"/>
  </r>
  <r>
    <x v="225"/>
    <s v="KIMBERLY CLARK DE MEXICO S.A.B. DE C.V. (PA)"/>
    <x v="37"/>
    <s v="NORMAL"/>
    <s v="MXN"/>
    <n v="398"/>
    <n v="81.738860000000003"/>
    <n v="32532.066279999999"/>
    <n v="5.5232792699999997"/>
    <n v="62865.867410539999"/>
    <n v="-398"/>
    <n v="-33728.65"/>
    <n v="0"/>
    <n v="0"/>
    <n v="0"/>
    <n v="-1196.5837200000001"/>
    <s v="EPER"/>
    <n v="7414000005"/>
  </r>
  <r>
    <x v="225"/>
    <s v="KIMBERLY CLARK DE MEXICO S.A.B. DE C.V. (PA)"/>
    <x v="38"/>
    <s v="NORMAL"/>
    <s v="MXN"/>
    <n v="912"/>
    <n v="83.200761"/>
    <n v="75879.094031999994"/>
    <n v="6.0626566799999999"/>
    <n v="146229.04517184"/>
    <n v="-912"/>
    <n v="-78572.56"/>
    <n v="0"/>
    <n v="0"/>
    <n v="0"/>
    <n v="-2693.465968"/>
    <s v="EPER"/>
    <n v="7414000005"/>
  </r>
  <r>
    <x v="225"/>
    <s v="KIMBERLY CLARK DE MEXICO S.A.B. DE C.V. (PA)"/>
    <x v="39"/>
    <s v="NORMAL"/>
    <s v="MXN"/>
    <n v="584"/>
    <n v="82.159907000000004"/>
    <n v="47981.385688000002"/>
    <n v="6.2834505600000004"/>
    <n v="92293.236248960005"/>
    <n v="-584"/>
    <n v="-48665.64"/>
    <n v="0"/>
    <n v="0"/>
    <n v="0"/>
    <n v="-684.25431200000003"/>
    <s v="EPER"/>
    <n v="7414000005"/>
  </r>
  <r>
    <x v="225"/>
    <s v="KIMBERLY CLARK DE MEXICO S.A.B. DE C.V. (PA)"/>
    <x v="40"/>
    <s v="NORMAL"/>
    <s v="MXN"/>
    <n v="700"/>
    <n v="314.42"/>
    <n v="220094"/>
    <n v="55.431371428571431"/>
    <n v="478989.96"/>
    <n v="-700"/>
    <n v="-222571.02"/>
    <n v="0"/>
    <n v="0"/>
    <n v="0"/>
    <n v="-2477.02"/>
    <s v="EPER"/>
    <n v="7414000005"/>
  </r>
  <r>
    <x v="225"/>
    <s v="KIMBERLY CLARK DE MEXICO S.A.B. DE C.V. (PA)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225"/>
    <s v="KIMBERLY CLARK DE MEXICO S.A.B. DE C.V. (PA)"/>
    <x v="42"/>
    <s v="NORMAL"/>
    <s v="MXN"/>
    <n v="106"/>
    <n v="8532.5"/>
    <n v="904445"/>
    <n v="3270.1701886792453"/>
    <n v="2155528.04"/>
    <n v="-106"/>
    <n v="-914758.8"/>
    <n v="0"/>
    <n v="0"/>
    <n v="0"/>
    <n v="-10313.799999999999"/>
    <s v="EPER"/>
    <n v="7414000005"/>
  </r>
  <r>
    <x v="225"/>
    <s v="KIMBERLY CLARK DE MEXICO S.A.B. DE C.V. (PA)"/>
    <x v="198"/>
    <s v="NORMAL"/>
    <s v="MXN"/>
    <n v="5000"/>
    <n v="38.369999999999997"/>
    <n v="191850"/>
    <n v="4.390682"/>
    <n v="405653.41"/>
    <n v="-5000"/>
    <n v="-191681.14"/>
    <n v="0"/>
    <n v="0"/>
    <n v="0"/>
    <n v="168.86"/>
    <s v="EPER"/>
    <n v="7414000005"/>
  </r>
  <r>
    <x v="225"/>
    <s v="KIMBERLY CLARK DE MEXICO S.A.B. DE C.V. (PA)"/>
    <x v="43"/>
    <s v="NORMAL"/>
    <s v="MXN"/>
    <n v="1020"/>
    <n v="158.63"/>
    <n v="161802.6"/>
    <n v="25.272147058823528"/>
    <n v="349382.79"/>
    <n v="-1020"/>
    <n v="-163642.03"/>
    <n v="0"/>
    <n v="0"/>
    <n v="0"/>
    <n v="-1839.43"/>
    <s v="EPER"/>
    <n v="7414000005"/>
  </r>
  <r>
    <x v="225"/>
    <s v="KIMBERLY CLARK DE MEXICO S.A.B. DE C.V. (PA)"/>
    <x v="48"/>
    <s v="NORMAL"/>
    <s v="MXN"/>
    <n v="900"/>
    <n v="156"/>
    <n v="140400"/>
    <n v="20.82157777777778"/>
    <n v="299539.42"/>
    <n v="-900"/>
    <n v="-140539.99"/>
    <n v="0"/>
    <n v="0"/>
    <n v="0"/>
    <n v="-139.99"/>
    <s v="EPER"/>
    <n v="7414000005"/>
  </r>
  <r>
    <x v="225"/>
    <s v="KIMBERLY CLARK DE MEXICO S.A.B. DE C.V. (PA)"/>
    <x v="49"/>
    <s v="NORMAL"/>
    <s v="MXN"/>
    <n v="558"/>
    <n v="682.55"/>
    <n v="380862.9"/>
    <n v="90.805448028673837"/>
    <n v="711056.36"/>
    <n v="-558"/>
    <n v="-380862.9"/>
    <n v="0"/>
    <n v="0"/>
    <n v="0"/>
    <n v="0"/>
    <s v="EPER"/>
    <n v="7414000005"/>
  </r>
  <r>
    <x v="225"/>
    <s v="KIMBERLY CLARK DE MEXICO S.A.B. DE C.V. (PA)"/>
    <x v="185"/>
    <s v="NORMAL"/>
    <s v="MXN"/>
    <n v="52794"/>
    <n v="48.559412999999999"/>
    <n v="2563645.6499219998"/>
    <n v="17.163661969163162"/>
    <n v="6033429.6698439997"/>
    <n v="-52794"/>
    <n v="-2563645.65"/>
    <n v="0"/>
    <n v="0"/>
    <n v="0"/>
    <n v="-7.7999999999999999E-5"/>
    <s v="EPER"/>
    <n v="7414000005"/>
  </r>
  <r>
    <x v="225"/>
    <s v="KIMBERLY CLARK DE MEXICO S.A.B. DE C.V. (PA)"/>
    <x v="186"/>
    <s v="NORMAL"/>
    <s v="MXN"/>
    <n v="785136"/>
    <n v="3.5281129999999998"/>
    <n v="2770048.5283679999"/>
    <n v="1.374879995312914"/>
    <n v="6619564.8367360001"/>
    <n v="-785136"/>
    <n v="-2770048.53"/>
    <n v="0"/>
    <n v="0"/>
    <n v="0"/>
    <n v="-1.632E-3"/>
    <s v="EPER"/>
    <n v="7414000005"/>
  </r>
  <r>
    <x v="225"/>
    <s v="KIMBERLY CLARK DE MEXICO S.A.B. DE C.V. (PA)"/>
    <x v="0"/>
    <s v="NORMAL"/>
    <s v="MXN"/>
    <n v="889529"/>
    <n v="3.3967719999999999"/>
    <n v="3021527.2003879999"/>
    <n v="3.1867618930917372"/>
    <n v="186810.080388"/>
    <n v="0"/>
    <n v="0"/>
    <n v="0"/>
    <n v="0"/>
    <n v="889529"/>
    <n v="3021527.2003879999"/>
    <s v="EPER"/>
    <n v="7414000005"/>
  </r>
  <r>
    <x v="225"/>
    <s v="KIMBERLY CLARK DE MEXICO S.A.B. DE C.V. (PA)"/>
    <x v="200"/>
    <s v="NORMAL"/>
    <s v="MXN"/>
    <n v="1700"/>
    <n v="42.3"/>
    <n v="71910"/>
    <n v="10.395082352941177"/>
    <n v="161491.64000000001"/>
    <n v="-1700"/>
    <n v="-72044.45"/>
    <n v="0"/>
    <n v="0"/>
    <n v="0"/>
    <n v="-134.44999999999999"/>
    <s v="EPER"/>
    <n v="7414000005"/>
  </r>
  <r>
    <x v="225"/>
    <s v="KIMBERLY CLARK DE MEXICO S.A.B. DE C.V. (PA)"/>
    <x v="55"/>
    <s v="NORMAL"/>
    <s v="MXN"/>
    <n v="290"/>
    <n v="772.926965"/>
    <n v="224148.81985"/>
    <n v="31.998697119999999"/>
    <n v="439018.01753519999"/>
    <n v="-290"/>
    <n v="-227599.27"/>
    <n v="0"/>
    <n v="0"/>
    <n v="0"/>
    <n v="-3450.4501500000001"/>
    <s v="EPER"/>
    <n v="7414000005"/>
  </r>
  <r>
    <x v="225"/>
    <s v="KIMBERLY CLARK DE MEXICO S.A.B. DE C.V. (PA)"/>
    <x v="56"/>
    <s v="NORMAL"/>
    <s v="MXN"/>
    <n v="233"/>
    <n v="721.59464000000003"/>
    <n v="168131.55111999999"/>
    <n v="35.7096655"/>
    <n v="327942.75017850002"/>
    <n v="-233"/>
    <n v="-170587.95"/>
    <n v="0"/>
    <n v="0"/>
    <n v="0"/>
    <n v="-2456.3988800000002"/>
    <s v="EPER"/>
    <n v="7414000005"/>
  </r>
  <r>
    <x v="225"/>
    <s v="KIMBERLY CLARK DE MEXICO S.A.B. DE C.V. (PA)"/>
    <x v="57"/>
    <s v="NORMAL"/>
    <s v="MXN"/>
    <n v="45"/>
    <n v="635.96311900000001"/>
    <n v="28618.340355"/>
    <n v="38.160738819999999"/>
    <n v="55519.447463099998"/>
    <n v="-45"/>
    <n v="-29012.400000000001"/>
    <n v="0"/>
    <n v="0"/>
    <n v="0"/>
    <n v="-394.05964499999999"/>
    <s v="EPER"/>
    <n v="7414000005"/>
  </r>
  <r>
    <x v="225"/>
    <s v="KIMBERLY CLARK DE MEXICO S.A.B. DE C.V. (PA)"/>
    <x v="58"/>
    <s v="NORMAL"/>
    <s v="MXN"/>
    <n v="232"/>
    <n v="709.36974099999998"/>
    <n v="164573.779912"/>
    <n v="58.809078419999999"/>
    <n v="315503.85363055998"/>
    <n v="-232"/>
    <n v="-167195.85"/>
    <n v="0"/>
    <n v="0"/>
    <n v="0"/>
    <n v="-2622.0700879999999"/>
    <s v="EPER"/>
    <n v="7414000005"/>
  </r>
  <r>
    <x v="225"/>
    <s v="KIMBERLY CLARK DE MEXICO S.A.B. DE C.V. (PA)"/>
    <x v="59"/>
    <s v="NORMAL"/>
    <s v="MXN"/>
    <n v="405"/>
    <n v="694.41118700000004"/>
    <n v="281236.53073499998"/>
    <n v="57.274829279999999"/>
    <n v="539276.75561160001"/>
    <n v="-405"/>
    <n v="-286887.57"/>
    <n v="0"/>
    <n v="0"/>
    <n v="0"/>
    <n v="-5651.0392650000003"/>
    <s v="EPER"/>
    <n v="7414000005"/>
  </r>
  <r>
    <x v="225"/>
    <s v="KIMBERLY CLARK DE MEXICO S.A.B. DE C.V. (PA)"/>
    <x v="60"/>
    <s v="NORMAL"/>
    <s v="MXN"/>
    <n v="3100"/>
    <n v="58.67"/>
    <n v="181877"/>
    <n v="9.4700709677419361"/>
    <n v="253256.17"/>
    <n v="-1717"/>
    <n v="-103307.1"/>
    <n v="0"/>
    <n v="0"/>
    <n v="1383"/>
    <n v="78569.899999999994"/>
    <s v="EPER"/>
    <n v="7414000005"/>
  </r>
  <r>
    <x v="225"/>
    <s v="KIMBERLY CLARK DE MEXICO S.A.B. DE C.V. (PA)"/>
    <x v="61"/>
    <s v="NORMAL"/>
    <s v="MXN"/>
    <n v="260"/>
    <n v="1090"/>
    <n v="283400"/>
    <n v="6.2521538461538464"/>
    <n v="568425.56000000006"/>
    <n v="-260"/>
    <n v="-284468.59999999998"/>
    <n v="0"/>
    <n v="0"/>
    <n v="0"/>
    <n v="-1068.5999999999999"/>
    <s v="EPER"/>
    <n v="7414000005"/>
  </r>
  <r>
    <x v="225"/>
    <s v="KIMBERLY CLARK DE MEXICO S.A.B. DE C.V. (PA)"/>
    <x v="63"/>
    <s v="NORMAL"/>
    <s v="MXN"/>
    <n v="9900"/>
    <n v="65.260000000000005"/>
    <n v="646074"/>
    <n v="4.5554383838383838"/>
    <n v="1247049.1599999999"/>
    <n v="-9900"/>
    <n v="-645466.18000000005"/>
    <n v="0"/>
    <n v="0"/>
    <n v="0"/>
    <n v="607.82000000000005"/>
    <s v="EPER"/>
    <n v="7414000005"/>
  </r>
  <r>
    <x v="226"/>
    <s v="OPERADORA WINGS SA DE CV FONDO DE PENSIONES"/>
    <x v="0"/>
    <s v="NORMAL"/>
    <s v="MXN"/>
    <n v="3886"/>
    <n v="3.3967719999999999"/>
    <n v="13199.855992000001"/>
    <n v="3.3601878538342769"/>
    <n v="142.16599199999999"/>
    <n v="0"/>
    <n v="0"/>
    <n v="0"/>
    <n v="0"/>
    <n v="3886"/>
    <n v="13199.855992000001"/>
    <s v="EPER"/>
    <n v="7414000005"/>
  </r>
  <r>
    <x v="226"/>
    <s v="OPERADORA WINGS SA DE CV FONDO DE PENSIONES"/>
    <x v="64"/>
    <s v="NORMAL"/>
    <s v="MXN"/>
    <n v="8000411"/>
    <n v="2.7668819999999998"/>
    <n v="22136193.188501999"/>
    <n v="1.8965170014390511"/>
    <n v="6963277.7085020002"/>
    <n v="0"/>
    <n v="0"/>
    <n v="0"/>
    <n v="0"/>
    <n v="8000411"/>
    <n v="22136193.188501999"/>
    <s v="EPER"/>
    <n v="7414000005"/>
  </r>
  <r>
    <x v="227"/>
    <s v="BANCO S3 MEXICO SA INSTITUCION DE BANCA MULTIPLE (COMPA?IA)"/>
    <x v="75"/>
    <s v="NORMAL"/>
    <s v="MXN"/>
    <n v="27192"/>
    <n v="3.612981"/>
    <n v="98244.179352000006"/>
    <n v="3.6023749632244777"/>
    <n v="288.39935200000002"/>
    <n v="0"/>
    <n v="0"/>
    <n v="0"/>
    <n v="0"/>
    <n v="27192"/>
    <n v="98244.179352000006"/>
    <s v="EPER"/>
    <n v="7414000005"/>
  </r>
  <r>
    <x v="227"/>
    <s v="BANCO S3 MEXICO SA INSTITUCION DE BANCA MULTIPLE (COMPA?IA)"/>
    <x v="76"/>
    <s v="NORMAL"/>
    <s v="MXN"/>
    <n v="16219"/>
    <n v="137.04691399999999"/>
    <n v="2222763.8981659999"/>
    <n v="119.13608483876935"/>
    <n v="290495.738166"/>
    <n v="0"/>
    <n v="0"/>
    <n v="0"/>
    <n v="0"/>
    <n v="16219"/>
    <n v="2222763.8981659999"/>
    <s v="EPER"/>
    <n v="7414000005"/>
  </r>
  <r>
    <x v="227"/>
    <s v="BANCO S3 MEXICO SA INSTITUCION DE BANCA MULTIPLE (COMPA?IA)"/>
    <x v="77"/>
    <s v="NORMAL"/>
    <s v="MXN"/>
    <n v="2466349"/>
    <n v="3.6364960000000002"/>
    <n v="8968868.2731040008"/>
    <n v="3.048425775468111"/>
    <n v="1450386.4102040001"/>
    <n v="0"/>
    <n v="0"/>
    <n v="0"/>
    <n v="0"/>
    <n v="2466349"/>
    <n v="8968868.2731040008"/>
    <s v="EPER"/>
    <n v="7414000005"/>
  </r>
  <r>
    <x v="227"/>
    <s v="BANCO S3 MEXICO SA INSTITUCION DE BANCA MULTIPLE (COMPA?IA)"/>
    <x v="78"/>
    <s v="NORMAL"/>
    <s v="MXN"/>
    <n v="1218943"/>
    <n v="2.1315040000000001"/>
    <n v="2598181.8802720001"/>
    <n v="1.8717125371736003"/>
    <n v="316670.98507200001"/>
    <n v="0"/>
    <n v="0"/>
    <n v="0"/>
    <n v="0"/>
    <n v="1218943"/>
    <n v="2598181.8802720001"/>
    <s v="EPER"/>
    <n v="7414000005"/>
  </r>
  <r>
    <x v="227"/>
    <s v="BANCO S3 MEXICO SA INSTITUCION DE BANCA MULTIPLE (COMPA?IA)"/>
    <x v="79"/>
    <s v="NORMAL"/>
    <s v="MXN"/>
    <n v="144619"/>
    <n v="2.8149250000000001"/>
    <n v="407091.63857499999"/>
    <n v="2.6742709464178289"/>
    <n v="20341.248575000001"/>
    <n v="0"/>
    <n v="0"/>
    <n v="0"/>
    <n v="0"/>
    <n v="144619"/>
    <n v="407091.63857499999"/>
    <s v="EPER"/>
    <n v="7414000005"/>
  </r>
  <r>
    <x v="228"/>
    <s v="BANCO S3 CACEIS MEXICO SA INSTITUCION DE BANCA MULTIPLE"/>
    <x v="75"/>
    <s v="NORMAL"/>
    <s v="MXN"/>
    <n v="20826"/>
    <n v="3.612981"/>
    <n v="75243.942305999997"/>
    <n v="3.5988355901277251"/>
    <n v="294.59230600000001"/>
    <n v="0"/>
    <n v="0"/>
    <n v="0"/>
    <n v="0"/>
    <n v="20826"/>
    <n v="75243.942305999997"/>
    <s v="EPER"/>
    <n v="7414000005"/>
  </r>
  <r>
    <x v="228"/>
    <s v="BANCO S3 CACEIS MEXICO SA INSTITUCION DE BANCA MULTIPLE"/>
    <x v="76"/>
    <s v="NORMAL"/>
    <s v="MXN"/>
    <n v="7122"/>
    <n v="137.04691399999999"/>
    <n v="976048.12150799995"/>
    <n v="123.00674108396518"/>
    <n v="99994.111508000002"/>
    <n v="0"/>
    <n v="0"/>
    <n v="0"/>
    <n v="0"/>
    <n v="7122"/>
    <n v="976048.12150799995"/>
    <s v="EPER"/>
    <n v="7414000005"/>
  </r>
  <r>
    <x v="228"/>
    <s v="BANCO S3 CACEIS MEXICO SA INSTITUCION DE BANCA MULTIPLE"/>
    <x v="77"/>
    <s v="NORMAL"/>
    <s v="MXN"/>
    <n v="1027729"/>
    <n v="3.6364960000000002"/>
    <n v="3737332.3975840001"/>
    <n v="3.2098839694121701"/>
    <n v="438441.55558400002"/>
    <n v="0"/>
    <n v="0"/>
    <n v="0"/>
    <n v="0"/>
    <n v="1027729"/>
    <n v="3737332.3975840001"/>
    <s v="EPER"/>
    <n v="7414000005"/>
  </r>
  <r>
    <x v="228"/>
    <s v="BANCO S3 CACEIS MEXICO SA INSTITUCION DE BANCA MULTIPLE"/>
    <x v="78"/>
    <s v="NORMAL"/>
    <s v="MXN"/>
    <n v="565222"/>
    <n v="2.1315040000000001"/>
    <n v="1204772.953888"/>
    <n v="1.8977766435135222"/>
    <n v="132107.843888"/>
    <n v="0"/>
    <n v="0"/>
    <n v="0"/>
    <n v="0"/>
    <n v="565222"/>
    <n v="1204772.953888"/>
    <s v="EPER"/>
    <n v="7414000005"/>
  </r>
  <r>
    <x v="228"/>
    <s v="BANCO S3 CACEIS MEXICO SA INSTITUCION DE BANCA MULTIPLE"/>
    <x v="79"/>
    <s v="NORMAL"/>
    <s v="MXN"/>
    <n v="38749"/>
    <n v="2.8149250000000001"/>
    <n v="109075.528825"/>
    <n v="2.7363645513432604"/>
    <n v="3044.138825"/>
    <n v="0"/>
    <n v="0"/>
    <n v="0"/>
    <n v="0"/>
    <n v="38749"/>
    <n v="109075.528825"/>
    <s v="EPER"/>
    <n v="7414000005"/>
  </r>
  <r>
    <x v="229"/>
    <s v="ELEVADORES OTIS S DE RL DE CV FONDO DE AHORRO SINDICALIZADOS"/>
    <x v="154"/>
    <s v="NORMAL"/>
    <s v="MXN"/>
    <n v="3072865"/>
    <n v="3.4985729999999999"/>
    <n v="10750642.521645"/>
    <n v="3.4482346735050191"/>
    <n v="154682.88164499999"/>
    <n v="0"/>
    <n v="0"/>
    <n v="0"/>
    <n v="0"/>
    <n v="3072865"/>
    <n v="10750642.521645"/>
    <s v="EPER"/>
    <n v="7414000005"/>
  </r>
  <r>
    <x v="230"/>
    <s v="ELEVADORES OTIS S DE RL DE CV FONDO DE AHORRO EMPLEADOS"/>
    <x v="154"/>
    <s v="NORMAL"/>
    <s v="MXN"/>
    <n v="1131329"/>
    <n v="3.4985729999999999"/>
    <n v="3958037.0935169999"/>
    <n v="3.4663218303428978"/>
    <n v="36486.683516999998"/>
    <n v="0"/>
    <n v="0"/>
    <n v="0"/>
    <n v="0"/>
    <n v="1131329"/>
    <n v="3958037.0935169999"/>
    <s v="EPER"/>
    <n v="7414000005"/>
  </r>
  <r>
    <x v="231"/>
    <s v="ISSSTE RESERVA FINANCIERA Y ACTUARIAL"/>
    <x v="202"/>
    <s v="NORMAL"/>
    <s v="MXN"/>
    <n v="0"/>
    <n v="0"/>
    <n v="0"/>
    <n v="0"/>
    <n v="0"/>
    <n v="0"/>
    <n v="0"/>
    <n v="0"/>
    <n v="0"/>
    <n v="0"/>
    <n v="0"/>
    <s v="EPER"/>
    <n v="7414000005"/>
  </r>
  <r>
    <x v="231"/>
    <s v="ISSSTE RESERVA FINANCIERA Y ACTUARIAL"/>
    <x v="147"/>
    <s v="NORMAL"/>
    <s v="MXN"/>
    <n v="0"/>
    <n v="0"/>
    <n v="0"/>
    <n v="0"/>
    <n v="0"/>
    <n v="0"/>
    <n v="0"/>
    <n v="0"/>
    <n v="0"/>
    <n v="0"/>
    <n v="0"/>
    <s v="EPER"/>
    <n v="7414000005"/>
  </r>
  <r>
    <x v="231"/>
    <s v="ISSSTE RESERVA FINANCIERA Y ACTUARIAL"/>
    <x v="203"/>
    <s v="NORMAL"/>
    <s v="MXN"/>
    <n v="0"/>
    <n v="90.260495000000006"/>
    <n v="0"/>
    <n v="0"/>
    <n v="25508518.491950002"/>
    <n v="0"/>
    <n v="0"/>
    <n v="0"/>
    <n v="0"/>
    <n v="0"/>
    <n v="0"/>
    <s v="EPER"/>
    <n v="7414000005"/>
  </r>
  <r>
    <x v="231"/>
    <s v="ISSSTE RESERVA FINANCIERA Y ACTUARIAL"/>
    <x v="66"/>
    <s v="NORMAL"/>
    <s v="MXN"/>
    <n v="0"/>
    <n v="0"/>
    <n v="-0.02"/>
    <n v="0"/>
    <n v="0"/>
    <n v="0"/>
    <n v="0"/>
    <n v="0"/>
    <n v="0"/>
    <n v="0"/>
    <n v="-0.02"/>
    <s v="EPER"/>
    <n v="7414000005"/>
  </r>
  <r>
    <x v="231"/>
    <s v="ISSSTE RESERVA FINANCIERA Y ACTUARIAL"/>
    <x v="113"/>
    <s v="NORMAL"/>
    <s v="MXN"/>
    <n v="0"/>
    <n v="0"/>
    <n v="0"/>
    <n v="0"/>
    <n v="124860.46386807"/>
    <n v="0"/>
    <n v="0"/>
    <n v="0"/>
    <n v="0"/>
    <n v="0"/>
    <n v="0"/>
    <s v="EPER"/>
    <n v="7414000005"/>
  </r>
  <r>
    <x v="231"/>
    <s v="ISSSTE RESERVA FINANCIERA Y ACTUARIAL"/>
    <x v="31"/>
    <s v="NORMAL"/>
    <s v="MXN"/>
    <n v="0"/>
    <n v="93.314192000000006"/>
    <n v="0"/>
    <n v="0"/>
    <n v="370532934.571024"/>
    <n v="0"/>
    <n v="0"/>
    <n v="0"/>
    <n v="0"/>
    <n v="0"/>
    <n v="0"/>
    <s v="EPER"/>
    <n v="7414000005"/>
  </r>
  <r>
    <x v="231"/>
    <s v="ISSSTE RESERVA FINANCIERA Y ACTUARIAL"/>
    <x v="35"/>
    <s v="NORMAL"/>
    <s v="MXN"/>
    <n v="0"/>
    <n v="86.197128000000006"/>
    <n v="0"/>
    <n v="0"/>
    <n v="482086576.81495911"/>
    <n v="0"/>
    <n v="0"/>
    <n v="0"/>
    <n v="0"/>
    <n v="0"/>
    <n v="0"/>
    <s v="EPER"/>
    <n v="7414000005"/>
  </r>
  <r>
    <x v="231"/>
    <s v="ISSSTE RESERVA FINANCIERA Y ACTUARIAL"/>
    <x v="36"/>
    <s v="NORMAL"/>
    <s v="MXN"/>
    <n v="0"/>
    <n v="86.469353999999996"/>
    <n v="0"/>
    <n v="0"/>
    <n v="599021123.7226541"/>
    <n v="0"/>
    <n v="0"/>
    <n v="0"/>
    <n v="0"/>
    <n v="0"/>
    <n v="0"/>
    <s v="EPER"/>
    <n v="7414000005"/>
  </r>
  <r>
    <x v="231"/>
    <s v="ISSSTE RESERVA FINANCIERA Y ACTUARIAL"/>
    <x v="37"/>
    <s v="NORMAL"/>
    <s v="MXN"/>
    <n v="0"/>
    <n v="81.738860000000003"/>
    <n v="0"/>
    <n v="0"/>
    <n v="86164394.783791006"/>
    <n v="0"/>
    <n v="0"/>
    <n v="0"/>
    <n v="0"/>
    <n v="0"/>
    <n v="0"/>
    <s v="EPER"/>
    <n v="7414000005"/>
  </r>
  <r>
    <x v="231"/>
    <s v="ISSSTE RESERVA FINANCIERA Y ACTUARIAL"/>
    <x v="38"/>
    <s v="NORMAL"/>
    <s v="MXN"/>
    <n v="0"/>
    <n v="83.200761"/>
    <n v="0"/>
    <n v="0"/>
    <n v="40485698.615999997"/>
    <n v="0"/>
    <n v="0"/>
    <n v="0"/>
    <n v="0"/>
    <n v="0"/>
    <n v="0"/>
    <s v="EPER"/>
    <n v="7414000005"/>
  </r>
  <r>
    <x v="231"/>
    <s v="ISSSTE RESERVA FINANCIERA Y ACTUARIAL"/>
    <x v="39"/>
    <s v="NORMAL"/>
    <s v="MXN"/>
    <n v="0"/>
    <n v="82.159907000000004"/>
    <n v="0"/>
    <n v="0"/>
    <n v="114909574.8617579"/>
    <n v="0"/>
    <n v="0"/>
    <n v="0"/>
    <n v="0"/>
    <n v="0"/>
    <n v="0"/>
    <s v="EPER"/>
    <n v="7414000005"/>
  </r>
  <r>
    <x v="231"/>
    <s v="ISSSTE RESERVA FINANCIERA Y ACTUARIAL"/>
    <x v="204"/>
    <s v="NORMAL"/>
    <s v="MXN"/>
    <n v="0"/>
    <n v="6.1107189999999996"/>
    <n v="0"/>
    <n v="0"/>
    <n v="382672399.21622199"/>
    <n v="0"/>
    <n v="0"/>
    <n v="0"/>
    <n v="0"/>
    <n v="0"/>
    <n v="0"/>
    <s v="EPER"/>
    <n v="7414000005"/>
  </r>
  <r>
    <x v="231"/>
    <s v="ISSSTE RESERVA FINANCIERA Y ACTUARIAL"/>
    <x v="205"/>
    <s v="NORMAL"/>
    <s v="MXN"/>
    <n v="0"/>
    <n v="0"/>
    <n v="0"/>
    <n v="0"/>
    <n v="-79887387.25"/>
    <n v="-21725"/>
    <n v="-39978562.25"/>
    <n v="0"/>
    <n v="0"/>
    <n v="-21725"/>
    <n v="-39978562.25"/>
    <s v="EPER"/>
    <n v="7414000005"/>
  </r>
  <r>
    <x v="231"/>
    <s v="ISSSTE RESERVA FINANCIERA Y ACTUARIAL"/>
    <x v="206"/>
    <s v="NORMAL"/>
    <s v="MXN"/>
    <n v="0"/>
    <n v="480.305093"/>
    <n v="0"/>
    <n v="0"/>
    <n v="44531967.001197264"/>
    <n v="0"/>
    <n v="0"/>
    <n v="0"/>
    <n v="0"/>
    <n v="0"/>
    <n v="0"/>
    <s v="EPER"/>
    <n v="7414000005"/>
  </r>
  <r>
    <x v="231"/>
    <s v="ISSSTE RESERVA FINANCIERA Y ACTUARIAL"/>
    <x v="52"/>
    <s v="NORMAL"/>
    <s v="MXN"/>
    <n v="0"/>
    <n v="0"/>
    <n v="0"/>
    <n v="0"/>
    <n v="0"/>
    <n v="0"/>
    <n v="0"/>
    <n v="0"/>
    <n v="0"/>
    <n v="0"/>
    <n v="0"/>
    <s v="EPER"/>
    <n v="7414000005"/>
  </r>
  <r>
    <x v="231"/>
    <s v="ISSSTE RESERVA FINANCIERA Y ACTUARIAL"/>
    <x v="54"/>
    <s v="NORMAL"/>
    <s v="MXN"/>
    <n v="0"/>
    <n v="684.88915799999995"/>
    <n v="0"/>
    <n v="0"/>
    <n v="140734698.83358991"/>
    <n v="0"/>
    <n v="0"/>
    <n v="0"/>
    <n v="0"/>
    <n v="0"/>
    <n v="0"/>
    <s v="EPER"/>
    <n v="7414000005"/>
  </r>
  <r>
    <x v="231"/>
    <s v="ISSSTE RESERVA FINANCIERA Y ACTUARIAL"/>
    <x v="207"/>
    <s v="NORMAL"/>
    <s v="MXN"/>
    <n v="0"/>
    <n v="736.86316999999997"/>
    <n v="0"/>
    <n v="0"/>
    <n v="42769408.587140001"/>
    <n v="0"/>
    <n v="0"/>
    <n v="0"/>
    <n v="0"/>
    <n v="0"/>
    <n v="0"/>
    <s v="EPER"/>
    <n v="7414000005"/>
  </r>
  <r>
    <x v="231"/>
    <s v="ISSSTE RESERVA FINANCIERA Y ACTUARIAL"/>
    <x v="55"/>
    <s v="NORMAL"/>
    <s v="MXN"/>
    <n v="0"/>
    <n v="772.926965"/>
    <n v="0"/>
    <n v="0"/>
    <n v="95904004.761646956"/>
    <n v="0"/>
    <n v="0"/>
    <n v="0"/>
    <n v="0"/>
    <n v="0"/>
    <n v="0"/>
    <s v="EPER"/>
    <n v="7414000005"/>
  </r>
  <r>
    <x v="231"/>
    <s v="ISSSTE RESERVA FINANCIERA Y ACTUARIAL"/>
    <x v="57"/>
    <s v="NORMAL"/>
    <s v="MXN"/>
    <n v="0"/>
    <n v="635.96311900000001"/>
    <n v="0"/>
    <n v="0"/>
    <n v="118682537.21480565"/>
    <n v="0"/>
    <n v="0"/>
    <n v="0"/>
    <n v="0"/>
    <n v="0"/>
    <n v="0"/>
    <s v="EPER"/>
    <n v="7414000005"/>
  </r>
  <r>
    <x v="232"/>
    <s v="ISSSTE RESERVA DE OPERACION PARA CONTINGENCIAS Y FINANCIAMIENTO"/>
    <x v="66"/>
    <s v="NORMAL"/>
    <s v="MXN"/>
    <n v="0"/>
    <n v="0"/>
    <n v="0"/>
    <n v="0"/>
    <n v="0"/>
    <n v="0"/>
    <n v="0"/>
    <n v="0"/>
    <n v="0"/>
    <n v="0"/>
    <n v="0"/>
    <s v="EPER"/>
    <n v="7414000005"/>
  </r>
  <r>
    <x v="232"/>
    <s v="ISSSTE RESERVA DE OPERACION PARA CONTINGENCIAS Y FINANCIAMIENTO"/>
    <x v="35"/>
    <s v="NORMAL"/>
    <s v="MXN"/>
    <n v="0"/>
    <n v="0"/>
    <n v="0"/>
    <n v="0"/>
    <n v="0"/>
    <n v="0"/>
    <n v="0"/>
    <n v="0"/>
    <n v="0"/>
    <n v="0"/>
    <n v="0"/>
    <s v="EPER"/>
    <n v="7414000005"/>
  </r>
  <r>
    <x v="232"/>
    <s v="ISSSTE RESERVA DE OPERACION PARA CONTINGENCIAS Y FINANCIAMIENTO"/>
    <x v="36"/>
    <s v="NORMAL"/>
    <s v="MXN"/>
    <n v="0"/>
    <n v="86.469353999999996"/>
    <n v="0"/>
    <n v="0"/>
    <n v="35403369.963564783"/>
    <n v="0"/>
    <n v="0"/>
    <n v="0"/>
    <n v="0"/>
    <n v="0"/>
    <n v="0"/>
    <s v="EPER"/>
    <n v="7414000005"/>
  </r>
  <r>
    <x v="232"/>
    <s v="ISSSTE RESERVA DE OPERACION PARA CONTINGENCIAS Y FINANCIAMIENTO"/>
    <x v="81"/>
    <s v="NORMAL"/>
    <s v="MXN"/>
    <n v="0"/>
    <n v="0"/>
    <n v="0"/>
    <n v="0"/>
    <n v="0"/>
    <n v="0"/>
    <n v="0"/>
    <n v="0"/>
    <n v="0"/>
    <n v="0"/>
    <n v="0"/>
    <s v="EPER"/>
    <n v="7414000005"/>
  </r>
  <r>
    <x v="232"/>
    <s v="ISSSTE RESERVA DE OPERACION PARA CONTINGENCIAS Y FINANCIAMIENTO"/>
    <x v="37"/>
    <s v="NORMAL"/>
    <s v="MXN"/>
    <n v="0"/>
    <n v="81.738860000000003"/>
    <n v="0"/>
    <n v="0"/>
    <n v="8812406.5590076204"/>
    <n v="0"/>
    <n v="0"/>
    <n v="0"/>
    <n v="0"/>
    <n v="0"/>
    <n v="0"/>
    <s v="EPER"/>
    <n v="7414000005"/>
  </r>
  <r>
    <x v="232"/>
    <s v="ISSSTE RESERVA DE OPERACION PARA CONTINGENCIAS Y FINANCIAMIENTO"/>
    <x v="38"/>
    <s v="NORMAL"/>
    <s v="MXN"/>
    <n v="0"/>
    <n v="83.200761"/>
    <n v="0"/>
    <n v="0"/>
    <n v="3205117.80748"/>
    <n v="0"/>
    <n v="0"/>
    <n v="0"/>
    <n v="0"/>
    <n v="0"/>
    <n v="0"/>
    <s v="EPER"/>
    <n v="7414000005"/>
  </r>
  <r>
    <x v="232"/>
    <s v="ISSSTE RESERVA DE OPERACION PARA CONTINGENCIAS Y FINANCIAMIENTO"/>
    <x v="39"/>
    <s v="NORMAL"/>
    <s v="MXN"/>
    <n v="0"/>
    <n v="82.159907000000004"/>
    <n v="0"/>
    <n v="0"/>
    <n v="30233516.465893801"/>
    <n v="0"/>
    <n v="0"/>
    <n v="0"/>
    <n v="0"/>
    <n v="0"/>
    <n v="0"/>
    <s v="EPER"/>
    <n v="7414000005"/>
  </r>
  <r>
    <x v="232"/>
    <s v="ISSSTE RESERVA DE OPERACION PARA CONTINGENCIAS Y FINANCIAMIENTO"/>
    <x v="52"/>
    <s v="NORMAL"/>
    <s v="MXN"/>
    <n v="0"/>
    <n v="0"/>
    <n v="0"/>
    <n v="0"/>
    <n v="0"/>
    <n v="0"/>
    <n v="0"/>
    <n v="0"/>
    <n v="0"/>
    <n v="0"/>
    <n v="0"/>
    <s v="EPER"/>
    <n v="7414000005"/>
  </r>
  <r>
    <x v="232"/>
    <s v="ISSSTE RESERVA DE OPERACION PARA CONTINGENCIAS Y FINANCIAMIENTO"/>
    <x v="56"/>
    <s v="NORMAL"/>
    <s v="MXN"/>
    <n v="0"/>
    <n v="721.59464000000003"/>
    <n v="0"/>
    <n v="0"/>
    <n v="9858148.6092660502"/>
    <n v="0"/>
    <n v="0"/>
    <n v="0"/>
    <n v="0"/>
    <n v="0"/>
    <n v="0"/>
    <s v="EPER"/>
    <n v="7414000005"/>
  </r>
  <r>
    <x v="232"/>
    <s v="ISSSTE RESERVA DE OPERACION PARA CONTINGENCIAS Y FINANCIAMIENTO"/>
    <x v="57"/>
    <s v="NORMAL"/>
    <s v="MXN"/>
    <n v="0"/>
    <n v="635.96311900000001"/>
    <n v="0"/>
    <n v="0"/>
    <n v="24215283.877147201"/>
    <n v="0"/>
    <n v="0"/>
    <n v="0"/>
    <n v="0"/>
    <n v="0"/>
    <n v="0"/>
    <s v="EPER"/>
    <n v="7414000005"/>
  </r>
  <r>
    <x v="232"/>
    <s v="ISSSTE RESERVA DE OPERACION PARA CONTINGENCIAS Y FINANCIAMIENTO"/>
    <x v="58"/>
    <s v="NORMAL"/>
    <s v="MXN"/>
    <n v="0"/>
    <n v="709.36974099999998"/>
    <n v="0"/>
    <n v="0"/>
    <n v="1717382.53867348"/>
    <n v="0"/>
    <n v="0"/>
    <n v="0"/>
    <n v="0"/>
    <n v="0"/>
    <n v="0"/>
    <s v="EPER"/>
    <n v="7414000005"/>
  </r>
  <r>
    <x v="233"/>
    <s v="ISSSTE RESERVA GENERAL FINANCIERA Y ACTUARIAL"/>
    <x v="66"/>
    <s v="NORMAL"/>
    <s v="MXN"/>
    <n v="0"/>
    <n v="0"/>
    <n v="0"/>
    <n v="0"/>
    <n v="0"/>
    <n v="0"/>
    <n v="0"/>
    <n v="0"/>
    <n v="0"/>
    <n v="0"/>
    <n v="0"/>
    <s v="EPER"/>
    <n v="7414000005"/>
  </r>
  <r>
    <x v="233"/>
    <s v="ISSSTE RESERVA GENERAL FINANCIERA Y ACTUARIAL"/>
    <x v="81"/>
    <s v="NORMAL"/>
    <s v="MXN"/>
    <n v="0"/>
    <n v="0"/>
    <n v="0"/>
    <n v="0"/>
    <n v="0"/>
    <n v="0"/>
    <n v="0"/>
    <n v="0"/>
    <n v="0"/>
    <n v="0"/>
    <n v="0"/>
    <s v="EPER"/>
    <n v="7414000005"/>
  </r>
  <r>
    <x v="233"/>
    <s v="ISSSTE RESERVA GENERAL FINANCIERA Y ACTUARIAL"/>
    <x v="37"/>
    <s v="NORMAL"/>
    <s v="MXN"/>
    <n v="0"/>
    <n v="81.738860000000003"/>
    <n v="0"/>
    <n v="0"/>
    <n v="3131648.4189956998"/>
    <n v="0"/>
    <n v="0"/>
    <n v="0"/>
    <n v="0"/>
    <n v="0"/>
    <n v="0"/>
    <s v="EPER"/>
    <n v="7414000005"/>
  </r>
  <r>
    <x v="233"/>
    <s v="ISSSTE RESERVA GENERAL FINANCIERA Y ACTUARIAL"/>
    <x v="52"/>
    <s v="NORMAL"/>
    <s v="MXN"/>
    <n v="0"/>
    <n v="0"/>
    <n v="0"/>
    <n v="0"/>
    <n v="0"/>
    <n v="0"/>
    <n v="0"/>
    <n v="0"/>
    <n v="0"/>
    <n v="0"/>
    <n v="0"/>
    <s v="EPER"/>
    <n v="7414000005"/>
  </r>
  <r>
    <x v="234"/>
    <s v="BANCO SANTANDER (MEXICO) FIDEICOMISO F/35732-0"/>
    <x v="85"/>
    <s v="NORMAL"/>
    <s v="MXN"/>
    <n v="274"/>
    <n v="97.654420999999999"/>
    <n v="26757.311354000001"/>
    <n v="98.224185000000006"/>
    <n v="-156.11533600000001"/>
    <n v="0"/>
    <n v="0"/>
    <n v="0"/>
    <n v="0"/>
    <n v="274"/>
    <n v="26757.311354000001"/>
    <s v="EPER"/>
    <n v="7414000005"/>
  </r>
  <r>
    <x v="234"/>
    <s v="BANCO SANTANDER (MEXICO) FIDEICOMISO F/35732-0"/>
    <x v="17"/>
    <s v="NORMAL"/>
    <s v="MXN"/>
    <n v="198"/>
    <n v="675.38"/>
    <n v="133725.24"/>
    <n v="855.79191919191919"/>
    <n v="-35721.56"/>
    <n v="0"/>
    <n v="0"/>
    <n v="0"/>
    <n v="0"/>
    <n v="198"/>
    <n v="133725.24"/>
    <s v="EPER"/>
    <n v="7414000005"/>
  </r>
  <r>
    <x v="234"/>
    <s v="BANCO SANTANDER (MEXICO) FIDEICOMISO F/35732-0"/>
    <x v="18"/>
    <s v="NORMAL"/>
    <s v="MXN"/>
    <n v="46"/>
    <n v="700.65"/>
    <n v="32229.9"/>
    <n v="964.98043478260865"/>
    <n v="-12159.2"/>
    <n v="0"/>
    <n v="0"/>
    <n v="0"/>
    <n v="0"/>
    <n v="46"/>
    <n v="32229.9"/>
    <s v="EPER"/>
    <n v="7414000005"/>
  </r>
  <r>
    <x v="234"/>
    <s v="BANCO SANTANDER (MEXICO) FIDEICOMISO F/35732-0"/>
    <x v="19"/>
    <s v="NORMAL"/>
    <s v="MXN"/>
    <n v="76"/>
    <n v="1151"/>
    <n v="87476"/>
    <n v="1103.3875"/>
    <n v="3618.55"/>
    <n v="0"/>
    <n v="0"/>
    <n v="0"/>
    <n v="0"/>
    <n v="76"/>
    <n v="87476"/>
    <s v="EPER"/>
    <n v="7414000005"/>
  </r>
  <r>
    <x v="234"/>
    <s v="BANCO SANTANDER (MEXICO) FIDEICOMISO F/35732-0"/>
    <x v="26"/>
    <s v="NORMAL"/>
    <s v="MXN"/>
    <n v="714"/>
    <n v="98.730349000000004"/>
    <n v="70493.469186000002"/>
    <n v="104.81191507"/>
    <n v="-4342.2381739800003"/>
    <n v="0"/>
    <n v="0"/>
    <n v="0"/>
    <n v="0"/>
    <n v="714"/>
    <n v="70493.469186000002"/>
    <s v="EPER"/>
    <n v="7414000005"/>
  </r>
  <r>
    <x v="234"/>
    <s v="BANCO SANTANDER (MEXICO) FIDEICOMISO F/35732-0"/>
    <x v="67"/>
    <s v="NORMAL"/>
    <s v="MXN"/>
    <n v="38"/>
    <n v="99.247497999999993"/>
    <n v="3771.4049239999999"/>
    <n v="101.04285588"/>
    <n v="-68.223599440000001"/>
    <n v="0"/>
    <n v="0"/>
    <n v="0"/>
    <n v="0"/>
    <n v="38"/>
    <n v="3771.4049239999999"/>
    <s v="EPER"/>
    <n v="7414000005"/>
  </r>
  <r>
    <x v="234"/>
    <s v="BANCO SANTANDER (MEXICO) FIDEICOMISO F/35732-0"/>
    <x v="27"/>
    <s v="NORMAL"/>
    <s v="MXN"/>
    <n v="250"/>
    <n v="94.973146999999997"/>
    <n v="23743.286749999999"/>
    <n v="89.632459409999996"/>
    <n v="1335.1718974999999"/>
    <n v="0"/>
    <n v="0"/>
    <n v="0"/>
    <n v="0"/>
    <n v="250"/>
    <n v="23743.286749999999"/>
    <s v="EPER"/>
    <n v="7414000005"/>
  </r>
  <r>
    <x v="234"/>
    <s v="BANCO SANTANDER (MEXICO) FIDEICOMISO F/35732-0"/>
    <x v="28"/>
    <s v="NORMAL"/>
    <s v="MXN"/>
    <n v="519"/>
    <n v="91.911821000000003"/>
    <n v="47702.235098999998"/>
    <n v="93.2088459"/>
    <n v="-673.1559231"/>
    <n v="0"/>
    <n v="0"/>
    <n v="0"/>
    <n v="0"/>
    <n v="519"/>
    <n v="47702.235098999998"/>
    <s v="EPER"/>
    <n v="7414000005"/>
  </r>
  <r>
    <x v="234"/>
    <s v="BANCO SANTANDER (MEXICO) FIDEICOMISO F/35732-0"/>
    <x v="29"/>
    <s v="NORMAL"/>
    <s v="MXN"/>
    <n v="430"/>
    <n v="92.954503000000003"/>
    <n v="39970.436289999998"/>
    <n v="93.158888947906973"/>
    <n v="-87.885957599999998"/>
    <n v="0"/>
    <n v="0"/>
    <n v="0"/>
    <n v="0"/>
    <n v="430"/>
    <n v="39970.436289999998"/>
    <s v="EPER"/>
    <n v="7414000005"/>
  </r>
  <r>
    <x v="234"/>
    <s v="BANCO SANTANDER (MEXICO) FIDEICOMISO F/35732-0"/>
    <x v="30"/>
    <s v="NORMAL"/>
    <s v="MXN"/>
    <n v="1088"/>
    <n v="88.698122999999995"/>
    <n v="96503.557824000003"/>
    <n v="85.318791529999999"/>
    <n v="3676.7126393600001"/>
    <n v="0"/>
    <n v="0"/>
    <n v="0"/>
    <n v="0"/>
    <n v="1088"/>
    <n v="96503.557824000003"/>
    <s v="EPER"/>
    <n v="7414000005"/>
  </r>
  <r>
    <x v="234"/>
    <s v="BANCO SANTANDER (MEXICO) FIDEICOMISO F/35732-0"/>
    <x v="31"/>
    <s v="NORMAL"/>
    <s v="MXN"/>
    <n v="470"/>
    <n v="93.314192000000006"/>
    <n v="43857.670239999999"/>
    <n v="93.409382949999994"/>
    <n v="-44.739746500000003"/>
    <n v="0"/>
    <n v="0"/>
    <n v="0"/>
    <n v="0"/>
    <n v="470"/>
    <n v="43857.670239999999"/>
    <s v="EPER"/>
    <n v="7414000005"/>
  </r>
  <r>
    <x v="234"/>
    <s v="BANCO SANTANDER (MEXICO) FIDEICOMISO F/35732-0"/>
    <x v="32"/>
    <s v="NORMAL"/>
    <s v="MXN"/>
    <n v="1980"/>
    <n v="94.864168000000006"/>
    <n v="187831.05264000001"/>
    <n v="96.33213069449495"/>
    <n v="-2906.5661350999999"/>
    <n v="0"/>
    <n v="0"/>
    <n v="0"/>
    <n v="0"/>
    <n v="1980"/>
    <n v="187831.05264000001"/>
    <s v="EPER"/>
    <n v="7414000005"/>
  </r>
  <r>
    <x v="234"/>
    <s v="BANCO SANTANDER (MEXICO) FIDEICOMISO F/35732-0"/>
    <x v="34"/>
    <s v="NORMAL"/>
    <s v="MXN"/>
    <n v="273"/>
    <n v="89.489464999999996"/>
    <n v="24430.623944999999"/>
    <n v="92.049600470000001"/>
    <n v="-698.91698330999998"/>
    <n v="0"/>
    <n v="0"/>
    <n v="0"/>
    <n v="0"/>
    <n v="273"/>
    <n v="24430.623944999999"/>
    <s v="EPER"/>
    <n v="7414000005"/>
  </r>
  <r>
    <x v="234"/>
    <s v="BANCO SANTANDER (MEXICO) FIDEICOMISO F/35732-0"/>
    <x v="35"/>
    <s v="NORMAL"/>
    <s v="MXN"/>
    <n v="591"/>
    <n v="86.197128000000006"/>
    <n v="50942.502648000001"/>
    <n v="88.982927140000001"/>
    <n v="-1646.4072917399999"/>
    <n v="0"/>
    <n v="0"/>
    <n v="0"/>
    <n v="0"/>
    <n v="591"/>
    <n v="50942.502648000001"/>
    <s v="EPER"/>
    <n v="7414000005"/>
  </r>
  <r>
    <x v="234"/>
    <s v="BANCO SANTANDER (MEXICO) FIDEICOMISO F/35732-0"/>
    <x v="36"/>
    <s v="NORMAL"/>
    <s v="MXN"/>
    <n v="1890"/>
    <n v="86.469353999999996"/>
    <n v="163427.07905999999"/>
    <n v="101.00812326962964"/>
    <n v="-27478.2739196"/>
    <n v="0"/>
    <n v="0"/>
    <n v="0"/>
    <n v="0"/>
    <n v="1890"/>
    <n v="163427.07905999999"/>
    <s v="EPER"/>
    <n v="7414000005"/>
  </r>
  <r>
    <x v="234"/>
    <s v="BANCO SANTANDER (MEXICO) FIDEICOMISO F/35732-0"/>
    <x v="81"/>
    <s v="NORMAL"/>
    <s v="MXN"/>
    <n v="450"/>
    <n v="101.45096599999999"/>
    <n v="45652.934699999998"/>
    <n v="114.11447106"/>
    <n v="-5698.5772770000003"/>
    <n v="0"/>
    <n v="0"/>
    <n v="0"/>
    <n v="0"/>
    <n v="450"/>
    <n v="45652.934699999998"/>
    <s v="EPER"/>
    <n v="7414000005"/>
  </r>
  <r>
    <x v="234"/>
    <s v="BANCO SANTANDER (MEXICO) FIDEICOMISO F/35732-0"/>
    <x v="68"/>
    <s v="NORMAL"/>
    <s v="MXN"/>
    <n v="985"/>
    <n v="89.643172000000007"/>
    <n v="88298.524420000002"/>
    <n v="108.47711812999999"/>
    <n v="-18551.436938049999"/>
    <n v="0"/>
    <n v="0"/>
    <n v="0"/>
    <n v="0"/>
    <n v="985"/>
    <n v="88298.524420000002"/>
    <s v="EPER"/>
    <n v="7414000005"/>
  </r>
  <r>
    <x v="234"/>
    <s v="BANCO SANTANDER (MEXICO) FIDEICOMISO F/35732-0"/>
    <x v="37"/>
    <s v="NORMAL"/>
    <s v="MXN"/>
    <n v="1049"/>
    <n v="81.738860000000003"/>
    <n v="85744.064140000002"/>
    <n v="86.108971888846526"/>
    <n v="-4584.2473713999998"/>
    <n v="0"/>
    <n v="0"/>
    <n v="0"/>
    <n v="0"/>
    <n v="1049"/>
    <n v="85744.064140000002"/>
    <s v="EPER"/>
    <n v="7414000005"/>
  </r>
  <r>
    <x v="234"/>
    <s v="BANCO SANTANDER (MEXICO) FIDEICOMISO F/35732-0"/>
    <x v="39"/>
    <s v="NORMAL"/>
    <s v="MXN"/>
    <n v="1636"/>
    <n v="82.159907000000004"/>
    <n v="134413.60785199999"/>
    <n v="86.196740725611249"/>
    <n v="-6604.2599750999998"/>
    <n v="0"/>
    <n v="0"/>
    <n v="0"/>
    <n v="0"/>
    <n v="1636"/>
    <n v="134413.60785199999"/>
    <s v="EPER"/>
    <n v="7414000005"/>
  </r>
  <r>
    <x v="234"/>
    <s v="BANCO SANTANDER (MEXICO) FIDEICOMISO F/35732-0"/>
    <x v="42"/>
    <s v="NORMAL"/>
    <s v="MXN"/>
    <n v="80"/>
    <n v="8532.5"/>
    <n v="682600"/>
    <n v="5867.5510000000004"/>
    <n v="213195.92"/>
    <n v="0"/>
    <n v="0"/>
    <n v="0"/>
    <n v="0"/>
    <n v="80"/>
    <n v="682600"/>
    <s v="EPER"/>
    <n v="7414000005"/>
  </r>
  <r>
    <x v="234"/>
    <s v="BANCO SANTANDER (MEXICO) FIDEICOMISO F/35732-0"/>
    <x v="88"/>
    <s v="NORMAL"/>
    <s v="MXN"/>
    <n v="612"/>
    <n v="98.007834000000003"/>
    <n v="59980.794408000002"/>
    <n v="93.280048030000003"/>
    <n v="2893.4050136400001"/>
    <n v="0"/>
    <n v="0"/>
    <n v="0"/>
    <n v="0"/>
    <n v="612"/>
    <n v="59980.794408000002"/>
    <s v="EPER"/>
    <n v="7414000005"/>
  </r>
  <r>
    <x v="234"/>
    <s v="BANCO SANTANDER (MEXICO) FIDEICOMISO F/35732-0"/>
    <x v="49"/>
    <s v="NORMAL"/>
    <s v="MXN"/>
    <n v="259"/>
    <n v="682.55"/>
    <n v="176780.45"/>
    <n v="770.93235521235522"/>
    <n v="-22891.03"/>
    <n v="0"/>
    <n v="0"/>
    <n v="0"/>
    <n v="0"/>
    <n v="259"/>
    <n v="176780.45"/>
    <s v="EPER"/>
    <n v="7414000005"/>
  </r>
  <r>
    <x v="234"/>
    <s v="BANCO SANTANDER (MEXICO) FIDEICOMISO F/35732-0"/>
    <x v="89"/>
    <s v="NORMAL"/>
    <s v="MXN"/>
    <n v="425160"/>
    <n v="3.1390400000000001"/>
    <n v="1334594.2464000001"/>
    <n v="2.7610731724527238"/>
    <n v="160696.37640000001"/>
    <n v="0"/>
    <n v="0"/>
    <n v="0"/>
    <n v="0"/>
    <n v="425160"/>
    <n v="1334594.2464000001"/>
    <s v="EPER"/>
    <n v="7414000005"/>
  </r>
  <r>
    <x v="234"/>
    <s v="BANCO SANTANDER (MEXICO) FIDEICOMISO F/35732-0"/>
    <x v="0"/>
    <s v="NORMAL"/>
    <s v="MXN"/>
    <n v="609520"/>
    <n v="3.3967719999999999"/>
    <n v="2070400.4694399999"/>
    <n v="3.3023570678566743"/>
    <n v="57547.78944"/>
    <n v="0"/>
    <n v="0"/>
    <n v="0"/>
    <n v="0"/>
    <n v="609520"/>
    <n v="2070400.4694399999"/>
    <s v="EPER"/>
    <n v="7414000005"/>
  </r>
  <r>
    <x v="234"/>
    <s v="BANCO SANTANDER (MEXICO) FIDEICOMISO F/35732-0"/>
    <x v="52"/>
    <s v="NORMAL"/>
    <s v="MXN"/>
    <n v="31"/>
    <n v="747.17843200000004"/>
    <n v="23162.531392000001"/>
    <n v="730.99471579999999"/>
    <n v="501.69520219999998"/>
    <n v="0"/>
    <n v="0"/>
    <n v="0"/>
    <n v="0"/>
    <n v="31"/>
    <n v="23162.531392000001"/>
    <s v="EPER"/>
    <n v="7414000005"/>
  </r>
  <r>
    <x v="234"/>
    <s v="BANCO SANTANDER (MEXICO) FIDEICOMISO F/35732-0"/>
    <x v="53"/>
    <s v="NORMAL"/>
    <s v="MXN"/>
    <n v="158"/>
    <n v="765.92388300000005"/>
    <n v="121015.973514"/>
    <n v="770.8356037525316"/>
    <n v="-776.05187890000002"/>
    <n v="0"/>
    <n v="0"/>
    <n v="0"/>
    <n v="0"/>
    <n v="158"/>
    <n v="121015.973514"/>
    <s v="EPER"/>
    <n v="7414000005"/>
  </r>
  <r>
    <x v="234"/>
    <s v="BANCO SANTANDER (MEXICO) FIDEICOMISO F/35732-0"/>
    <x v="54"/>
    <s v="NORMAL"/>
    <s v="MXN"/>
    <n v="50"/>
    <n v="684.88915799999995"/>
    <n v="34244.457900000001"/>
    <n v="700.97292315000004"/>
    <n v="-804.18825749999996"/>
    <n v="0"/>
    <n v="0"/>
    <n v="0"/>
    <n v="0"/>
    <n v="50"/>
    <n v="34244.457900000001"/>
    <s v="EPER"/>
    <n v="7414000005"/>
  </r>
  <r>
    <x v="234"/>
    <s v="BANCO SANTANDER (MEXICO) FIDEICOMISO F/35732-0"/>
    <x v="55"/>
    <s v="NORMAL"/>
    <s v="MXN"/>
    <n v="7"/>
    <n v="772.926965"/>
    <n v="5410.4887550000003"/>
    <n v="798.93664675000002"/>
    <n v="-182.06777224999999"/>
    <n v="0"/>
    <n v="0"/>
    <n v="0"/>
    <n v="0"/>
    <n v="7"/>
    <n v="5410.4887550000003"/>
    <s v="EPER"/>
    <n v="7414000005"/>
  </r>
  <r>
    <x v="234"/>
    <s v="BANCO SANTANDER (MEXICO) FIDEICOMISO F/35732-0"/>
    <x v="56"/>
    <s v="NORMAL"/>
    <s v="MXN"/>
    <n v="143"/>
    <n v="721.59464000000003"/>
    <n v="103188.03352"/>
    <n v="758.77574809999999"/>
    <n v="-5316.8984583000001"/>
    <n v="0"/>
    <n v="0"/>
    <n v="0"/>
    <n v="0"/>
    <n v="143"/>
    <n v="103188.03352"/>
    <s v="EPER"/>
    <n v="7414000005"/>
  </r>
  <r>
    <x v="234"/>
    <s v="BANCO SANTANDER (MEXICO) FIDEICOMISO F/35732-0"/>
    <x v="57"/>
    <s v="NORMAL"/>
    <s v="MXN"/>
    <n v="77"/>
    <n v="635.96311900000001"/>
    <n v="48969.160163"/>
    <n v="647.93802047999998"/>
    <n v="-922.06741395999995"/>
    <n v="0"/>
    <n v="0"/>
    <n v="0"/>
    <n v="0"/>
    <n v="77"/>
    <n v="48969.160163"/>
    <s v="EPER"/>
    <n v="7414000005"/>
  </r>
  <r>
    <x v="234"/>
    <s v="BANCO SANTANDER (MEXICO) FIDEICOMISO F/35732-0"/>
    <x v="58"/>
    <s v="NORMAL"/>
    <s v="MXN"/>
    <n v="233"/>
    <n v="709.36974099999998"/>
    <n v="165283.149653"/>
    <n v="724.63651936999997"/>
    <n v="-3557.1593602100002"/>
    <n v="0"/>
    <n v="0"/>
    <n v="0"/>
    <n v="0"/>
    <n v="233"/>
    <n v="165283.149653"/>
    <s v="EPER"/>
    <n v="7414000005"/>
  </r>
  <r>
    <x v="234"/>
    <s v="BANCO SANTANDER (MEXICO) FIDEICOMISO F/35732-0"/>
    <x v="59"/>
    <s v="NORMAL"/>
    <s v="MXN"/>
    <n v="378"/>
    <n v="694.41118700000004"/>
    <n v="262487.428686"/>
    <n v="714.8753082628042"/>
    <n v="-7735.4378373400004"/>
    <n v="0"/>
    <n v="0"/>
    <n v="0"/>
    <n v="0"/>
    <n v="378"/>
    <n v="262487.428686"/>
    <s v="EPER"/>
    <n v="7414000005"/>
  </r>
  <r>
    <x v="234"/>
    <s v="BANCO SANTANDER (MEXICO) FIDEICOMISO F/35732-0"/>
    <x v="61"/>
    <s v="NORMAL"/>
    <s v="MXN"/>
    <n v="175"/>
    <n v="1090"/>
    <n v="190750"/>
    <n v="1153.8654285714285"/>
    <n v="-11176.45"/>
    <n v="0"/>
    <n v="0"/>
    <n v="0"/>
    <n v="0"/>
    <n v="175"/>
    <n v="190750"/>
    <s v="EPER"/>
    <n v="7414000005"/>
  </r>
  <r>
    <x v="235"/>
    <s v="BANCO SANTANDER (MEXICO) FIDEICOMISO F/35740-0"/>
    <x v="4"/>
    <s v="NORMAL"/>
    <s v="MXN"/>
    <n v="7000"/>
    <n v="168.64"/>
    <n v="1180480"/>
    <n v="178.26642142857142"/>
    <n v="-67384.95"/>
    <n v="0"/>
    <n v="0"/>
    <n v="0"/>
    <n v="0"/>
    <n v="7000"/>
    <n v="1180480"/>
    <s v="EPER"/>
    <n v="7414000005"/>
  </r>
  <r>
    <x v="235"/>
    <s v="BANCO SANTANDER (MEXICO) FIDEICOMISO F/35740-0"/>
    <x v="187"/>
    <s v="NORMAL"/>
    <s v="MXN"/>
    <n v="22000"/>
    <n v="11.86"/>
    <n v="260920"/>
    <n v="12.184018636363636"/>
    <n v="-7128.41"/>
    <n v="0"/>
    <n v="0"/>
    <n v="0"/>
    <n v="0"/>
    <n v="22000"/>
    <n v="260920"/>
    <s v="EPER"/>
    <n v="7414000005"/>
  </r>
  <r>
    <x v="235"/>
    <s v="BANCO SANTANDER (MEXICO) FIDEICOMISO F/35740-0"/>
    <x v="7"/>
    <s v="NORMAL"/>
    <s v="MXN"/>
    <n v="19300"/>
    <n v="73.37"/>
    <n v="1416041"/>
    <n v="62.082834715025903"/>
    <n v="217842.29"/>
    <n v="0"/>
    <n v="0"/>
    <n v="0"/>
    <n v="0"/>
    <n v="19300"/>
    <n v="1416041"/>
    <s v="EPER"/>
    <n v="7414000005"/>
  </r>
  <r>
    <x v="235"/>
    <s v="BANCO SANTANDER (MEXICO) FIDEICOMISO F/35740-0"/>
    <x v="10"/>
    <s v="NORMAL"/>
    <s v="MXN"/>
    <n v="295000"/>
    <n v="15.12"/>
    <n v="4460400"/>
    <n v="16.053986748813561"/>
    <n v="-275526.09090000001"/>
    <n v="0"/>
    <n v="0"/>
    <n v="0"/>
    <n v="0"/>
    <n v="295000"/>
    <n v="4460400"/>
    <s v="EPER"/>
    <n v="7414000005"/>
  </r>
  <r>
    <x v="235"/>
    <s v="BANCO SANTANDER (MEXICO) FIDEICOMISO F/35740-0"/>
    <x v="11"/>
    <s v="NORMAL"/>
    <s v="MXN"/>
    <n v="5500"/>
    <n v="525.09"/>
    <n v="2887995"/>
    <n v="490.90909818181819"/>
    <n v="187994.96"/>
    <n v="0"/>
    <n v="0"/>
    <n v="0"/>
    <n v="0"/>
    <n v="5500"/>
    <n v="2887995"/>
    <s v="EPER"/>
    <n v="7414000005"/>
  </r>
  <r>
    <x v="235"/>
    <s v="BANCO SANTANDER (MEXICO) FIDEICOMISO F/35740-0"/>
    <x v="12"/>
    <s v="NORMAL"/>
    <s v="MXN"/>
    <n v="12800"/>
    <n v="68.25"/>
    <n v="873600"/>
    <n v="78.649984375000003"/>
    <n v="-133119.79999999999"/>
    <n v="0"/>
    <n v="0"/>
    <n v="0"/>
    <n v="0"/>
    <n v="12800"/>
    <n v="873600"/>
    <s v="EPER"/>
    <n v="7414000005"/>
  </r>
  <r>
    <x v="235"/>
    <s v="BANCO SANTANDER (MEXICO) FIDEICOMISO F/35740-0"/>
    <x v="14"/>
    <s v="NORMAL"/>
    <s v="MXN"/>
    <n v="358800"/>
    <n v="14.33"/>
    <n v="5141604"/>
    <n v="11.913910953177258"/>
    <n v="866892.75"/>
    <n v="0"/>
    <n v="0"/>
    <n v="0"/>
    <n v="0"/>
    <n v="358800"/>
    <n v="5141604"/>
    <s v="EPER"/>
    <n v="7414000005"/>
  </r>
  <r>
    <x v="235"/>
    <s v="BANCO SANTANDER (MEXICO) FIDEICOMISO F/35740-0"/>
    <x v="85"/>
    <s v="NORMAL"/>
    <s v="MXN"/>
    <n v="4144"/>
    <n v="97.654420999999999"/>
    <n v="404679.92062400002"/>
    <n v="98.224185000000006"/>
    <n v="-2361.1020159999998"/>
    <n v="0"/>
    <n v="0"/>
    <n v="0"/>
    <n v="0"/>
    <n v="4144"/>
    <n v="404679.92062400002"/>
    <s v="EPER"/>
    <n v="7414000005"/>
  </r>
  <r>
    <x v="235"/>
    <s v="BANCO SANTANDER (MEXICO) FIDEICOMISO F/35740-0"/>
    <x v="86"/>
    <s v="NORMAL"/>
    <s v="MXN"/>
    <n v="496336"/>
    <n v="9.4935880000000008"/>
    <n v="4712009.4935680004"/>
    <n v="8.4405498100000003"/>
    <n v="522660.76307183999"/>
    <n v="0"/>
    <n v="0"/>
    <n v="0"/>
    <n v="0"/>
    <n v="496336"/>
    <n v="4712009.4935680004"/>
    <s v="EPER"/>
    <n v="7414000005"/>
  </r>
  <r>
    <x v="235"/>
    <s v="BANCO SANTANDER (MEXICO) FIDEICOMISO F/35740-0"/>
    <x v="17"/>
    <s v="NORMAL"/>
    <s v="MXN"/>
    <n v="7900"/>
    <n v="675.38"/>
    <n v="5335502"/>
    <n v="796.61193670886075"/>
    <n v="-957732.3"/>
    <n v="0"/>
    <n v="0"/>
    <n v="0"/>
    <n v="0"/>
    <n v="7900"/>
    <n v="5335502"/>
    <s v="EPER"/>
    <n v="7414000005"/>
  </r>
  <r>
    <x v="235"/>
    <s v="BANCO SANTANDER (MEXICO) FIDEICOMISO F/35740-0"/>
    <x v="208"/>
    <s v="NORMAL"/>
    <s v="MXN"/>
    <n v="0"/>
    <n v="0"/>
    <n v="0"/>
    <n v="0"/>
    <n v="0"/>
    <n v="0"/>
    <n v="0"/>
    <n v="0"/>
    <n v="0"/>
    <n v="0"/>
    <n v="0"/>
    <s v="EPER"/>
    <n v="7414000005"/>
  </r>
  <r>
    <x v="235"/>
    <s v="BANCO SANTANDER (MEXICO) FIDEICOMISO F/35740-0"/>
    <x v="18"/>
    <s v="NORMAL"/>
    <s v="MXN"/>
    <n v="1840"/>
    <n v="700.65"/>
    <n v="1289196"/>
    <n v="813.60809782608692"/>
    <n v="-207842.9"/>
    <n v="0"/>
    <n v="0"/>
    <n v="0"/>
    <n v="0"/>
    <n v="1840"/>
    <n v="1289196"/>
    <s v="EPER"/>
    <n v="7414000005"/>
  </r>
  <r>
    <x v="235"/>
    <s v="BANCO SANTANDER (MEXICO) FIDEICOMISO F/35740-0"/>
    <x v="19"/>
    <s v="NORMAL"/>
    <s v="MXN"/>
    <n v="3240"/>
    <n v="1151"/>
    <n v="3729240"/>
    <n v="1007.5558302469136"/>
    <n v="464759.11"/>
    <n v="0"/>
    <n v="0"/>
    <n v="0"/>
    <n v="0"/>
    <n v="3240"/>
    <n v="3729240"/>
    <s v="EPER"/>
    <n v="7414000005"/>
  </r>
  <r>
    <x v="235"/>
    <s v="BANCO SANTANDER (MEXICO) FIDEICOMISO F/35740-0"/>
    <x v="20"/>
    <s v="NORMAL"/>
    <s v="MXN"/>
    <n v="26700"/>
    <n v="207.81"/>
    <n v="5548527"/>
    <n v="174.63543595505618"/>
    <n v="885760.86"/>
    <n v="0"/>
    <n v="0"/>
    <n v="0"/>
    <n v="0"/>
    <n v="26700"/>
    <n v="5548527"/>
    <s v="EPER"/>
    <n v="7414000005"/>
  </r>
  <r>
    <x v="235"/>
    <s v="BANCO SANTANDER (MEXICO) FIDEICOMISO F/35740-0"/>
    <x v="209"/>
    <s v="NORMAL"/>
    <s v="MXN"/>
    <n v="26"/>
    <n v="29"/>
    <n v="754"/>
    <n v="47.323461538461537"/>
    <n v="-476.41"/>
    <n v="0"/>
    <n v="0"/>
    <n v="0"/>
    <n v="0"/>
    <n v="26"/>
    <n v="754"/>
    <s v="EPER"/>
    <n v="7414000005"/>
  </r>
  <r>
    <x v="235"/>
    <s v="BANCO SANTANDER (MEXICO) FIDEICOMISO F/35740-0"/>
    <x v="21"/>
    <s v="NORMAL"/>
    <s v="MXN"/>
    <n v="2800"/>
    <n v="271.94"/>
    <n v="761432"/>
    <n v="295.71850000000001"/>
    <n v="-66579.8"/>
    <n v="0"/>
    <n v="0"/>
    <n v="0"/>
    <n v="0"/>
    <n v="2800"/>
    <n v="761432"/>
    <s v="EPER"/>
    <n v="7414000005"/>
  </r>
  <r>
    <x v="235"/>
    <s v="BANCO SANTANDER (MEXICO) FIDEICOMISO F/35740-0"/>
    <x v="22"/>
    <s v="NORMAL"/>
    <s v="MXN"/>
    <n v="10000"/>
    <n v="193.15"/>
    <n v="1931500"/>
    <n v="162.51302699999999"/>
    <n v="306369.73"/>
    <n v="0"/>
    <n v="0"/>
    <n v="0"/>
    <n v="0"/>
    <n v="10000"/>
    <n v="1931500"/>
    <s v="EPER"/>
    <n v="7414000005"/>
  </r>
  <r>
    <x v="235"/>
    <s v="BANCO SANTANDER (MEXICO) FIDEICOMISO F/35740-0"/>
    <x v="23"/>
    <s v="NORMAL"/>
    <s v="MXN"/>
    <n v="70000"/>
    <n v="27.12"/>
    <n v="1898400"/>
    <n v="22.283150857142857"/>
    <n v="338579.44"/>
    <n v="0"/>
    <n v="0"/>
    <n v="0"/>
    <n v="0"/>
    <n v="70000"/>
    <n v="1898400"/>
    <s v="EPER"/>
    <n v="7414000005"/>
  </r>
  <r>
    <x v="235"/>
    <s v="BANCO SANTANDER (MEXICO) FIDEICOMISO F/35740-0"/>
    <x v="24"/>
    <s v="NORMAL"/>
    <s v="MXN"/>
    <n v="42000"/>
    <n v="176.44"/>
    <n v="7410480"/>
    <n v="149.58617595238096"/>
    <n v="1127860.6100000001"/>
    <n v="0"/>
    <n v="0"/>
    <n v="0"/>
    <n v="0"/>
    <n v="42000"/>
    <n v="7410480"/>
    <s v="EPER"/>
    <n v="7414000005"/>
  </r>
  <r>
    <x v="235"/>
    <s v="BANCO SANTANDER (MEXICO) FIDEICOMISO F/35740-0"/>
    <x v="210"/>
    <s v="NORMAL"/>
    <s v="MXN"/>
    <n v="0"/>
    <n v="0"/>
    <n v="0"/>
    <n v="0"/>
    <n v="0"/>
    <n v="0"/>
    <n v="0"/>
    <n v="0"/>
    <n v="0"/>
    <n v="0"/>
    <n v="0"/>
    <s v="EPER"/>
    <n v="7414000005"/>
  </r>
  <r>
    <x v="235"/>
    <s v="BANCO SANTANDER (MEXICO) FIDEICOMISO F/35740-0"/>
    <x v="25"/>
    <s v="NORMAL"/>
    <s v="MXN"/>
    <n v="53500"/>
    <n v="104.12"/>
    <n v="5570420"/>
    <n v="83.734060747663548"/>
    <n v="1090647.75"/>
    <n v="0"/>
    <n v="0"/>
    <n v="0"/>
    <n v="0"/>
    <n v="53500"/>
    <n v="5570420"/>
    <s v="EPER"/>
    <n v="7414000005"/>
  </r>
  <r>
    <x v="235"/>
    <s v="BANCO SANTANDER (MEXICO) FIDEICOMISO F/35740-0"/>
    <x v="26"/>
    <s v="NORMAL"/>
    <s v="MXN"/>
    <n v="16870"/>
    <n v="98.730349000000004"/>
    <n v="1665580.9876300001"/>
    <n v="104.81191507"/>
    <n v="-102596.01960090001"/>
    <n v="0"/>
    <n v="0"/>
    <n v="0"/>
    <n v="0"/>
    <n v="16870"/>
    <n v="1665580.9876300001"/>
    <s v="EPER"/>
    <n v="7414000005"/>
  </r>
  <r>
    <x v="235"/>
    <s v="BANCO SANTANDER (MEXICO) FIDEICOMISO F/35740-0"/>
    <x v="67"/>
    <s v="NORMAL"/>
    <s v="MXN"/>
    <n v="61213"/>
    <n v="99.247497999999993"/>
    <n v="6075237.0950739998"/>
    <n v="112.18854429897604"/>
    <n v="-792160.26709921996"/>
    <n v="0"/>
    <n v="0"/>
    <n v="0"/>
    <n v="0"/>
    <n v="61213"/>
    <n v="6075237.0950739998"/>
    <s v="EPER"/>
    <n v="7414000005"/>
  </r>
  <r>
    <x v="235"/>
    <s v="BANCO SANTANDER (MEXICO) FIDEICOMISO F/35740-0"/>
    <x v="27"/>
    <s v="NORMAL"/>
    <s v="MXN"/>
    <n v="15900"/>
    <n v="94.973146999999997"/>
    <n v="1510073.0373"/>
    <n v="89.738008707484283"/>
    <n v="83238.698850999994"/>
    <n v="0"/>
    <n v="0"/>
    <n v="0"/>
    <n v="0"/>
    <n v="15900"/>
    <n v="1510073.0373"/>
    <s v="EPER"/>
    <n v="7414000005"/>
  </r>
  <r>
    <x v="235"/>
    <s v="BANCO SANTANDER (MEXICO) FIDEICOMISO F/35740-0"/>
    <x v="28"/>
    <s v="NORMAL"/>
    <s v="MXN"/>
    <n v="81931"/>
    <n v="91.911821000000003"/>
    <n v="7530427.4063510001"/>
    <n v="93.2088459"/>
    <n v="-106266.5470819"/>
    <n v="0"/>
    <n v="0"/>
    <n v="0"/>
    <n v="0"/>
    <n v="81931"/>
    <n v="7530427.4063510001"/>
    <s v="EPER"/>
    <n v="7414000005"/>
  </r>
  <r>
    <x v="235"/>
    <s v="BANCO SANTANDER (MEXICO) FIDEICOMISO F/35740-0"/>
    <x v="29"/>
    <s v="NORMAL"/>
    <s v="MXN"/>
    <n v="27710"/>
    <n v="92.954503000000003"/>
    <n v="2575769.27813"/>
    <n v="93.326365911183686"/>
    <n v="-10304.321268899999"/>
    <n v="0"/>
    <n v="0"/>
    <n v="0"/>
    <n v="0"/>
    <n v="27710"/>
    <n v="2575769.27813"/>
    <s v="EPER"/>
    <n v="7414000005"/>
  </r>
  <r>
    <x v="235"/>
    <s v="BANCO SANTANDER (MEXICO) FIDEICOMISO F/35740-0"/>
    <x v="30"/>
    <s v="NORMAL"/>
    <s v="MXN"/>
    <n v="33345"/>
    <n v="88.698122999999995"/>
    <n v="2957638.9114350001"/>
    <n v="85.578866967004046"/>
    <n v="104011.59242025"/>
    <n v="0"/>
    <n v="0"/>
    <n v="0"/>
    <n v="0"/>
    <n v="33345"/>
    <n v="2957638.9114350001"/>
    <s v="EPER"/>
    <n v="7414000005"/>
  </r>
  <r>
    <x v="235"/>
    <s v="BANCO SANTANDER (MEXICO) FIDEICOMISO F/35740-0"/>
    <x v="31"/>
    <s v="NORMAL"/>
    <s v="MXN"/>
    <n v="70810"/>
    <n v="93.314192000000006"/>
    <n v="6607577.9355199998"/>
    <n v="99.815062490608668"/>
    <n v="-460326.63944"/>
    <n v="0"/>
    <n v="0"/>
    <n v="0"/>
    <n v="0"/>
    <n v="70810"/>
    <n v="6607577.9355199998"/>
    <s v="EPER"/>
    <n v="7414000005"/>
  </r>
  <r>
    <x v="235"/>
    <s v="BANCO SANTANDER (MEXICO) FIDEICOMISO F/35740-0"/>
    <x v="32"/>
    <s v="NORMAL"/>
    <s v="MXN"/>
    <n v="15230"/>
    <n v="94.864168000000006"/>
    <n v="1444781.2786399999"/>
    <n v="96.596719710000002"/>
    <n v="-26386.762543299999"/>
    <n v="0"/>
    <n v="0"/>
    <n v="0"/>
    <n v="0"/>
    <n v="15230"/>
    <n v="1444781.2786399999"/>
    <s v="EPER"/>
    <n v="7414000005"/>
  </r>
  <r>
    <x v="235"/>
    <s v="BANCO SANTANDER (MEXICO) FIDEICOMISO F/35740-0"/>
    <x v="33"/>
    <s v="NORMAL"/>
    <s v="MXN"/>
    <n v="123071"/>
    <n v="94.870157000000006"/>
    <n v="11675765.092147"/>
    <n v="96.987526756170098"/>
    <n v="-260586.81326160999"/>
    <n v="0"/>
    <n v="0"/>
    <n v="0"/>
    <n v="0"/>
    <n v="123071"/>
    <n v="11675765.092147"/>
    <s v="EPER"/>
    <n v="7414000005"/>
  </r>
  <r>
    <x v="235"/>
    <s v="BANCO SANTANDER (MEXICO) FIDEICOMISO F/35740-0"/>
    <x v="34"/>
    <s v="NORMAL"/>
    <s v="MXN"/>
    <n v="57611"/>
    <n v="89.489464999999996"/>
    <n v="5155577.5681149997"/>
    <n v="92.773634099999995"/>
    <n v="-189204.26602010001"/>
    <n v="0"/>
    <n v="0"/>
    <n v="0"/>
    <n v="0"/>
    <n v="57611"/>
    <n v="5155577.5681149997"/>
    <s v="EPER"/>
    <n v="7414000005"/>
  </r>
  <r>
    <x v="235"/>
    <s v="BANCO SANTANDER (MEXICO) FIDEICOMISO F/35740-0"/>
    <x v="35"/>
    <s v="NORMAL"/>
    <s v="MXN"/>
    <n v="101568"/>
    <n v="86.197128000000006"/>
    <n v="8754869.8967039995"/>
    <n v="89.792510955853814"/>
    <n v="-365175.85606015997"/>
    <n v="0"/>
    <n v="0"/>
    <n v="0"/>
    <n v="0"/>
    <n v="101568"/>
    <n v="8754869.8967039995"/>
    <s v="EPER"/>
    <n v="7414000005"/>
  </r>
  <r>
    <x v="235"/>
    <s v="BANCO SANTANDER (MEXICO) FIDEICOMISO F/35740-0"/>
    <x v="36"/>
    <s v="NORMAL"/>
    <s v="MXN"/>
    <n v="81398"/>
    <n v="86.469353999999996"/>
    <n v="7038432.4768920001"/>
    <n v="91.628784022628807"/>
    <n v="-419967.28498194"/>
    <n v="0"/>
    <n v="0"/>
    <n v="0"/>
    <n v="0"/>
    <n v="81398"/>
    <n v="7038432.4768920001"/>
    <s v="EPER"/>
    <n v="7414000005"/>
  </r>
  <r>
    <x v="235"/>
    <s v="BANCO SANTANDER (MEXICO) FIDEICOMISO F/35740-0"/>
    <x v="81"/>
    <s v="NORMAL"/>
    <s v="MXN"/>
    <n v="6218"/>
    <n v="101.45096599999999"/>
    <n v="630822.10658799997"/>
    <n v="114.11447106"/>
    <n v="-78741.674463079995"/>
    <n v="0"/>
    <n v="0"/>
    <n v="0"/>
    <n v="0"/>
    <n v="6218"/>
    <n v="630822.10658799997"/>
    <s v="EPER"/>
    <n v="7414000005"/>
  </r>
  <r>
    <x v="235"/>
    <s v="BANCO SANTANDER (MEXICO) FIDEICOMISO F/35740-0"/>
    <x v="68"/>
    <s v="NORMAL"/>
    <s v="MXN"/>
    <n v="8901"/>
    <n v="89.643172000000007"/>
    <n v="797913.87397199997"/>
    <n v="108.51503560664307"/>
    <n v="-167978.45796273"/>
    <n v="0"/>
    <n v="0"/>
    <n v="0"/>
    <n v="0"/>
    <n v="8901"/>
    <n v="797913.87397199997"/>
    <s v="EPER"/>
    <n v="7414000005"/>
  </r>
  <r>
    <x v="235"/>
    <s v="BANCO SANTANDER (MEXICO) FIDEICOMISO F/35740-0"/>
    <x v="37"/>
    <s v="NORMAL"/>
    <s v="MXN"/>
    <n v="44784"/>
    <n v="81.738860000000003"/>
    <n v="3660593.1062400001"/>
    <n v="86.36497088574491"/>
    <n v="-207175.74990719999"/>
    <n v="0"/>
    <n v="0"/>
    <n v="0"/>
    <n v="0"/>
    <n v="44784"/>
    <n v="3660593.1062400001"/>
    <s v="EPER"/>
    <n v="7414000005"/>
  </r>
  <r>
    <x v="235"/>
    <s v="BANCO SANTANDER (MEXICO) FIDEICOMISO F/35740-0"/>
    <x v="38"/>
    <s v="NORMAL"/>
    <s v="MXN"/>
    <n v="25156"/>
    <n v="83.200761"/>
    <n v="2092998.343716"/>
    <n v="94.635641742949588"/>
    <n v="-287655.85996963998"/>
    <n v="0"/>
    <n v="0"/>
    <n v="0"/>
    <n v="0"/>
    <n v="25156"/>
    <n v="2092998.343716"/>
    <s v="EPER"/>
    <n v="7414000005"/>
  </r>
  <r>
    <x v="235"/>
    <s v="BANCO SANTANDER (MEXICO) FIDEICOMISO F/35740-0"/>
    <x v="39"/>
    <s v="NORMAL"/>
    <s v="MXN"/>
    <n v="91319"/>
    <n v="82.159907000000004"/>
    <n v="7502760.5473330002"/>
    <n v="84.284051838287539"/>
    <n v="-193974.78248758"/>
    <n v="0"/>
    <n v="0"/>
    <n v="0"/>
    <n v="0"/>
    <n v="91319"/>
    <n v="7502760.5473330002"/>
    <s v="EPER"/>
    <n v="7414000005"/>
  </r>
  <r>
    <x v="235"/>
    <s v="BANCO SANTANDER (MEXICO) FIDEICOMISO F/35740-0"/>
    <x v="40"/>
    <s v="NORMAL"/>
    <s v="MXN"/>
    <n v="4600"/>
    <n v="314.42"/>
    <n v="1446332"/>
    <n v="287.3367108695652"/>
    <n v="124583.13"/>
    <n v="0"/>
    <n v="0"/>
    <n v="0"/>
    <n v="0"/>
    <n v="4600"/>
    <n v="1446332"/>
    <s v="EPER"/>
    <n v="7414000005"/>
  </r>
  <r>
    <x v="235"/>
    <s v="BANCO SANTANDER (MEXICO) FIDEICOMISO F/35740-0"/>
    <x v="41"/>
    <s v="NORMAL"/>
    <s v="MXN"/>
    <n v="30700"/>
    <n v="43.85"/>
    <n v="1346195"/>
    <n v="40.844398371335508"/>
    <n v="92271.97"/>
    <n v="0"/>
    <n v="0"/>
    <n v="0"/>
    <n v="0"/>
    <n v="30700"/>
    <n v="1346195"/>
    <s v="EPER"/>
    <n v="7414000005"/>
  </r>
  <r>
    <x v="235"/>
    <s v="BANCO SANTANDER (MEXICO) FIDEICOMISO F/35740-0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235"/>
    <s v="BANCO SANTANDER (MEXICO) FIDEICOMISO F/35740-0"/>
    <x v="42"/>
    <s v="NORMAL"/>
    <s v="MXN"/>
    <n v="3330"/>
    <n v="8532.5"/>
    <n v="28413225"/>
    <n v="5514.3290570570571"/>
    <n v="10050509.24"/>
    <n v="0"/>
    <n v="0"/>
    <n v="0"/>
    <n v="0"/>
    <n v="3330"/>
    <n v="28413225"/>
    <s v="EPER"/>
    <n v="7414000005"/>
  </r>
  <r>
    <x v="235"/>
    <s v="BANCO SANTANDER (MEXICO) FIDEICOMISO F/35740-0"/>
    <x v="44"/>
    <s v="NORMAL"/>
    <s v="MXN"/>
    <n v="33000"/>
    <n v="36.28"/>
    <n v="1197240"/>
    <n v="39.186360000000001"/>
    <n v="-95909.88"/>
    <n v="0"/>
    <n v="0"/>
    <n v="0"/>
    <n v="0"/>
    <n v="33000"/>
    <n v="1197240"/>
    <s v="EPER"/>
    <n v="7414000005"/>
  </r>
  <r>
    <x v="235"/>
    <s v="BANCO SANTANDER (MEXICO) FIDEICOMISO F/35740-0"/>
    <x v="45"/>
    <s v="NORMAL"/>
    <s v="MXN"/>
    <n v="4600"/>
    <n v="136.35"/>
    <n v="627210"/>
    <n v="118.93737826086956"/>
    <n v="80098.06"/>
    <n v="0"/>
    <n v="0"/>
    <n v="0"/>
    <n v="0"/>
    <n v="4600"/>
    <n v="627210"/>
    <s v="EPER"/>
    <n v="7414000005"/>
  </r>
  <r>
    <x v="235"/>
    <s v="BANCO SANTANDER (MEXICO) FIDEICOMISO F/35740-0"/>
    <x v="211"/>
    <s v="NORMAL"/>
    <s v="MXN"/>
    <n v="0"/>
    <n v="0"/>
    <n v="0"/>
    <n v="0"/>
    <n v="0"/>
    <n v="0"/>
    <n v="0"/>
    <n v="0"/>
    <n v="0"/>
    <n v="0"/>
    <n v="0"/>
    <s v="EPER"/>
    <n v="7414000005"/>
  </r>
  <r>
    <x v="235"/>
    <s v="BANCO SANTANDER (MEXICO) FIDEICOMISO F/35740-0"/>
    <x v="88"/>
    <s v="NORMAL"/>
    <s v="MXN"/>
    <n v="118588"/>
    <n v="98.007834000000003"/>
    <n v="11622553.018392"/>
    <n v="92.071456745435285"/>
    <n v="703983.10586431995"/>
    <n v="0"/>
    <n v="0"/>
    <n v="0"/>
    <n v="0"/>
    <n v="118588"/>
    <n v="11622553.018392"/>
    <s v="EPER"/>
    <n v="7414000005"/>
  </r>
  <r>
    <x v="235"/>
    <s v="BANCO SANTANDER (MEXICO) FIDEICOMISO F/35740-0"/>
    <x v="48"/>
    <s v="NORMAL"/>
    <s v="MXN"/>
    <n v="10700"/>
    <n v="156"/>
    <n v="1669200"/>
    <n v="134.10337850467289"/>
    <n v="234293.85"/>
    <n v="0"/>
    <n v="0"/>
    <n v="0"/>
    <n v="0"/>
    <n v="10700"/>
    <n v="1669200"/>
    <s v="EPER"/>
    <n v="7414000005"/>
  </r>
  <r>
    <x v="235"/>
    <s v="BANCO SANTANDER (MEXICO) FIDEICOMISO F/35740-0"/>
    <x v="49"/>
    <s v="NORMAL"/>
    <s v="MXN"/>
    <n v="9130"/>
    <n v="682.55"/>
    <n v="6231681.5"/>
    <n v="884.47982037239865"/>
    <n v="-1843619.26"/>
    <n v="0"/>
    <n v="0"/>
    <n v="0"/>
    <n v="0"/>
    <n v="9130"/>
    <n v="6231681.5"/>
    <s v="EPER"/>
    <n v="7414000005"/>
  </r>
  <r>
    <x v="235"/>
    <s v="BANCO SANTANDER (MEXICO) FIDEICOMISO F/35740-0"/>
    <x v="0"/>
    <s v="NORMAL"/>
    <s v="MXN"/>
    <n v="508260"/>
    <n v="3.3967719999999999"/>
    <n v="1726443.33672"/>
    <n v="3.3867270491480737"/>
    <n v="5105.4467199999999"/>
    <n v="0"/>
    <n v="0"/>
    <n v="0"/>
    <n v="0"/>
    <n v="508260"/>
    <n v="1726443.33672"/>
    <s v="EPER"/>
    <n v="7414000005"/>
  </r>
  <r>
    <x v="235"/>
    <s v="BANCO SANTANDER (MEXICO) FIDEICOMISO F/35740-0"/>
    <x v="50"/>
    <s v="NORMAL"/>
    <s v="MXN"/>
    <n v="44000"/>
    <n v="31.41"/>
    <n v="1382040"/>
    <n v="32.24076454090909"/>
    <n v="-36553.639799999997"/>
    <n v="0"/>
    <n v="0"/>
    <n v="0"/>
    <n v="0"/>
    <n v="44000"/>
    <n v="1382040"/>
    <s v="EPER"/>
    <n v="7414000005"/>
  </r>
  <r>
    <x v="235"/>
    <s v="BANCO SANTANDER (MEXICO) FIDEICOMISO F/35740-0"/>
    <x v="51"/>
    <s v="NORMAL"/>
    <s v="MXN"/>
    <n v="6904"/>
    <n v="775.69178699999998"/>
    <n v="5355376.0974479998"/>
    <n v="766.69784126000002"/>
    <n v="62094.201388959998"/>
    <n v="0"/>
    <n v="0"/>
    <n v="0"/>
    <n v="0"/>
    <n v="6904"/>
    <n v="5355376.0974479998"/>
    <s v="EPER"/>
    <n v="7414000005"/>
  </r>
  <r>
    <x v="235"/>
    <s v="BANCO SANTANDER (MEXICO) FIDEICOMISO F/35740-0"/>
    <x v="52"/>
    <s v="NORMAL"/>
    <s v="MXN"/>
    <n v="18689"/>
    <n v="747.17843200000004"/>
    <n v="13964017.715647999"/>
    <n v="722.34527569465456"/>
    <n v="464106.8581906"/>
    <n v="0"/>
    <n v="0"/>
    <n v="0"/>
    <n v="0"/>
    <n v="18689"/>
    <n v="13964017.715647999"/>
    <s v="EPER"/>
    <n v="7414000005"/>
  </r>
  <r>
    <x v="235"/>
    <s v="BANCO SANTANDER (MEXICO) FIDEICOMISO F/35740-0"/>
    <x v="53"/>
    <s v="NORMAL"/>
    <s v="MXN"/>
    <n v="7111"/>
    <n v="765.92388300000005"/>
    <n v="5446484.7320130002"/>
    <n v="758.40105674026017"/>
    <n v="53494.817533009998"/>
    <n v="0"/>
    <n v="0"/>
    <n v="0"/>
    <n v="0"/>
    <n v="7111"/>
    <n v="5446484.7320130002"/>
    <s v="EPER"/>
    <n v="7414000005"/>
  </r>
  <r>
    <x v="235"/>
    <s v="BANCO SANTANDER (MEXICO) FIDEICOMISO F/35740-0"/>
    <x v="54"/>
    <s v="NORMAL"/>
    <s v="MXN"/>
    <n v="9323"/>
    <n v="684.88915799999995"/>
    <n v="6385221.6200339999"/>
    <n v="680.54355096886195"/>
    <n v="40514.094351300002"/>
    <n v="0"/>
    <n v="0"/>
    <n v="0"/>
    <n v="0"/>
    <n v="9323"/>
    <n v="6385221.6200339999"/>
    <s v="EPER"/>
    <n v="7414000005"/>
  </r>
  <r>
    <x v="235"/>
    <s v="BANCO SANTANDER (MEXICO) FIDEICOMISO F/35740-0"/>
    <x v="55"/>
    <s v="NORMAL"/>
    <s v="MXN"/>
    <n v="3822"/>
    <n v="772.926965"/>
    <n v="2954126.8602300002"/>
    <n v="798.93664675000002"/>
    <n v="-99409.003648500002"/>
    <n v="0"/>
    <n v="0"/>
    <n v="0"/>
    <n v="0"/>
    <n v="3822"/>
    <n v="2954126.8602300002"/>
    <s v="EPER"/>
    <n v="7414000005"/>
  </r>
  <r>
    <x v="235"/>
    <s v="BANCO SANTANDER (MEXICO) FIDEICOMISO F/35740-0"/>
    <x v="56"/>
    <s v="NORMAL"/>
    <s v="MXN"/>
    <n v="9412"/>
    <n v="721.59464000000003"/>
    <n v="6791648.7516799998"/>
    <n v="756.80876154499254"/>
    <n v="-331435.31198146997"/>
    <n v="0"/>
    <n v="0"/>
    <n v="0"/>
    <n v="0"/>
    <n v="9412"/>
    <n v="6791648.7516799998"/>
    <s v="EPER"/>
    <n v="7414000005"/>
  </r>
  <r>
    <x v="235"/>
    <s v="BANCO SANTANDER (MEXICO) FIDEICOMISO F/35740-0"/>
    <x v="57"/>
    <s v="NORMAL"/>
    <s v="MXN"/>
    <n v="3117"/>
    <n v="635.96311900000001"/>
    <n v="1982297.041923"/>
    <n v="647.93802047999998"/>
    <n v="-37325.767913160002"/>
    <n v="0"/>
    <n v="0"/>
    <n v="0"/>
    <n v="0"/>
    <n v="3117"/>
    <n v="1982297.041923"/>
    <s v="EPER"/>
    <n v="7414000005"/>
  </r>
  <r>
    <x v="235"/>
    <s v="BANCO SANTANDER (MEXICO) FIDEICOMISO F/35740-0"/>
    <x v="58"/>
    <s v="NORMAL"/>
    <s v="MXN"/>
    <n v="9760"/>
    <n v="709.36974099999998"/>
    <n v="6923448.6721599996"/>
    <n v="724.63651936999997"/>
    <n v="-149003.7568912"/>
    <n v="0"/>
    <n v="0"/>
    <n v="0"/>
    <n v="0"/>
    <n v="9760"/>
    <n v="6923448.6721599996"/>
    <s v="EPER"/>
    <n v="7414000005"/>
  </r>
  <r>
    <x v="235"/>
    <s v="BANCO SANTANDER (MEXICO) FIDEICOMISO F/35740-0"/>
    <x v="59"/>
    <s v="NORMAL"/>
    <s v="MXN"/>
    <n v="11554"/>
    <n v="694.41118700000004"/>
    <n v="8023226.8545979997"/>
    <n v="740.88292840283623"/>
    <n v="-536934.50016836997"/>
    <n v="0"/>
    <n v="0"/>
    <n v="0"/>
    <n v="0"/>
    <n v="11554"/>
    <n v="8023226.8545979997"/>
    <s v="EPER"/>
    <n v="7414000005"/>
  </r>
  <r>
    <x v="235"/>
    <s v="BANCO SANTANDER (MEXICO) FIDEICOMISO F/35740-0"/>
    <x v="60"/>
    <s v="NORMAL"/>
    <s v="MXN"/>
    <n v="35000"/>
    <n v="58.67"/>
    <n v="2053450"/>
    <n v="59.246843428571431"/>
    <n v="-20189.52"/>
    <n v="0"/>
    <n v="0"/>
    <n v="0"/>
    <n v="0"/>
    <n v="35000"/>
    <n v="2053450"/>
    <s v="EPER"/>
    <n v="7414000005"/>
  </r>
  <r>
    <x v="235"/>
    <s v="BANCO SANTANDER (MEXICO) FIDEICOMISO F/35740-0"/>
    <x v="61"/>
    <s v="NORMAL"/>
    <s v="MXN"/>
    <n v="6900"/>
    <n v="1090"/>
    <n v="7521000"/>
    <n v="1149.3202898550724"/>
    <n v="-409310"/>
    <n v="0"/>
    <n v="0"/>
    <n v="0"/>
    <n v="0"/>
    <n v="6900"/>
    <n v="7521000"/>
    <s v="EPER"/>
    <n v="7414000005"/>
  </r>
  <r>
    <x v="235"/>
    <s v="BANCO SANTANDER (MEXICO) FIDEICOMISO F/35740-0"/>
    <x v="63"/>
    <s v="NORMAL"/>
    <s v="MXN"/>
    <n v="77200"/>
    <n v="65.260000000000005"/>
    <n v="5038072"/>
    <n v="69.310226943005176"/>
    <n v="-312677.52"/>
    <n v="0"/>
    <n v="0"/>
    <n v="0"/>
    <n v="0"/>
    <n v="77200"/>
    <n v="5038072"/>
    <s v="EPER"/>
    <n v="7414000005"/>
  </r>
  <r>
    <x v="236"/>
    <s v="BANCO SANTANDER (MEXICO) FIDEICOMISO F/100078-0"/>
    <x v="5"/>
    <s v="NORMAL"/>
    <s v="MXN"/>
    <n v="20"/>
    <n v="1786.5"/>
    <n v="35730"/>
    <n v="1644.453"/>
    <n v="2840.94"/>
    <n v="0"/>
    <n v="0"/>
    <n v="0"/>
    <n v="0"/>
    <n v="20"/>
    <n v="35730"/>
    <s v="EPER"/>
    <n v="7414000005"/>
  </r>
  <r>
    <x v="236"/>
    <s v="BANCO SANTANDER (MEXICO) FIDEICOMISO F/100078-0"/>
    <x v="85"/>
    <s v="NORMAL"/>
    <s v="MXN"/>
    <n v="24"/>
    <n v="97.654420999999999"/>
    <n v="2343.7061039999999"/>
    <n v="98.224185000000006"/>
    <n v="-13.674336"/>
    <n v="0"/>
    <n v="0"/>
    <n v="0"/>
    <n v="0"/>
    <n v="24"/>
    <n v="2343.7061039999999"/>
    <s v="EPER"/>
    <n v="7414000005"/>
  </r>
  <r>
    <x v="236"/>
    <s v="BANCO SANTANDER (MEXICO) FIDEICOMISO F/100078-0"/>
    <x v="89"/>
    <s v="NORMAL"/>
    <s v="MXN"/>
    <n v="11400"/>
    <n v="3.1390400000000001"/>
    <n v="35785.055999999997"/>
    <n v="2.8219964912280702"/>
    <n v="3614.2959999999998"/>
    <n v="0"/>
    <n v="0"/>
    <n v="0"/>
    <n v="0"/>
    <n v="11400"/>
    <n v="35785.055999999997"/>
    <s v="EPER"/>
    <n v="7414000005"/>
  </r>
  <r>
    <x v="236"/>
    <s v="BANCO SANTANDER (MEXICO) FIDEICOMISO F/100078-0"/>
    <x v="0"/>
    <s v="NORMAL"/>
    <s v="MXN"/>
    <n v="34239"/>
    <n v="3.3967719999999999"/>
    <n v="116302.076508"/>
    <n v="3.3151429656239961"/>
    <n v="2794.8965079999998"/>
    <n v="0"/>
    <n v="0"/>
    <n v="0"/>
    <n v="0"/>
    <n v="34239"/>
    <n v="116302.076508"/>
    <s v="EPER"/>
    <n v="7414000005"/>
  </r>
  <r>
    <x v="237"/>
    <s v="BANCO SANTANDER (MEXICO) FIDEICOMISO F/100079-0"/>
    <x v="4"/>
    <s v="NORMAL"/>
    <s v="MXN"/>
    <n v="4700"/>
    <n v="168.64"/>
    <n v="792608"/>
    <n v="178.07922978723406"/>
    <n v="-44364.38"/>
    <n v="0"/>
    <n v="0"/>
    <n v="0"/>
    <n v="0"/>
    <n v="4700"/>
    <n v="792608"/>
    <s v="EPER"/>
    <n v="7414000005"/>
  </r>
  <r>
    <x v="237"/>
    <s v="BANCO SANTANDER (MEXICO) FIDEICOMISO F/100079-0"/>
    <x v="5"/>
    <s v="NORMAL"/>
    <s v="MXN"/>
    <n v="4520"/>
    <n v="1786.5"/>
    <n v="8074980"/>
    <n v="1828.7583738938054"/>
    <n v="-191007.85"/>
    <n v="0"/>
    <n v="0"/>
    <n v="0"/>
    <n v="0"/>
    <n v="4520"/>
    <n v="8074980"/>
    <s v="EPER"/>
    <n v="7414000005"/>
  </r>
  <r>
    <x v="237"/>
    <s v="BANCO SANTANDER (MEXICO) FIDEICOMISO F/100079-0"/>
    <x v="187"/>
    <s v="NORMAL"/>
    <s v="MXN"/>
    <n v="14900"/>
    <n v="11.86"/>
    <n v="176714"/>
    <n v="12.184013422818792"/>
    <n v="-4827.8"/>
    <n v="0"/>
    <n v="0"/>
    <n v="0"/>
    <n v="0"/>
    <n v="14900"/>
    <n v="176714"/>
    <s v="EPER"/>
    <n v="7414000005"/>
  </r>
  <r>
    <x v="237"/>
    <s v="BANCO SANTANDER (MEXICO) FIDEICOMISO F/100079-0"/>
    <x v="7"/>
    <s v="NORMAL"/>
    <s v="MXN"/>
    <n v="13200"/>
    <n v="73.37"/>
    <n v="968484"/>
    <n v="61.983649242424242"/>
    <n v="150299.82999999999"/>
    <n v="0"/>
    <n v="0"/>
    <n v="0"/>
    <n v="0"/>
    <n v="13200"/>
    <n v="968484"/>
    <s v="EPER"/>
    <n v="7414000005"/>
  </r>
  <r>
    <x v="237"/>
    <s v="BANCO SANTANDER (MEXICO) FIDEICOMISO F/100079-0"/>
    <x v="10"/>
    <s v="NORMAL"/>
    <s v="MXN"/>
    <n v="197000"/>
    <n v="15.12"/>
    <n v="2978640"/>
    <n v="16.152912687309644"/>
    <n v="-203483.79939999999"/>
    <n v="0"/>
    <n v="0"/>
    <n v="0"/>
    <n v="0"/>
    <n v="197000"/>
    <n v="2978640"/>
    <s v="EPER"/>
    <n v="7414000005"/>
  </r>
  <r>
    <x v="237"/>
    <s v="BANCO SANTANDER (MEXICO) FIDEICOMISO F/100079-0"/>
    <x v="11"/>
    <s v="NORMAL"/>
    <s v="MXN"/>
    <n v="3600"/>
    <n v="525.09"/>
    <n v="1890324"/>
    <n v="491.51876944444444"/>
    <n v="120856.43"/>
    <n v="0"/>
    <n v="0"/>
    <n v="0"/>
    <n v="0"/>
    <n v="3600"/>
    <n v="1890324"/>
    <s v="EPER"/>
    <n v="7414000005"/>
  </r>
  <r>
    <x v="237"/>
    <s v="BANCO SANTANDER (MEXICO) FIDEICOMISO F/100079-0"/>
    <x v="12"/>
    <s v="NORMAL"/>
    <s v="MXN"/>
    <n v="8500"/>
    <n v="68.25"/>
    <n v="580125"/>
    <n v="78.641038823529414"/>
    <n v="-88323.83"/>
    <n v="0"/>
    <n v="0"/>
    <n v="0"/>
    <n v="0"/>
    <n v="8500"/>
    <n v="580125"/>
    <s v="EPER"/>
    <n v="7414000005"/>
  </r>
  <r>
    <x v="237"/>
    <s v="BANCO SANTANDER (MEXICO) FIDEICOMISO F/100079-0"/>
    <x v="14"/>
    <s v="NORMAL"/>
    <s v="MXN"/>
    <n v="238500"/>
    <n v="14.33"/>
    <n v="3417705"/>
    <n v="12.137728930817611"/>
    <n v="522856.65"/>
    <n v="0"/>
    <n v="0"/>
    <n v="0"/>
    <n v="0"/>
    <n v="238500"/>
    <n v="3417705"/>
    <s v="EPER"/>
    <n v="7414000005"/>
  </r>
  <r>
    <x v="237"/>
    <s v="BANCO SANTANDER (MEXICO) FIDEICOMISO F/100079-0"/>
    <x v="85"/>
    <s v="NORMAL"/>
    <s v="MXN"/>
    <n v="1692"/>
    <n v="97.654420999999999"/>
    <n v="165231.28033199999"/>
    <n v="98.224185000000006"/>
    <n v="-964.04068800000005"/>
    <n v="0"/>
    <n v="0"/>
    <n v="0"/>
    <n v="0"/>
    <n v="1692"/>
    <n v="165231.28033199999"/>
    <s v="EPER"/>
    <n v="7414000005"/>
  </r>
  <r>
    <x v="237"/>
    <s v="BANCO SANTANDER (MEXICO) FIDEICOMISO F/100079-0"/>
    <x v="86"/>
    <s v="NORMAL"/>
    <s v="MXN"/>
    <n v="359901"/>
    <n v="9.4935880000000008"/>
    <n v="3416751.8147880002"/>
    <n v="8.4405498100000003"/>
    <n v="378989.49761919002"/>
    <n v="0"/>
    <n v="0"/>
    <n v="0"/>
    <n v="0"/>
    <n v="359901"/>
    <n v="3416751.8147880002"/>
    <s v="EPER"/>
    <n v="7414000005"/>
  </r>
  <r>
    <x v="237"/>
    <s v="BANCO SANTANDER (MEXICO) FIDEICOMISO F/100079-0"/>
    <x v="72"/>
    <s v="NORMAL"/>
    <s v="MXN"/>
    <n v="490130"/>
    <n v="9.3381629999999998"/>
    <n v="4576913.8311900003"/>
    <n v="8.3307969100000001"/>
    <n v="493740.34169169998"/>
    <n v="0"/>
    <n v="0"/>
    <n v="0"/>
    <n v="0"/>
    <n v="490130"/>
    <n v="4576913.8311900003"/>
    <s v="EPER"/>
    <n v="7414000005"/>
  </r>
  <r>
    <x v="237"/>
    <s v="BANCO SANTANDER (MEXICO) FIDEICOMISO F/100079-0"/>
    <x v="17"/>
    <s v="NORMAL"/>
    <s v="MXN"/>
    <n v="4000"/>
    <n v="675.38"/>
    <n v="2701520"/>
    <n v="752.82341250000002"/>
    <n v="-309773.65000000002"/>
    <n v="0"/>
    <n v="0"/>
    <n v="0"/>
    <n v="0"/>
    <n v="4000"/>
    <n v="2701520"/>
    <s v="EPER"/>
    <n v="7414000005"/>
  </r>
  <r>
    <x v="237"/>
    <s v="BANCO SANTANDER (MEXICO) FIDEICOMISO F/100079-0"/>
    <x v="18"/>
    <s v="NORMAL"/>
    <s v="MXN"/>
    <n v="890"/>
    <n v="700.65"/>
    <n v="623578.5"/>
    <n v="762.20196629213478"/>
    <n v="-54781.25"/>
    <n v="0"/>
    <n v="0"/>
    <n v="0"/>
    <n v="0"/>
    <n v="890"/>
    <n v="623578.5"/>
    <s v="EPER"/>
    <n v="7414000005"/>
  </r>
  <r>
    <x v="237"/>
    <s v="BANCO SANTANDER (MEXICO) FIDEICOMISO F/100079-0"/>
    <x v="19"/>
    <s v="NORMAL"/>
    <s v="MXN"/>
    <n v="1720"/>
    <n v="1151"/>
    <n v="1979720"/>
    <n v="982.34045348837208"/>
    <n v="290094.42"/>
    <n v="0"/>
    <n v="0"/>
    <n v="0"/>
    <n v="0"/>
    <n v="1720"/>
    <n v="1979720"/>
    <s v="EPER"/>
    <n v="7414000005"/>
  </r>
  <r>
    <x v="237"/>
    <s v="BANCO SANTANDER (MEXICO) FIDEICOMISO F/100079-0"/>
    <x v="20"/>
    <s v="NORMAL"/>
    <s v="MXN"/>
    <n v="17800"/>
    <n v="207.81"/>
    <n v="3699018"/>
    <n v="177.93453595505619"/>
    <n v="531783.26"/>
    <n v="0"/>
    <n v="0"/>
    <n v="0"/>
    <n v="0"/>
    <n v="17800"/>
    <n v="3699018"/>
    <s v="EPER"/>
    <n v="7414000005"/>
  </r>
  <r>
    <x v="237"/>
    <s v="BANCO SANTANDER (MEXICO) FIDEICOMISO F/100079-0"/>
    <x v="21"/>
    <s v="NORMAL"/>
    <s v="MXN"/>
    <n v="1900"/>
    <n v="271.94"/>
    <n v="516686"/>
    <n v="290.68908947368419"/>
    <n v="-35623.269999999997"/>
    <n v="0"/>
    <n v="0"/>
    <n v="0"/>
    <n v="0"/>
    <n v="1900"/>
    <n v="516686"/>
    <s v="EPER"/>
    <n v="7414000005"/>
  </r>
  <r>
    <x v="237"/>
    <s v="BANCO SANTANDER (MEXICO) FIDEICOMISO F/100079-0"/>
    <x v="22"/>
    <s v="NORMAL"/>
    <s v="MXN"/>
    <n v="6000"/>
    <n v="193.15"/>
    <n v="1158900"/>
    <n v="163.59802833333333"/>
    <n v="177311.83"/>
    <n v="0"/>
    <n v="0"/>
    <n v="0"/>
    <n v="0"/>
    <n v="6000"/>
    <n v="1158900"/>
    <s v="EPER"/>
    <n v="7414000005"/>
  </r>
  <r>
    <x v="237"/>
    <s v="BANCO SANTANDER (MEXICO) FIDEICOMISO F/100079-0"/>
    <x v="23"/>
    <s v="NORMAL"/>
    <s v="MXN"/>
    <n v="45000"/>
    <n v="27.12"/>
    <n v="1220400"/>
    <n v="22.565322444444444"/>
    <n v="204960.49"/>
    <n v="0"/>
    <n v="0"/>
    <n v="0"/>
    <n v="0"/>
    <n v="45000"/>
    <n v="1220400"/>
    <s v="EPER"/>
    <n v="7414000005"/>
  </r>
  <r>
    <x v="237"/>
    <s v="BANCO SANTANDER (MEXICO) FIDEICOMISO F/100079-0"/>
    <x v="24"/>
    <s v="NORMAL"/>
    <s v="MXN"/>
    <n v="28100"/>
    <n v="176.44"/>
    <n v="4957964"/>
    <n v="147.64830604982205"/>
    <n v="809046.6"/>
    <n v="0"/>
    <n v="0"/>
    <n v="0"/>
    <n v="0"/>
    <n v="28100"/>
    <n v="4957964"/>
    <s v="EPER"/>
    <n v="7414000005"/>
  </r>
  <r>
    <x v="237"/>
    <s v="BANCO SANTANDER (MEXICO) FIDEICOMISO F/100079-0"/>
    <x v="25"/>
    <s v="NORMAL"/>
    <s v="MXN"/>
    <n v="35600"/>
    <n v="104.12"/>
    <n v="3706672"/>
    <n v="83.802376123595508"/>
    <n v="723307.41"/>
    <n v="0"/>
    <n v="0"/>
    <n v="0"/>
    <n v="0"/>
    <n v="35600"/>
    <n v="3706672"/>
    <s v="EPER"/>
    <n v="7414000005"/>
  </r>
  <r>
    <x v="237"/>
    <s v="BANCO SANTANDER (MEXICO) FIDEICOMISO F/100079-0"/>
    <x v="26"/>
    <s v="NORMAL"/>
    <s v="MXN"/>
    <n v="23840"/>
    <n v="98.730349000000004"/>
    <n v="2353731.5201599998"/>
    <n v="104.24610289529782"/>
    <n v="-131495.57286389999"/>
    <n v="0"/>
    <n v="0"/>
    <n v="0"/>
    <n v="0"/>
    <n v="23840"/>
    <n v="2353731.5201599998"/>
    <s v="EPER"/>
    <n v="7414000005"/>
  </r>
  <r>
    <x v="237"/>
    <s v="BANCO SANTANDER (MEXICO) FIDEICOMISO F/100079-0"/>
    <x v="67"/>
    <s v="NORMAL"/>
    <s v="MXN"/>
    <n v="27222"/>
    <n v="99.247497999999993"/>
    <n v="2701715.3905560002"/>
    <n v="112.43067486209904"/>
    <n v="-358872.44054005999"/>
    <n v="0"/>
    <n v="0"/>
    <n v="0"/>
    <n v="0"/>
    <n v="27222"/>
    <n v="2701715.3905560002"/>
    <s v="EPER"/>
    <n v="7414000005"/>
  </r>
  <r>
    <x v="237"/>
    <s v="BANCO SANTANDER (MEXICO) FIDEICOMISO F/100079-0"/>
    <x v="27"/>
    <s v="NORMAL"/>
    <s v="MXN"/>
    <n v="8490"/>
    <n v="94.973146999999997"/>
    <n v="806322.01803000004"/>
    <n v="89.77783047021201"/>
    <n v="44108.237337899998"/>
    <n v="0"/>
    <n v="0"/>
    <n v="0"/>
    <n v="0"/>
    <n v="8490"/>
    <n v="806322.01803000004"/>
    <s v="EPER"/>
    <n v="7414000005"/>
  </r>
  <r>
    <x v="237"/>
    <s v="BANCO SANTANDER (MEXICO) FIDEICOMISO F/100079-0"/>
    <x v="28"/>
    <s v="NORMAL"/>
    <s v="MXN"/>
    <n v="29069"/>
    <n v="91.911821000000003"/>
    <n v="2671784.724649"/>
    <n v="93.2088459"/>
    <n v="-37703.216818100002"/>
    <n v="0"/>
    <n v="0"/>
    <n v="0"/>
    <n v="0"/>
    <n v="29069"/>
    <n v="2671784.724649"/>
    <s v="EPER"/>
    <n v="7414000005"/>
  </r>
  <r>
    <x v="237"/>
    <s v="BANCO SANTANDER (MEXICO) FIDEICOMISO F/100079-0"/>
    <x v="29"/>
    <s v="NORMAL"/>
    <s v="MXN"/>
    <n v="14810"/>
    <n v="92.954503000000003"/>
    <n v="1376656.18943"/>
    <n v="93.326521780931799"/>
    <n v="-5509.5981456"/>
    <n v="0"/>
    <n v="0"/>
    <n v="0"/>
    <n v="0"/>
    <n v="14810"/>
    <n v="1376656.18943"/>
    <s v="EPER"/>
    <n v="7414000005"/>
  </r>
  <r>
    <x v="237"/>
    <s v="BANCO SANTANDER (MEXICO) FIDEICOMISO F/100079-0"/>
    <x v="30"/>
    <s v="NORMAL"/>
    <s v="MXN"/>
    <n v="14718"/>
    <n v="88.698122999999995"/>
    <n v="1305458.974314"/>
    <n v="85.579178033424384"/>
    <n v="45904.632018060001"/>
    <n v="0"/>
    <n v="0"/>
    <n v="0"/>
    <n v="0"/>
    <n v="14718"/>
    <n v="1305458.974314"/>
    <s v="EPER"/>
    <n v="7414000005"/>
  </r>
  <r>
    <x v="237"/>
    <s v="BANCO SANTANDER (MEXICO) FIDEICOMISO F/100079-0"/>
    <x v="31"/>
    <s v="NORMAL"/>
    <s v="MXN"/>
    <n v="30790"/>
    <n v="93.314192000000006"/>
    <n v="2873143.97168"/>
    <n v="99.098739295319902"/>
    <n v="-178106.21122289999"/>
    <n v="0"/>
    <n v="0"/>
    <n v="0"/>
    <n v="0"/>
    <n v="30790"/>
    <n v="2873143.97168"/>
    <s v="EPER"/>
    <n v="7414000005"/>
  </r>
  <r>
    <x v="237"/>
    <s v="BANCO SANTANDER (MEXICO) FIDEICOMISO F/100079-0"/>
    <x v="32"/>
    <s v="NORMAL"/>
    <s v="MXN"/>
    <n v="26160"/>
    <n v="94.864168000000006"/>
    <n v="2481646.6348799998"/>
    <n v="96.400284050443432"/>
    <n v="-40184.795879600002"/>
    <n v="0"/>
    <n v="0"/>
    <n v="0"/>
    <n v="0"/>
    <n v="26160"/>
    <n v="2481646.6348799998"/>
    <s v="EPER"/>
    <n v="7414000005"/>
  </r>
  <r>
    <x v="237"/>
    <s v="BANCO SANTANDER (MEXICO) FIDEICOMISO F/100079-0"/>
    <x v="33"/>
    <s v="NORMAL"/>
    <s v="MXN"/>
    <n v="74693"/>
    <n v="94.870157000000006"/>
    <n v="7086136.6368009998"/>
    <n v="96.757260273500862"/>
    <n v="-140953.40480759999"/>
    <n v="0"/>
    <n v="0"/>
    <n v="0"/>
    <n v="0"/>
    <n v="74693"/>
    <n v="7086136.6368009998"/>
    <s v="EPER"/>
    <n v="7414000005"/>
  </r>
  <r>
    <x v="237"/>
    <s v="BANCO SANTANDER (MEXICO) FIDEICOMISO F/100079-0"/>
    <x v="34"/>
    <s v="NORMAL"/>
    <s v="MXN"/>
    <n v="37617"/>
    <n v="89.489464999999996"/>
    <n v="3366325.204905"/>
    <n v="91.229590010315547"/>
    <n v="-65458.282513040002"/>
    <n v="0"/>
    <n v="0"/>
    <n v="0"/>
    <n v="0"/>
    <n v="37617"/>
    <n v="3366325.204905"/>
    <s v="EPER"/>
    <n v="7414000005"/>
  </r>
  <r>
    <x v="237"/>
    <s v="BANCO SANTANDER (MEXICO) FIDEICOMISO F/100079-0"/>
    <x v="35"/>
    <s v="NORMAL"/>
    <s v="MXN"/>
    <n v="73602"/>
    <n v="86.197128000000006"/>
    <n v="6344281.0150560001"/>
    <n v="89.410812547518276"/>
    <n v="-236533.61006643999"/>
    <n v="0"/>
    <n v="0"/>
    <n v="0"/>
    <n v="0"/>
    <n v="73602"/>
    <n v="6344281.0150560001"/>
    <s v="EPER"/>
    <n v="7414000005"/>
  </r>
  <r>
    <x v="237"/>
    <s v="BANCO SANTANDER (MEXICO) FIDEICOMISO F/100079-0"/>
    <x v="36"/>
    <s v="NORMAL"/>
    <s v="MXN"/>
    <n v="54592"/>
    <n v="86.469353999999996"/>
    <n v="4720534.9735679999"/>
    <n v="90.725366333467903"/>
    <n v="-232344.22530868"/>
    <n v="0"/>
    <n v="0"/>
    <n v="0"/>
    <n v="0"/>
    <n v="54592"/>
    <n v="4720534.9735679999"/>
    <s v="EPER"/>
    <n v="7414000005"/>
  </r>
  <r>
    <x v="237"/>
    <s v="BANCO SANTANDER (MEXICO) FIDEICOMISO F/100079-0"/>
    <x v="81"/>
    <s v="NORMAL"/>
    <s v="MXN"/>
    <n v="2384"/>
    <n v="101.45096599999999"/>
    <n v="241859.10294400001"/>
    <n v="114.11447106"/>
    <n v="-30189.796063040001"/>
    <n v="0"/>
    <n v="0"/>
    <n v="0"/>
    <n v="0"/>
    <n v="2384"/>
    <n v="241859.10294400001"/>
    <s v="EPER"/>
    <n v="7414000005"/>
  </r>
  <r>
    <x v="237"/>
    <s v="BANCO SANTANDER (MEXICO) FIDEICOMISO F/100079-0"/>
    <x v="68"/>
    <s v="NORMAL"/>
    <s v="MXN"/>
    <n v="2262"/>
    <n v="89.643172000000007"/>
    <n v="202772.855064"/>
    <n v="108.47711812999999"/>
    <n v="-42602.386146060002"/>
    <n v="0"/>
    <n v="0"/>
    <n v="0"/>
    <n v="0"/>
    <n v="2262"/>
    <n v="202772.855064"/>
    <s v="EPER"/>
    <n v="7414000005"/>
  </r>
  <r>
    <x v="237"/>
    <s v="BANCO SANTANDER (MEXICO) FIDEICOMISO F/100079-0"/>
    <x v="37"/>
    <s v="NORMAL"/>
    <s v="MXN"/>
    <n v="57197"/>
    <n v="81.738860000000003"/>
    <n v="4675217.5754199997"/>
    <n v="86.571683953352803"/>
    <n v="-276423.03165992"/>
    <n v="0"/>
    <n v="0"/>
    <n v="0"/>
    <n v="0"/>
    <n v="57197"/>
    <n v="4675217.5754199997"/>
    <s v="EPER"/>
    <n v="7414000005"/>
  </r>
  <r>
    <x v="237"/>
    <s v="BANCO SANTANDER (MEXICO) FIDEICOMISO F/100079-0"/>
    <x v="38"/>
    <s v="NORMAL"/>
    <s v="MXN"/>
    <n v="7361"/>
    <n v="83.200761"/>
    <n v="612440.801721"/>
    <n v="89.577829020963179"/>
    <n v="-46941.597702309999"/>
    <n v="0"/>
    <n v="0"/>
    <n v="0"/>
    <n v="0"/>
    <n v="7361"/>
    <n v="612440.801721"/>
    <s v="EPER"/>
    <n v="7414000005"/>
  </r>
  <r>
    <x v="237"/>
    <s v="BANCO SANTANDER (MEXICO) FIDEICOMISO F/100079-0"/>
    <x v="39"/>
    <s v="NORMAL"/>
    <s v="MXN"/>
    <n v="66857"/>
    <n v="82.159907000000004"/>
    <n v="5492964.902299"/>
    <n v="84.03741826646035"/>
    <n v="-125524.77074173999"/>
    <n v="0"/>
    <n v="0"/>
    <n v="0"/>
    <n v="0"/>
    <n v="66857"/>
    <n v="5492964.902299"/>
    <s v="EPER"/>
    <n v="7414000005"/>
  </r>
  <r>
    <x v="237"/>
    <s v="BANCO SANTANDER (MEXICO) FIDEICOMISO F/100079-0"/>
    <x v="40"/>
    <s v="NORMAL"/>
    <s v="MXN"/>
    <n v="3000"/>
    <n v="314.42"/>
    <n v="943260"/>
    <n v="294.54498000000001"/>
    <n v="59625.06"/>
    <n v="0"/>
    <n v="0"/>
    <n v="0"/>
    <n v="0"/>
    <n v="3000"/>
    <n v="943260"/>
    <s v="EPER"/>
    <n v="7414000005"/>
  </r>
  <r>
    <x v="237"/>
    <s v="BANCO SANTANDER (MEXICO) FIDEICOMISO F/100079-0"/>
    <x v="41"/>
    <s v="NORMAL"/>
    <s v="MXN"/>
    <n v="18200"/>
    <n v="43.85"/>
    <n v="798070"/>
    <n v="41.234807142857143"/>
    <n v="47596.51"/>
    <n v="0"/>
    <n v="0"/>
    <n v="0"/>
    <n v="0"/>
    <n v="18200"/>
    <n v="798070"/>
    <s v="EPER"/>
    <n v="7414000005"/>
  </r>
  <r>
    <x v="237"/>
    <s v="BANCO SANTANDER (MEXICO) FIDEICOMISO F/100079-0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237"/>
    <s v="BANCO SANTANDER (MEXICO) FIDEICOMISO F/100079-0"/>
    <x v="42"/>
    <s v="NORMAL"/>
    <s v="MXN"/>
    <n v="1550"/>
    <n v="8532.5"/>
    <n v="13225375"/>
    <n v="5148.3243354838705"/>
    <n v="5245472.28"/>
    <n v="0"/>
    <n v="0"/>
    <n v="0"/>
    <n v="0"/>
    <n v="1550"/>
    <n v="13225375"/>
    <s v="EPER"/>
    <n v="7414000005"/>
  </r>
  <r>
    <x v="237"/>
    <s v="BANCO SANTANDER (MEXICO) FIDEICOMISO F/100079-0"/>
    <x v="44"/>
    <s v="NORMAL"/>
    <s v="MXN"/>
    <n v="22000"/>
    <n v="36.28"/>
    <n v="798160"/>
    <n v="39.126048636363635"/>
    <n v="-62613.07"/>
    <n v="0"/>
    <n v="0"/>
    <n v="0"/>
    <n v="0"/>
    <n v="22000"/>
    <n v="798160"/>
    <s v="EPER"/>
    <n v="7414000005"/>
  </r>
  <r>
    <x v="237"/>
    <s v="BANCO SANTANDER (MEXICO) FIDEICOMISO F/100079-0"/>
    <x v="45"/>
    <s v="NORMAL"/>
    <s v="MXN"/>
    <n v="2900"/>
    <n v="136.35"/>
    <n v="395415"/>
    <n v="119.04779655172413"/>
    <n v="50176.39"/>
    <n v="0"/>
    <n v="0"/>
    <n v="0"/>
    <n v="0"/>
    <n v="2900"/>
    <n v="395415"/>
    <s v="EPER"/>
    <n v="7414000005"/>
  </r>
  <r>
    <x v="237"/>
    <s v="BANCO SANTANDER (MEXICO) FIDEICOMISO F/100079-0"/>
    <x v="88"/>
    <s v="NORMAL"/>
    <s v="MXN"/>
    <n v="63259"/>
    <n v="98.007834000000003"/>
    <n v="6199877.571006"/>
    <n v="89.805592068469934"/>
    <n v="518865.62234666001"/>
    <n v="0"/>
    <n v="0"/>
    <n v="0"/>
    <n v="0"/>
    <n v="63259"/>
    <n v="6199877.571006"/>
    <s v="EPER"/>
    <n v="7414000005"/>
  </r>
  <r>
    <x v="237"/>
    <s v="BANCO SANTANDER (MEXICO) FIDEICOMISO F/100079-0"/>
    <x v="48"/>
    <s v="NORMAL"/>
    <s v="MXN"/>
    <n v="6800"/>
    <n v="156"/>
    <n v="1060800"/>
    <n v="138.83542499999999"/>
    <n v="116719.11"/>
    <n v="0"/>
    <n v="0"/>
    <n v="0"/>
    <n v="0"/>
    <n v="6800"/>
    <n v="1060800"/>
    <s v="EPER"/>
    <n v="7414000005"/>
  </r>
  <r>
    <x v="237"/>
    <s v="BANCO SANTANDER (MEXICO) FIDEICOMISO F/100079-0"/>
    <x v="49"/>
    <s v="NORMAL"/>
    <s v="MXN"/>
    <n v="6194"/>
    <n v="682.55"/>
    <n v="4227714.7"/>
    <n v="835.07776235066194"/>
    <n v="-944756.96"/>
    <n v="0"/>
    <n v="0"/>
    <n v="0"/>
    <n v="0"/>
    <n v="6194"/>
    <n v="4227714.7"/>
    <s v="EPER"/>
    <n v="7414000005"/>
  </r>
  <r>
    <x v="237"/>
    <s v="BANCO SANTANDER (MEXICO) FIDEICOMISO F/100079-0"/>
    <x v="0"/>
    <s v="NORMAL"/>
    <s v="MXN"/>
    <n v="2407062"/>
    <n v="3.3967719999999999"/>
    <n v="8176240.8038640004"/>
    <n v="3.3083477201667426"/>
    <n v="212842.723864"/>
    <n v="0"/>
    <n v="0"/>
    <n v="0"/>
    <n v="0"/>
    <n v="2407062"/>
    <n v="8176240.8038640004"/>
    <s v="EPER"/>
    <n v="7414000005"/>
  </r>
  <r>
    <x v="237"/>
    <s v="BANCO SANTANDER (MEXICO) FIDEICOMISO F/100079-0"/>
    <x v="50"/>
    <s v="NORMAL"/>
    <s v="MXN"/>
    <n v="28000"/>
    <n v="31.41"/>
    <n v="879480"/>
    <n v="32.117416071428572"/>
    <n v="-19807.650000000001"/>
    <n v="0"/>
    <n v="0"/>
    <n v="0"/>
    <n v="0"/>
    <n v="28000"/>
    <n v="879480"/>
    <s v="EPER"/>
    <n v="7414000005"/>
  </r>
  <r>
    <x v="237"/>
    <s v="BANCO SANTANDER (MEXICO) FIDEICOMISO F/100079-0"/>
    <x v="51"/>
    <s v="NORMAL"/>
    <s v="MXN"/>
    <n v="5030"/>
    <n v="775.69178699999998"/>
    <n v="3901729.6886100001"/>
    <n v="766.69784126000002"/>
    <n v="45239.547072200003"/>
    <n v="0"/>
    <n v="0"/>
    <n v="0"/>
    <n v="0"/>
    <n v="5030"/>
    <n v="3901729.6886100001"/>
    <s v="EPER"/>
    <n v="7414000005"/>
  </r>
  <r>
    <x v="237"/>
    <s v="BANCO SANTANDER (MEXICO) FIDEICOMISO F/100079-0"/>
    <x v="52"/>
    <s v="NORMAL"/>
    <s v="MXN"/>
    <n v="10032"/>
    <n v="747.17843200000004"/>
    <n v="7495694.0298239999"/>
    <n v="723.75155451396529"/>
    <n v="235018.43493990001"/>
    <n v="0"/>
    <n v="0"/>
    <n v="0"/>
    <n v="0"/>
    <n v="10032"/>
    <n v="7495694.0298239999"/>
    <s v="EPER"/>
    <n v="7414000005"/>
  </r>
  <r>
    <x v="237"/>
    <s v="BANCO SANTANDER (MEXICO) FIDEICOMISO F/100079-0"/>
    <x v="53"/>
    <s v="NORMAL"/>
    <s v="MXN"/>
    <n v="1902"/>
    <n v="765.92388300000005"/>
    <n v="1456787.2254659999"/>
    <n v="765.89755263676125"/>
    <n v="50.080350879999997"/>
    <n v="0"/>
    <n v="0"/>
    <n v="0"/>
    <n v="0"/>
    <n v="1902"/>
    <n v="1456787.2254659999"/>
    <s v="EPER"/>
    <n v="7414000005"/>
  </r>
  <r>
    <x v="237"/>
    <s v="BANCO SANTANDER (MEXICO) FIDEICOMISO F/100079-0"/>
    <x v="54"/>
    <s v="NORMAL"/>
    <s v="MXN"/>
    <n v="5656"/>
    <n v="684.88915799999995"/>
    <n v="3873733.0776479999"/>
    <n v="680.55460066909473"/>
    <n v="24516.2562636"/>
    <n v="0"/>
    <n v="0"/>
    <n v="0"/>
    <n v="0"/>
    <n v="5656"/>
    <n v="3873733.0776479999"/>
    <s v="EPER"/>
    <n v="7414000005"/>
  </r>
  <r>
    <x v="237"/>
    <s v="BANCO SANTANDER (MEXICO) FIDEICOMISO F/100079-0"/>
    <x v="55"/>
    <s v="NORMAL"/>
    <s v="MXN"/>
    <n v="3325"/>
    <n v="772.926965"/>
    <n v="2569982.1586250002"/>
    <n v="801.63496955084815"/>
    <n v="-95454.115131569997"/>
    <n v="0"/>
    <n v="0"/>
    <n v="0"/>
    <n v="0"/>
    <n v="3325"/>
    <n v="2569982.1586250002"/>
    <s v="EPER"/>
    <n v="7414000005"/>
  </r>
  <r>
    <x v="237"/>
    <s v="BANCO SANTANDER (MEXICO) FIDEICOMISO F/100079-0"/>
    <x v="56"/>
    <s v="NORMAL"/>
    <s v="MXN"/>
    <n v="3866"/>
    <n v="721.59464000000003"/>
    <n v="2789684.87824"/>
    <n v="757.1144535833057"/>
    <n v="-137319.59931306"/>
    <n v="0"/>
    <n v="0"/>
    <n v="0"/>
    <n v="0"/>
    <n v="3866"/>
    <n v="2789684.87824"/>
    <s v="EPER"/>
    <n v="7414000005"/>
  </r>
  <r>
    <x v="237"/>
    <s v="BANCO SANTANDER (MEXICO) FIDEICOMISO F/100079-0"/>
    <x v="57"/>
    <s v="NORMAL"/>
    <s v="MXN"/>
    <n v="1894"/>
    <n v="635.96311900000001"/>
    <n v="1204514.147386"/>
    <n v="647.93802047999998"/>
    <n v="-22680.46340312"/>
    <n v="0"/>
    <n v="0"/>
    <n v="0"/>
    <n v="0"/>
    <n v="1894"/>
    <n v="1204514.147386"/>
    <s v="EPER"/>
    <n v="7414000005"/>
  </r>
  <r>
    <x v="237"/>
    <s v="BANCO SANTANDER (MEXICO) FIDEICOMISO F/100079-0"/>
    <x v="58"/>
    <s v="NORMAL"/>
    <s v="MXN"/>
    <n v="4441"/>
    <n v="709.36974099999998"/>
    <n v="3150311.019781"/>
    <n v="724.76234885034899"/>
    <n v="-68358.571463400003"/>
    <n v="0"/>
    <n v="0"/>
    <n v="0"/>
    <n v="0"/>
    <n v="4441"/>
    <n v="3150311.019781"/>
    <s v="EPER"/>
    <n v="7414000005"/>
  </r>
  <r>
    <x v="237"/>
    <s v="BANCO SANTANDER (MEXICO) FIDEICOMISO F/100079-0"/>
    <x v="59"/>
    <s v="NORMAL"/>
    <s v="MXN"/>
    <n v="7642"/>
    <n v="694.41118700000004"/>
    <n v="5306690.2910540001"/>
    <n v="725.7674862182439"/>
    <n v="-239624.83862582"/>
    <n v="0"/>
    <n v="0"/>
    <n v="0"/>
    <n v="0"/>
    <n v="7642"/>
    <n v="5306690.2910540001"/>
    <s v="EPER"/>
    <n v="7414000005"/>
  </r>
  <r>
    <x v="237"/>
    <s v="BANCO SANTANDER (MEXICO) FIDEICOMISO F/100079-0"/>
    <x v="60"/>
    <s v="NORMAL"/>
    <s v="MXN"/>
    <n v="22000"/>
    <n v="58.67"/>
    <n v="1290740"/>
    <n v="59.69390772727273"/>
    <n v="-22525.97"/>
    <n v="0"/>
    <n v="0"/>
    <n v="0"/>
    <n v="0"/>
    <n v="22000"/>
    <n v="1290740"/>
    <s v="EPER"/>
    <n v="7414000005"/>
  </r>
  <r>
    <x v="237"/>
    <s v="BANCO SANTANDER (MEXICO) FIDEICOMISO F/100079-0"/>
    <x v="61"/>
    <s v="NORMAL"/>
    <s v="MXN"/>
    <n v="3440"/>
    <n v="1090"/>
    <n v="3749600"/>
    <n v="1086.9790523255815"/>
    <n v="10392.06"/>
    <n v="0"/>
    <n v="0"/>
    <n v="0"/>
    <n v="0"/>
    <n v="3440"/>
    <n v="3749600"/>
    <s v="EPER"/>
    <n v="7414000005"/>
  </r>
  <r>
    <x v="237"/>
    <s v="BANCO SANTANDER (MEXICO) FIDEICOMISO F/100079-0"/>
    <x v="63"/>
    <s v="NORMAL"/>
    <s v="MXN"/>
    <n v="51500"/>
    <n v="65.260000000000005"/>
    <n v="3360890"/>
    <n v="69.374553203883494"/>
    <n v="-211899.49"/>
    <n v="0"/>
    <n v="0"/>
    <n v="0"/>
    <n v="0"/>
    <n v="51500"/>
    <n v="3360890"/>
    <s v="EPER"/>
    <n v="7414000005"/>
  </r>
  <r>
    <x v="238"/>
    <s v="BANCO SANTANDER (MEXICO) FIDEICOMISO F/2321501-1"/>
    <x v="188"/>
    <s v="NORMAL"/>
    <s v="MXN"/>
    <n v="500000"/>
    <n v="9.6141520000000007"/>
    <n v="4807076"/>
    <n v="9.0305956599999995"/>
    <n v="291778.17"/>
    <n v="0"/>
    <n v="0"/>
    <n v="0"/>
    <n v="0"/>
    <n v="500000"/>
    <n v="4807076"/>
    <s v="EPER"/>
    <n v="7414000005"/>
  </r>
  <r>
    <x v="238"/>
    <s v="BANCO SANTANDER (MEXICO) FIDEICOMISO F/2321501-1"/>
    <x v="86"/>
    <s v="NORMAL"/>
    <s v="MXN"/>
    <n v="31388"/>
    <n v="9.4935880000000008"/>
    <n v="297984.74014399998"/>
    <n v="8.2405490399999994"/>
    <n v="39330.386876479999"/>
    <n v="0"/>
    <n v="0"/>
    <n v="0"/>
    <n v="0"/>
    <n v="31388"/>
    <n v="297984.74014399998"/>
    <s v="EPER"/>
    <n v="7414000005"/>
  </r>
  <r>
    <x v="238"/>
    <s v="BANCO SANTANDER (MEXICO) FIDEICOMISO F/2321501-1"/>
    <x v="72"/>
    <s v="NORMAL"/>
    <s v="MXN"/>
    <n v="152677"/>
    <n v="9.3381629999999998"/>
    <n v="1425722.7123509999"/>
    <n v="8.320664959323409"/>
    <n v="155348.54835637999"/>
    <n v="0"/>
    <n v="0"/>
    <n v="0"/>
    <n v="0"/>
    <n v="152677"/>
    <n v="1425722.7123509999"/>
    <s v="EPER"/>
    <n v="7414000005"/>
  </r>
  <r>
    <x v="238"/>
    <s v="BANCO SANTANDER (MEXICO) FIDEICOMISO F/2321501-1"/>
    <x v="15"/>
    <s v="NORMAL"/>
    <s v="MXN"/>
    <n v="156950"/>
    <n v="9.190137"/>
    <n v="1442392.0021500001"/>
    <n v="8.2168121392634603"/>
    <n v="152763.3368926"/>
    <n v="0"/>
    <n v="0"/>
    <n v="0"/>
    <n v="0"/>
    <n v="156950"/>
    <n v="1442392.0021500001"/>
    <s v="EPER"/>
    <n v="7414000005"/>
  </r>
  <r>
    <x v="238"/>
    <s v="BANCO SANTANDER (MEXICO) FIDEICOMISO F/2321501-1"/>
    <x v="70"/>
    <s v="NORMAL"/>
    <s v="MXN"/>
    <n v="34040"/>
    <n v="9.0112480000000001"/>
    <n v="306742.88192000001"/>
    <n v="8.9969798000000001"/>
    <n v="485.689528"/>
    <n v="0"/>
    <n v="0"/>
    <n v="0"/>
    <n v="0"/>
    <n v="34040"/>
    <n v="306742.88192000001"/>
    <s v="EPER"/>
    <n v="7414000005"/>
  </r>
  <r>
    <x v="238"/>
    <s v="BANCO SANTANDER (MEXICO) FIDEICOMISO F/2321501-1"/>
    <x v="16"/>
    <s v="NORMAL"/>
    <s v="MXN"/>
    <n v="64300"/>
    <n v="8.2580650000000002"/>
    <n v="530993.57949999999"/>
    <n v="8.2501711100000001"/>
    <n v="507.57712700000002"/>
    <n v="0"/>
    <n v="0"/>
    <n v="0"/>
    <n v="0"/>
    <n v="64300"/>
    <n v="530993.57949999999"/>
    <s v="EPER"/>
    <n v="7414000005"/>
  </r>
  <r>
    <x v="238"/>
    <s v="BANCO SANTANDER (MEXICO) FIDEICOMISO F/2321501-1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238"/>
    <s v="BANCO SANTANDER (MEXICO) FIDEICOMISO F/2321501-1"/>
    <x v="130"/>
    <s v="NORMAL"/>
    <s v="MXN"/>
    <n v="2030000"/>
    <n v="4.5848760000000004"/>
    <n v="9307298.2799999993"/>
    <n v="3.9648600394088671"/>
    <n v="1717120"/>
    <n v="-100000"/>
    <n v="-458487.6"/>
    <n v="0"/>
    <n v="0"/>
    <n v="1930000"/>
    <n v="8848810.6799999997"/>
    <s v="EPER"/>
    <n v="7414000005"/>
  </r>
  <r>
    <x v="238"/>
    <s v="BANCO SANTANDER (MEXICO) FIDEICOMISO F/2321501-1"/>
    <x v="0"/>
    <s v="NORMAL"/>
    <s v="MXN"/>
    <n v="3551953"/>
    <n v="3.3967719999999999"/>
    <n v="12065174.495716"/>
    <n v="3.2156814546814103"/>
    <n v="643225.10571599996"/>
    <n v="0"/>
    <n v="0"/>
    <n v="0"/>
    <n v="0"/>
    <n v="3551953"/>
    <n v="12065174.495716"/>
    <s v="EPER"/>
    <n v="7414000005"/>
  </r>
  <r>
    <x v="239"/>
    <s v="BANCO SANTANDER (MEXICO) FIDEICOMISO F/3199-0"/>
    <x v="212"/>
    <s v="NORMAL"/>
    <s v="MXN"/>
    <n v="4000"/>
    <n v="9.9999999999999995E-7"/>
    <n v="4.0000000000000001E-3"/>
    <n v="0.87"/>
    <n v="-3479.9960000000001"/>
    <n v="0"/>
    <n v="0"/>
    <n v="0"/>
    <n v="0"/>
    <n v="4000"/>
    <n v="4.0000000000000001E-3"/>
    <s v="EPER"/>
    <n v="7414000005"/>
  </r>
  <r>
    <x v="239"/>
    <s v="BANCO SANTANDER (MEXICO) FIDEICOMISO F/3199-0"/>
    <x v="213"/>
    <s v="NORMAL"/>
    <s v="MXN"/>
    <n v="67"/>
    <n v="55.2"/>
    <n v="3698.4"/>
    <n v="0"/>
    <n v="3698.4"/>
    <n v="0"/>
    <n v="0"/>
    <n v="0"/>
    <n v="0"/>
    <n v="67"/>
    <n v="3698.4"/>
    <s v="EPER"/>
    <n v="7414000005"/>
  </r>
  <r>
    <x v="239"/>
    <s v="BANCO SANTANDER (MEXICO) FIDEICOMISO F/3199-0"/>
    <x v="214"/>
    <s v="NORMAL"/>
    <s v="MXN"/>
    <n v="75420"/>
    <n v="162"/>
    <n v="12218040"/>
    <n v="42.333333333333336"/>
    <n v="9025260"/>
    <n v="0"/>
    <n v="0"/>
    <n v="0"/>
    <n v="0"/>
    <n v="75420"/>
    <n v="12218040"/>
    <s v="EPER"/>
    <n v="7414000005"/>
  </r>
  <r>
    <x v="239"/>
    <s v="BANCO SANTANDER (MEXICO) FIDEICOMISO F/3199-0"/>
    <x v="129"/>
    <s v="NORMAL"/>
    <s v="MXN"/>
    <n v="154874"/>
    <n v="3.137273"/>
    <n v="485882.01860200003"/>
    <n v="3.07793315856761"/>
    <n v="9190.1986020000004"/>
    <n v="0"/>
    <n v="0"/>
    <n v="0"/>
    <n v="0"/>
    <n v="154874"/>
    <n v="485882.01860200003"/>
    <s v="EPER"/>
    <n v="7414000005"/>
  </r>
  <r>
    <x v="239"/>
    <s v="BANCO SANTANDER (MEXICO) FIDEICOMISO F/3199-0"/>
    <x v="215"/>
    <s v="NORMAL"/>
    <s v="MXN"/>
    <n v="1042"/>
    <n v="9.9999999999999995E-7"/>
    <n v="1.042E-3"/>
    <n v="0.96"/>
    <n v="-1000.318958"/>
    <n v="0"/>
    <n v="0"/>
    <n v="0"/>
    <n v="0"/>
    <n v="1042"/>
    <n v="1.042E-3"/>
    <s v="EPER"/>
    <n v="7414000005"/>
  </r>
  <r>
    <x v="240"/>
    <s v="BANCO SANTANDER (MEXICO) FIDEICOMISO F/3210-0"/>
    <x v="4"/>
    <s v="NORMAL"/>
    <s v="MXN"/>
    <n v="10"/>
    <n v="168.64"/>
    <n v="1686.4"/>
    <n v="182.41300000000001"/>
    <n v="-137.72999999999999"/>
    <n v="0"/>
    <n v="0"/>
    <n v="0"/>
    <n v="0"/>
    <n v="10"/>
    <n v="1686.4"/>
    <s v="EPER"/>
    <n v="7414000005"/>
  </r>
  <r>
    <x v="240"/>
    <s v="BANCO SANTANDER (MEXICO) FIDEICOMISO F/3210-0"/>
    <x v="187"/>
    <s v="NORMAL"/>
    <s v="MXN"/>
    <n v="31"/>
    <n v="11.86"/>
    <n v="367.66"/>
    <n v="12.180645161290322"/>
    <n v="-9.94"/>
    <n v="0"/>
    <n v="0"/>
    <n v="0"/>
    <n v="0"/>
    <n v="31"/>
    <n v="367.66"/>
    <s v="EPER"/>
    <n v="7414000005"/>
  </r>
  <r>
    <x v="240"/>
    <s v="BANCO SANTANDER (MEXICO) FIDEICOMISO F/3210-0"/>
    <x v="7"/>
    <s v="NORMAL"/>
    <s v="MXN"/>
    <n v="27"/>
    <n v="73.37"/>
    <n v="1980.99"/>
    <n v="60.647777777777776"/>
    <n v="343.5"/>
    <n v="0"/>
    <n v="0"/>
    <n v="0"/>
    <n v="0"/>
    <n v="27"/>
    <n v="1980.99"/>
    <s v="EPER"/>
    <n v="7414000005"/>
  </r>
  <r>
    <x v="240"/>
    <s v="BANCO SANTANDER (MEXICO) FIDEICOMISO F/3210-0"/>
    <x v="10"/>
    <s v="NORMAL"/>
    <s v="MXN"/>
    <n v="401"/>
    <n v="15.12"/>
    <n v="6063.12"/>
    <n v="16.028852867830423"/>
    <n v="-364.45"/>
    <n v="0"/>
    <n v="0"/>
    <n v="0"/>
    <n v="0"/>
    <n v="401"/>
    <n v="6063.12"/>
    <s v="EPER"/>
    <n v="7414000005"/>
  </r>
  <r>
    <x v="240"/>
    <s v="BANCO SANTANDER (MEXICO) FIDEICOMISO F/3210-0"/>
    <x v="11"/>
    <s v="NORMAL"/>
    <s v="MXN"/>
    <n v="8"/>
    <n v="525.09"/>
    <n v="4200.72"/>
    <n v="486.16125"/>
    <n v="311.43"/>
    <n v="0"/>
    <n v="0"/>
    <n v="0"/>
    <n v="0"/>
    <n v="8"/>
    <n v="4200.72"/>
    <s v="EPER"/>
    <n v="7414000005"/>
  </r>
  <r>
    <x v="240"/>
    <s v="BANCO SANTANDER (MEXICO) FIDEICOMISO F/3210-0"/>
    <x v="12"/>
    <s v="NORMAL"/>
    <s v="MXN"/>
    <n v="18"/>
    <n v="68.25"/>
    <n v="1228.5"/>
    <n v="73.893333333333331"/>
    <n v="-101.58"/>
    <n v="0"/>
    <n v="0"/>
    <n v="0"/>
    <n v="0"/>
    <n v="18"/>
    <n v="1228.5"/>
    <s v="EPER"/>
    <n v="7414000005"/>
  </r>
  <r>
    <x v="240"/>
    <s v="BANCO SANTANDER (MEXICO) FIDEICOMISO F/3210-0"/>
    <x v="14"/>
    <s v="NORMAL"/>
    <s v="MXN"/>
    <n v="493"/>
    <n v="14.33"/>
    <n v="7064.69"/>
    <n v="11.934908722109533"/>
    <n v="1180.78"/>
    <n v="0"/>
    <n v="0"/>
    <n v="0"/>
    <n v="0"/>
    <n v="493"/>
    <n v="7064.69"/>
    <s v="EPER"/>
    <n v="7414000005"/>
  </r>
  <r>
    <x v="240"/>
    <s v="BANCO SANTANDER (MEXICO) FIDEICOMISO F/3210-0"/>
    <x v="216"/>
    <s v="NORMAL"/>
    <s v="MXN"/>
    <n v="109"/>
    <n v="9.9999999999999995E-7"/>
    <n v="1.0900000000000001E-4"/>
    <n v="0"/>
    <n v="1.0900000000000001E-4"/>
    <n v="0"/>
    <n v="0"/>
    <n v="0"/>
    <n v="0"/>
    <n v="109"/>
    <n v="1.0900000000000001E-4"/>
    <s v="EPER"/>
    <n v="7414000005"/>
  </r>
  <r>
    <x v="240"/>
    <s v="BANCO SANTANDER (MEXICO) FIDEICOMISO F/3210-0"/>
    <x v="20"/>
    <s v="NORMAL"/>
    <s v="MXN"/>
    <n v="37"/>
    <n v="207.81"/>
    <n v="7688.97"/>
    <n v="172.5072972972973"/>
    <n v="1306.2"/>
    <n v="0"/>
    <n v="0"/>
    <n v="0"/>
    <n v="0"/>
    <n v="37"/>
    <n v="7688.97"/>
    <s v="EPER"/>
    <n v="7414000005"/>
  </r>
  <r>
    <x v="240"/>
    <s v="BANCO SANTANDER (MEXICO) FIDEICOMISO F/3210-0"/>
    <x v="21"/>
    <s v="NORMAL"/>
    <s v="MXN"/>
    <n v="4"/>
    <n v="271.94"/>
    <n v="1087.76"/>
    <n v="283.35000000000002"/>
    <n v="-45.64"/>
    <n v="0"/>
    <n v="0"/>
    <n v="0"/>
    <n v="0"/>
    <n v="4"/>
    <n v="1087.76"/>
    <s v="EPER"/>
    <n v="7414000005"/>
  </r>
  <r>
    <x v="240"/>
    <s v="BANCO SANTANDER (MEXICO) FIDEICOMISO F/3210-0"/>
    <x v="22"/>
    <s v="NORMAL"/>
    <s v="MXN"/>
    <n v="13"/>
    <n v="193.15"/>
    <n v="2510.9499999999998"/>
    <n v="163.40769230769232"/>
    <n v="386.65"/>
    <n v="0"/>
    <n v="0"/>
    <n v="0"/>
    <n v="0"/>
    <n v="13"/>
    <n v="2510.9499999999998"/>
    <s v="EPER"/>
    <n v="7414000005"/>
  </r>
  <r>
    <x v="240"/>
    <s v="BANCO SANTANDER (MEXICO) FIDEICOMISO F/3210-0"/>
    <x v="23"/>
    <s v="NORMAL"/>
    <s v="MXN"/>
    <n v="91"/>
    <n v="27.12"/>
    <n v="2467.92"/>
    <n v="21.994175824175823"/>
    <n v="466.45"/>
    <n v="0"/>
    <n v="0"/>
    <n v="0"/>
    <n v="0"/>
    <n v="91"/>
    <n v="2467.92"/>
    <s v="EPER"/>
    <n v="7414000005"/>
  </r>
  <r>
    <x v="240"/>
    <s v="BANCO SANTANDER (MEXICO) FIDEICOMISO F/3210-0"/>
    <x v="24"/>
    <s v="NORMAL"/>
    <s v="MXN"/>
    <n v="58"/>
    <n v="176.44"/>
    <n v="10233.52"/>
    <n v="155.64327586206898"/>
    <n v="1206.21"/>
    <n v="0"/>
    <n v="0"/>
    <n v="0"/>
    <n v="0"/>
    <n v="58"/>
    <n v="10233.52"/>
    <s v="EPER"/>
    <n v="7414000005"/>
  </r>
  <r>
    <x v="240"/>
    <s v="BANCO SANTANDER (MEXICO) FIDEICOMISO F/3210-0"/>
    <x v="25"/>
    <s v="NORMAL"/>
    <s v="MXN"/>
    <n v="74"/>
    <n v="104.12"/>
    <n v="7704.88"/>
    <n v="81.302972972972967"/>
    <n v="1688.46"/>
    <n v="0"/>
    <n v="0"/>
    <n v="0"/>
    <n v="0"/>
    <n v="74"/>
    <n v="7704.88"/>
    <s v="EPER"/>
    <n v="7414000005"/>
  </r>
  <r>
    <x v="240"/>
    <s v="BANCO SANTANDER (MEXICO) FIDEICOMISO F/3210-0"/>
    <x v="40"/>
    <s v="NORMAL"/>
    <s v="MXN"/>
    <n v="6"/>
    <n v="314.42"/>
    <n v="1886.52"/>
    <n v="281.48500000000001"/>
    <n v="197.61"/>
    <n v="0"/>
    <n v="0"/>
    <n v="0"/>
    <n v="0"/>
    <n v="6"/>
    <n v="1886.52"/>
    <s v="EPER"/>
    <n v="7414000005"/>
  </r>
  <r>
    <x v="240"/>
    <s v="BANCO SANTANDER (MEXICO) FIDEICOMISO F/3210-0"/>
    <x v="41"/>
    <s v="NORMAL"/>
    <s v="MXN"/>
    <n v="41"/>
    <n v="43.85"/>
    <n v="1797.85"/>
    <n v="41.809024390243906"/>
    <n v="83.68"/>
    <n v="0"/>
    <n v="0"/>
    <n v="0"/>
    <n v="0"/>
    <n v="41"/>
    <n v="1797.85"/>
    <s v="EPER"/>
    <n v="7414000005"/>
  </r>
  <r>
    <x v="240"/>
    <s v="BANCO SANTANDER (MEXICO) FIDEICOMISO F/3210-0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240"/>
    <s v="BANCO SANTANDER (MEXICO) FIDEICOMISO F/3210-0"/>
    <x v="44"/>
    <s v="NORMAL"/>
    <s v="MXN"/>
    <n v="45"/>
    <n v="36.28"/>
    <n v="1632.6"/>
    <n v="39.894444444444446"/>
    <n v="-162.65"/>
    <n v="0"/>
    <n v="0"/>
    <n v="0"/>
    <n v="0"/>
    <n v="45"/>
    <n v="1632.6"/>
    <s v="EPER"/>
    <n v="7414000005"/>
  </r>
  <r>
    <x v="240"/>
    <s v="BANCO SANTANDER (MEXICO) FIDEICOMISO F/3210-0"/>
    <x v="45"/>
    <s v="NORMAL"/>
    <s v="MXN"/>
    <n v="6"/>
    <n v="136.35"/>
    <n v="818.1"/>
    <n v="119.82666666666667"/>
    <n v="99.14"/>
    <n v="0"/>
    <n v="0"/>
    <n v="0"/>
    <n v="0"/>
    <n v="6"/>
    <n v="818.1"/>
    <s v="EPER"/>
    <n v="7414000005"/>
  </r>
  <r>
    <x v="240"/>
    <s v="BANCO SANTANDER (MEXICO) FIDEICOMISO F/3210-0"/>
    <x v="48"/>
    <s v="NORMAL"/>
    <s v="MXN"/>
    <n v="14"/>
    <n v="156"/>
    <n v="2184"/>
    <n v="157.48857142857142"/>
    <n v="-20.84"/>
    <n v="0"/>
    <n v="0"/>
    <n v="0"/>
    <n v="0"/>
    <n v="14"/>
    <n v="2184"/>
    <s v="EPER"/>
    <n v="7414000005"/>
  </r>
  <r>
    <x v="240"/>
    <s v="BANCO SANTANDER (MEXICO) FIDEICOMISO F/3210-0"/>
    <x v="217"/>
    <s v="NORMAL"/>
    <s v="MXN"/>
    <n v="82879"/>
    <n v="3.5222039999999999"/>
    <n v="291916.74531600002"/>
    <n v="3.4572158206542065"/>
    <n v="5386.1553160000003"/>
    <n v="0"/>
    <n v="0"/>
    <n v="0"/>
    <n v="0"/>
    <n v="82879"/>
    <n v="291916.74531600002"/>
    <s v="EPER"/>
    <n v="7414000005"/>
  </r>
  <r>
    <x v="240"/>
    <s v="BANCO SANTANDER (MEXICO) FIDEICOMISO F/3210-0"/>
    <x v="50"/>
    <s v="NORMAL"/>
    <s v="MXN"/>
    <n v="58"/>
    <n v="31.41"/>
    <n v="1821.78"/>
    <n v="32.163103448275862"/>
    <n v="-43.68"/>
    <n v="0"/>
    <n v="0"/>
    <n v="0"/>
    <n v="0"/>
    <n v="58"/>
    <n v="1821.78"/>
    <s v="EPER"/>
    <n v="7414000005"/>
  </r>
  <r>
    <x v="240"/>
    <s v="BANCO SANTANDER (MEXICO) FIDEICOMISO F/3210-0"/>
    <x v="60"/>
    <s v="NORMAL"/>
    <s v="MXN"/>
    <n v="46"/>
    <n v="58.67"/>
    <n v="2698.82"/>
    <n v="44.979130434782611"/>
    <n v="629.78"/>
    <n v="0"/>
    <n v="0"/>
    <n v="0"/>
    <n v="0"/>
    <n v="46"/>
    <n v="2698.82"/>
    <s v="EPER"/>
    <n v="7414000005"/>
  </r>
  <r>
    <x v="240"/>
    <s v="BANCO SANTANDER (MEXICO) FIDEICOMISO F/3210-0"/>
    <x v="63"/>
    <s v="NORMAL"/>
    <s v="MXN"/>
    <n v="105"/>
    <n v="65.260000000000005"/>
    <n v="6852.3"/>
    <n v="71.204761904761909"/>
    <n v="-624.20000000000005"/>
    <n v="0"/>
    <n v="0"/>
    <n v="0"/>
    <n v="0"/>
    <n v="105"/>
    <n v="6852.3"/>
    <s v="EPER"/>
    <n v="7414000005"/>
  </r>
  <r>
    <x v="241"/>
    <s v="BANCO SANTANDER (MEXICO) FIDEICOMISO F/2010190-1"/>
    <x v="218"/>
    <s v="NORMAL"/>
    <s v="MXN"/>
    <n v="4300"/>
    <n v="9.9999999999999995E-7"/>
    <n v="4.3E-3"/>
    <n v="100.07"/>
    <n v="-430300.99570000003"/>
    <n v="0"/>
    <n v="0"/>
    <n v="0"/>
    <n v="0"/>
    <n v="4300"/>
    <n v="4.3E-3"/>
    <s v="EPER"/>
    <n v="7414000005"/>
  </r>
  <r>
    <x v="241"/>
    <s v="BANCO SANTANDER (MEXICO) FIDEICOMISO F/2010190-1"/>
    <x v="0"/>
    <s v="NORMAL"/>
    <s v="MXN"/>
    <n v="103815"/>
    <n v="3.3967719999999999"/>
    <n v="352635.88517999998"/>
    <n v="3.3719921013341039"/>
    <n v="2572.5251800000001"/>
    <n v="0"/>
    <n v="0"/>
    <n v="0"/>
    <n v="0"/>
    <n v="103815"/>
    <n v="352635.88517999998"/>
    <s v="EPER"/>
    <n v="7414000005"/>
  </r>
  <r>
    <x v="241"/>
    <s v="BANCO SANTANDER (MEXICO) FIDEICOMISO F/2010190-1"/>
    <x v="2"/>
    <s v="NORMAL"/>
    <s v="MXN"/>
    <n v="1405059"/>
    <n v="3.6096119999999998"/>
    <n v="5071717.8271080004"/>
    <n v="2.9150258957097175"/>
    <n v="975934.45710799994"/>
    <n v="0"/>
    <n v="0"/>
    <n v="0"/>
    <n v="0"/>
    <n v="1405059"/>
    <n v="5071717.8271080004"/>
    <s v="EPER"/>
    <n v="7414000005"/>
  </r>
  <r>
    <x v="241"/>
    <s v="BANCO SANTANDER (MEXICO) FIDEICOMISO F/2010190-1"/>
    <x v="64"/>
    <s v="NORMAL"/>
    <s v="MXN"/>
    <n v="595924"/>
    <n v="2.7668819999999998"/>
    <n v="1648851.388968"/>
    <n v="2.4074613709130697"/>
    <n v="214187.378968"/>
    <n v="0"/>
    <n v="0"/>
    <n v="0"/>
    <n v="0"/>
    <n v="595924"/>
    <n v="1648851.388968"/>
    <s v="EPER"/>
    <n v="7414000005"/>
  </r>
  <r>
    <x v="242"/>
    <s v="BANCO SANTANDER (MEXICO) FIDEICOMISO F/2010331-1."/>
    <x v="26"/>
    <s v="NORMAL"/>
    <s v="MXN"/>
    <n v="5910"/>
    <n v="98.730349000000004"/>
    <n v="583496.36259000003"/>
    <n v="104.81191507"/>
    <n v="-35942.055473699998"/>
    <n v="0"/>
    <n v="0"/>
    <n v="0"/>
    <n v="0"/>
    <n v="5910"/>
    <n v="583496.36259000003"/>
    <s v="EPER"/>
    <n v="7414000005"/>
  </r>
  <r>
    <x v="242"/>
    <s v="BANCO SANTANDER (MEXICO) FIDEICOMISO F/2010331-1."/>
    <x v="67"/>
    <s v="NORMAL"/>
    <s v="MXN"/>
    <n v="1120"/>
    <n v="99.247497999999993"/>
    <n v="111157.19776"/>
    <n v="315.84649010082143"/>
    <n v="464905.26667292003"/>
    <n v="0"/>
    <n v="0"/>
    <n v="0"/>
    <n v="0"/>
    <n v="1120"/>
    <n v="111157.19776"/>
    <s v="EPER"/>
    <n v="7414000005"/>
  </r>
  <r>
    <x v="242"/>
    <s v="BANCO SANTANDER (MEXICO) FIDEICOMISO F/2010331-1."/>
    <x v="27"/>
    <s v="NORMAL"/>
    <s v="MXN"/>
    <n v="10000"/>
    <n v="94.973146999999997"/>
    <n v="949731.47"/>
    <n v="89.268734649999999"/>
    <n v="57044.123500000002"/>
    <n v="0"/>
    <n v="0"/>
    <n v="0"/>
    <n v="0"/>
    <n v="10000"/>
    <n v="949731.47"/>
    <s v="EPER"/>
    <n v="7414000005"/>
  </r>
  <r>
    <x v="242"/>
    <s v="BANCO SANTANDER (MEXICO) FIDEICOMISO F/2010331-1."/>
    <x v="28"/>
    <s v="NORMAL"/>
    <s v="MXN"/>
    <n v="25555"/>
    <n v="91.911821000000003"/>
    <n v="2348806.5856550001"/>
    <n v="93.2088459"/>
    <n v="-33145.4713195"/>
    <n v="0"/>
    <n v="0"/>
    <n v="0"/>
    <n v="0"/>
    <n v="25555"/>
    <n v="2348806.5856550001"/>
    <s v="EPER"/>
    <n v="7414000005"/>
  </r>
  <r>
    <x v="242"/>
    <s v="BANCO SANTANDER (MEXICO) FIDEICOMISO F/2010331-1."/>
    <x v="30"/>
    <s v="NORMAL"/>
    <s v="MXN"/>
    <n v="2010"/>
    <n v="88.698122999999995"/>
    <n v="178283.22722999999"/>
    <n v="90.900324080000004"/>
    <n v="-4426.4241708"/>
    <n v="0"/>
    <n v="0"/>
    <n v="0"/>
    <n v="0"/>
    <n v="2010"/>
    <n v="178283.22722999999"/>
    <s v="EPER"/>
    <n v="7414000005"/>
  </r>
  <r>
    <x v="242"/>
    <s v="BANCO SANTANDER (MEXICO) FIDEICOMISO F/2010331-1."/>
    <x v="31"/>
    <s v="NORMAL"/>
    <s v="MXN"/>
    <n v="20130"/>
    <n v="93.314192000000006"/>
    <n v="1878414.68496"/>
    <n v="94.420573836751117"/>
    <n v="-22271.466373800002"/>
    <n v="0"/>
    <n v="0"/>
    <n v="0"/>
    <n v="0"/>
    <n v="20130"/>
    <n v="1878414.68496"/>
    <s v="EPER"/>
    <n v="7414000005"/>
  </r>
  <r>
    <x v="242"/>
    <s v="BANCO SANTANDER (MEXICO) FIDEICOMISO F/2010331-1."/>
    <x v="33"/>
    <s v="NORMAL"/>
    <s v="MXN"/>
    <n v="980"/>
    <n v="94.870157000000006"/>
    <n v="92972.753859999997"/>
    <n v="110.15461827"/>
    <n v="-14978.7720446"/>
    <n v="0"/>
    <n v="0"/>
    <n v="0"/>
    <n v="0"/>
    <n v="980"/>
    <n v="92972.753859999997"/>
    <s v="EPER"/>
    <n v="7414000005"/>
  </r>
  <r>
    <x v="242"/>
    <s v="BANCO SANTANDER (MEXICO) FIDEICOMISO F/2010331-1."/>
    <x v="34"/>
    <s v="NORMAL"/>
    <s v="MXN"/>
    <n v="15123"/>
    <n v="89.489464999999996"/>
    <n v="1353349.1791950001"/>
    <n v="83.461737027988491"/>
    <n v="91157.330120729996"/>
    <n v="0"/>
    <n v="0"/>
    <n v="0"/>
    <n v="0"/>
    <n v="15123"/>
    <n v="1353349.1791950001"/>
    <s v="EPER"/>
    <n v="7414000005"/>
  </r>
  <r>
    <x v="242"/>
    <s v="BANCO SANTANDER (MEXICO) FIDEICOMISO F/2010331-1."/>
    <x v="36"/>
    <s v="NORMAL"/>
    <s v="MXN"/>
    <n v="2735"/>
    <n v="86.469353999999996"/>
    <n v="236493.68319000001"/>
    <n v="113.4670266"/>
    <n v="-73838.634560999999"/>
    <n v="0"/>
    <n v="0"/>
    <n v="0"/>
    <n v="0"/>
    <n v="2735"/>
    <n v="236493.68319000001"/>
    <s v="EPER"/>
    <n v="7414000005"/>
  </r>
  <r>
    <x v="242"/>
    <s v="BANCO SANTANDER (MEXICO) FIDEICOMISO F/2010331-1."/>
    <x v="81"/>
    <s v="NORMAL"/>
    <s v="MXN"/>
    <n v="950"/>
    <n v="101.45096599999999"/>
    <n v="96378.417700000005"/>
    <n v="126.46131133"/>
    <n v="-23759.828063500001"/>
    <n v="0"/>
    <n v="0"/>
    <n v="0"/>
    <n v="0"/>
    <n v="950"/>
    <n v="96378.417700000005"/>
    <s v="EPER"/>
    <n v="7414000005"/>
  </r>
  <r>
    <x v="242"/>
    <s v="BANCO SANTANDER (MEXICO) FIDEICOMISO F/2010331-1."/>
    <x v="68"/>
    <s v="NORMAL"/>
    <s v="MXN"/>
    <n v="605"/>
    <n v="89.643172000000007"/>
    <n v="54234.119059999997"/>
    <n v="103.43579450999999"/>
    <n v="-8344.5366185500006"/>
    <n v="0"/>
    <n v="0"/>
    <n v="0"/>
    <n v="0"/>
    <n v="605"/>
    <n v="54234.119059999997"/>
    <s v="EPER"/>
    <n v="7414000005"/>
  </r>
  <r>
    <x v="242"/>
    <s v="BANCO SANTANDER (MEXICO) FIDEICOMISO F/2010331-1."/>
    <x v="37"/>
    <s v="NORMAL"/>
    <s v="MXN"/>
    <n v="1843"/>
    <n v="81.738860000000003"/>
    <n v="150644.71898000001"/>
    <n v="98.027098190000004"/>
    <n v="-30019.222984169999"/>
    <n v="0"/>
    <n v="0"/>
    <n v="0"/>
    <n v="0"/>
    <n v="1843"/>
    <n v="150644.71898000001"/>
    <s v="EPER"/>
    <n v="7414000005"/>
  </r>
  <r>
    <x v="242"/>
    <s v="BANCO SANTANDER (MEXICO) FIDEICOMISO F/2010331-1."/>
    <x v="38"/>
    <s v="NORMAL"/>
    <s v="MXN"/>
    <n v="85"/>
    <n v="83.200761"/>
    <n v="7072.0646850000003"/>
    <n v="102.56996688"/>
    <n v="-1646.3824998"/>
    <n v="0"/>
    <n v="0"/>
    <n v="0"/>
    <n v="0"/>
    <n v="85"/>
    <n v="7072.0646850000003"/>
    <s v="EPER"/>
    <n v="7414000005"/>
  </r>
  <r>
    <x v="242"/>
    <s v="BANCO SANTANDER (MEXICO) FIDEICOMISO F/2010331-1."/>
    <x v="88"/>
    <s v="NORMAL"/>
    <s v="MXN"/>
    <n v="10000"/>
    <n v="98.007834000000003"/>
    <n v="980078.34"/>
    <n v="86.248249549999997"/>
    <n v="117595.84450000001"/>
    <n v="0"/>
    <n v="0"/>
    <n v="0"/>
    <n v="0"/>
    <n v="10000"/>
    <n v="980078.34"/>
    <s v="EPER"/>
    <n v="7414000005"/>
  </r>
  <r>
    <x v="242"/>
    <s v="BANCO SANTANDER (MEXICO) FIDEICOMISO F/2010331-1."/>
    <x v="0"/>
    <s v="NORMAL"/>
    <s v="MXN"/>
    <n v="15736059"/>
    <n v="3.3967719999999999"/>
    <n v="53451804.601548001"/>
    <n v="2.8005271173678237"/>
    <n v="9382544.6515480001"/>
    <n v="0"/>
    <n v="0"/>
    <n v="0"/>
    <n v="0"/>
    <n v="15736059"/>
    <n v="53451804.601548001"/>
    <s v="EPER"/>
    <n v="7414000005"/>
  </r>
  <r>
    <x v="242"/>
    <s v="BANCO SANTANDER (MEXICO) FIDEICOMISO F/2010331-1."/>
    <x v="157"/>
    <s v="NORMAL"/>
    <s v="MXN"/>
    <n v="4763003"/>
    <n v="2.7842250000000002"/>
    <n v="13261272.027674999"/>
    <n v="1.4806143519120185"/>
    <n v="6209101.4276750004"/>
    <n v="0"/>
    <n v="0"/>
    <n v="0"/>
    <n v="0"/>
    <n v="4763003"/>
    <n v="13261272.027674999"/>
    <s v="EPER"/>
    <n v="7414000005"/>
  </r>
  <r>
    <x v="242"/>
    <s v="BANCO SANTANDER (MEXICO) FIDEICOMISO F/2010331-1."/>
    <x v="141"/>
    <s v="NORMAL"/>
    <s v="MXN"/>
    <n v="564"/>
    <n v="256.05011500000001"/>
    <n v="144412.26486"/>
    <n v="487.32003911999999"/>
    <n v="-130436.23720367999"/>
    <n v="0"/>
    <n v="0"/>
    <n v="0"/>
    <n v="0"/>
    <n v="564"/>
    <n v="144412.26486"/>
    <s v="EPER"/>
    <n v="7414000005"/>
  </r>
  <r>
    <x v="242"/>
    <s v="BANCO SANTANDER (MEXICO) FIDEICOMISO F/2010331-1."/>
    <x v="51"/>
    <s v="NORMAL"/>
    <s v="MXN"/>
    <n v="1840"/>
    <n v="775.69178699999998"/>
    <n v="1427272.8880799999"/>
    <n v="619.14773060902178"/>
    <n v="288041.06375939999"/>
    <n v="0"/>
    <n v="0"/>
    <n v="0"/>
    <n v="0"/>
    <n v="1840"/>
    <n v="1427272.8880799999"/>
    <s v="EPER"/>
    <n v="7414000005"/>
  </r>
  <r>
    <x v="242"/>
    <s v="BANCO SANTANDER (MEXICO) FIDEICOMISO F/2010331-1."/>
    <x v="52"/>
    <s v="NORMAL"/>
    <s v="MXN"/>
    <n v="1540"/>
    <n v="747.17843200000004"/>
    <n v="1150654.78528"/>
    <n v="712.00273322876626"/>
    <n v="54170.576107699999"/>
    <n v="0"/>
    <n v="0"/>
    <n v="0"/>
    <n v="0"/>
    <n v="1540"/>
    <n v="1150654.78528"/>
    <s v="EPER"/>
    <n v="7414000005"/>
  </r>
  <r>
    <x v="242"/>
    <s v="BANCO SANTANDER (MEXICO) FIDEICOMISO F/2010331-1."/>
    <x v="53"/>
    <s v="NORMAL"/>
    <s v="MXN"/>
    <n v="2320"/>
    <n v="765.92388300000005"/>
    <n v="1776943.4085599999"/>
    <n v="608.64914745525857"/>
    <n v="364877.38646379998"/>
    <n v="0"/>
    <n v="0"/>
    <n v="0"/>
    <n v="0"/>
    <n v="2320"/>
    <n v="1776943.4085599999"/>
    <s v="EPER"/>
    <n v="7414000005"/>
  </r>
  <r>
    <x v="242"/>
    <s v="BANCO SANTANDER (MEXICO) FIDEICOMISO F/2010331-1."/>
    <x v="54"/>
    <s v="NORMAL"/>
    <s v="MXN"/>
    <n v="570"/>
    <n v="684.88915799999995"/>
    <n v="390386.82006"/>
    <n v="666.02637400000003"/>
    <n v="10751.78688"/>
    <n v="0"/>
    <n v="0"/>
    <n v="0"/>
    <n v="0"/>
    <n v="570"/>
    <n v="390386.82006"/>
    <s v="EPER"/>
    <n v="7414000005"/>
  </r>
  <r>
    <x v="242"/>
    <s v="BANCO SANTANDER (MEXICO) FIDEICOMISO F/2010331-1."/>
    <x v="55"/>
    <s v="NORMAL"/>
    <s v="MXN"/>
    <n v="408"/>
    <n v="772.926965"/>
    <n v="315354.20172000001"/>
    <n v="586.09956034000004"/>
    <n v="76225.581101279997"/>
    <n v="0"/>
    <n v="0"/>
    <n v="0"/>
    <n v="0"/>
    <n v="408"/>
    <n v="315354.20172000001"/>
    <s v="EPER"/>
    <n v="7414000005"/>
  </r>
  <r>
    <x v="242"/>
    <s v="BANCO SANTANDER (MEXICO) FIDEICOMISO F/2010331-1.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42"/>
    <s v="BANCO SANTANDER (MEXICO) FIDEICOMISO F/2010331-1."/>
    <x v="57"/>
    <s v="NORMAL"/>
    <s v="MXN"/>
    <n v="2867"/>
    <n v="635.96311900000001"/>
    <n v="1823306.262173"/>
    <n v="647.93802047999998"/>
    <n v="-34332.042543160002"/>
    <n v="0"/>
    <n v="0"/>
    <n v="0"/>
    <n v="0"/>
    <n v="2867"/>
    <n v="1823306.262173"/>
    <s v="EPER"/>
    <n v="7414000005"/>
  </r>
  <r>
    <x v="242"/>
    <s v="BANCO SANTANDER (MEXICO) FIDEICOMISO F/2010331-1."/>
    <x v="58"/>
    <s v="NORMAL"/>
    <s v="MXN"/>
    <n v="872"/>
    <n v="709.36974099999998"/>
    <n v="618570.41415199998"/>
    <n v="653.27192515000002"/>
    <n v="48917.295421199997"/>
    <n v="0"/>
    <n v="0"/>
    <n v="0"/>
    <n v="0"/>
    <n v="872"/>
    <n v="618570.41415199998"/>
    <s v="EPER"/>
    <n v="7414000005"/>
  </r>
  <r>
    <x v="242"/>
    <s v="BANCO SANTANDER (MEXICO) FIDEICOMISO F/2010331-1."/>
    <x v="59"/>
    <s v="NORMAL"/>
    <s v="MXN"/>
    <n v="3237"/>
    <n v="694.41118700000004"/>
    <n v="2247809.012319"/>
    <n v="726.98370775236947"/>
    <n v="-105437.24967542"/>
    <n v="0"/>
    <n v="0"/>
    <n v="0"/>
    <n v="0"/>
    <n v="3237"/>
    <n v="2247809.012319"/>
    <s v="EPER"/>
    <n v="7414000005"/>
  </r>
  <r>
    <x v="243"/>
    <s v="BANCO SANTANDER (MEXICO) FIDEICOMISO F/2112253-1"/>
    <x v="219"/>
    <s v="NORMAL"/>
    <s v="MXN"/>
    <n v="0"/>
    <n v="0"/>
    <n v="0"/>
    <n v="0"/>
    <n v="0"/>
    <n v="0"/>
    <n v="0"/>
    <n v="0"/>
    <n v="0"/>
    <n v="0"/>
    <n v="0"/>
    <s v="EPER"/>
    <n v="7414000005"/>
  </r>
  <r>
    <x v="243"/>
    <s v="BANCO SANTANDER (MEXICO) FIDEICOMISO F/2112253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43"/>
    <s v="BANCO SANTANDER (MEXICO) FIDEICOMISO F/2112253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43"/>
    <s v="BANCO SANTANDER (MEXICO) FIDEICOMISO F/2112253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44"/>
    <s v="BANCO SANTANDER (MEXICO) FIDEICOMISO F/2112332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44"/>
    <s v="BANCO SANTANDER (MEXICO) FIDEICOMISO F/2112332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44"/>
    <s v="BANCO SANTANDER (MEXICO) FIDEICOMISO F/2112332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45"/>
    <s v="BANCO SANTANDER (MEXICO) FIDEICOMISO F/2112338-1"/>
    <x v="146"/>
    <s v="NORMAL"/>
    <s v="MXN"/>
    <n v="0"/>
    <n v="0"/>
    <n v="0"/>
    <n v="0"/>
    <n v="0"/>
    <n v="0"/>
    <n v="0"/>
    <n v="0"/>
    <n v="0"/>
    <n v="0"/>
    <n v="0"/>
    <s v="EPER"/>
    <n v="7414000005"/>
  </r>
  <r>
    <x v="245"/>
    <s v="BANCO SANTANDER (MEXICO) FIDEICOMISO F/2112338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45"/>
    <s v="BANCO SANTANDER (MEXICO) FIDEICOMISO F/2112338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45"/>
    <s v="BANCO SANTANDER (MEXICO) FIDEICOMISO F/2112338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46"/>
    <s v="BANCO SANTANDER (MEXICO) FIDEICOMISO F/100574-0"/>
    <x v="5"/>
    <s v="NORMAL"/>
    <s v="MXN"/>
    <n v="65"/>
    <n v="1786.5"/>
    <n v="116122.5"/>
    <n v="1492.6649230769231"/>
    <n v="19099.28"/>
    <n v="0"/>
    <n v="0"/>
    <n v="0"/>
    <n v="0"/>
    <n v="65"/>
    <n v="116122.5"/>
    <s v="EPER"/>
    <n v="7414000005"/>
  </r>
  <r>
    <x v="246"/>
    <s v="BANCO SANTANDER (MEXICO) FIDEICOMISO F/100574-0"/>
    <x v="85"/>
    <s v="NORMAL"/>
    <s v="MXN"/>
    <n v="10"/>
    <n v="97.654420999999999"/>
    <n v="976.54421000000002"/>
    <n v="98.224185000000006"/>
    <n v="-5.6976399999999998"/>
    <n v="0"/>
    <n v="0"/>
    <n v="0"/>
    <n v="0"/>
    <n v="10"/>
    <n v="976.54421000000002"/>
    <s v="EPER"/>
    <n v="7414000005"/>
  </r>
  <r>
    <x v="246"/>
    <s v="BANCO SANTANDER (MEXICO) FIDEICOMISO F/100574-0"/>
    <x v="86"/>
    <s v="NORMAL"/>
    <s v="MXN"/>
    <n v="1149"/>
    <n v="9.4935880000000008"/>
    <n v="10908.132611999999"/>
    <n v="8.4405498100000003"/>
    <n v="1209.94088031"/>
    <n v="0"/>
    <n v="0"/>
    <n v="0"/>
    <n v="0"/>
    <n v="1149"/>
    <n v="10908.132611999999"/>
    <s v="EPER"/>
    <n v="7414000005"/>
  </r>
  <r>
    <x v="246"/>
    <s v="BANCO SANTANDER (MEXICO) FIDEICOMISO F/100574-0"/>
    <x v="72"/>
    <s v="NORMAL"/>
    <s v="MXN"/>
    <n v="1600"/>
    <n v="9.3381629999999998"/>
    <n v="14941.060799999999"/>
    <n v="8.3307969100000001"/>
    <n v="1611.785744"/>
    <n v="0"/>
    <n v="0"/>
    <n v="0"/>
    <n v="0"/>
    <n v="1600"/>
    <n v="14941.060799999999"/>
    <s v="EPER"/>
    <n v="7414000005"/>
  </r>
  <r>
    <x v="246"/>
    <s v="BANCO SANTANDER (MEXICO) FIDEICOMISO F/100574-0"/>
    <x v="26"/>
    <s v="NORMAL"/>
    <s v="MXN"/>
    <n v="13"/>
    <n v="98.730349000000004"/>
    <n v="1283.494537"/>
    <n v="100.3572301"/>
    <n v="-21.149454299999999"/>
    <n v="0"/>
    <n v="0"/>
    <n v="0"/>
    <n v="0"/>
    <n v="13"/>
    <n v="1283.494537"/>
    <s v="EPER"/>
    <n v="7414000005"/>
  </r>
  <r>
    <x v="246"/>
    <s v="BANCO SANTANDER (MEXICO) FIDEICOMISO F/100574-0"/>
    <x v="67"/>
    <s v="NORMAL"/>
    <s v="MXN"/>
    <n v="70"/>
    <n v="99.247497999999993"/>
    <n v="6947.3248599999997"/>
    <n v="111.35703942857143"/>
    <n v="-847.66790000000003"/>
    <n v="0"/>
    <n v="0"/>
    <n v="0"/>
    <n v="0"/>
    <n v="70"/>
    <n v="6947.3248599999997"/>
    <s v="EPER"/>
    <n v="7414000005"/>
  </r>
  <r>
    <x v="246"/>
    <s v="BANCO SANTANDER (MEXICO) FIDEICOMISO F/100574-0"/>
    <x v="27"/>
    <s v="NORMAL"/>
    <s v="MXN"/>
    <n v="20"/>
    <n v="94.973146999999997"/>
    <n v="1899.4629399999999"/>
    <n v="89.754779659999997"/>
    <n v="104.36734680000001"/>
    <n v="0"/>
    <n v="0"/>
    <n v="0"/>
    <n v="0"/>
    <n v="20"/>
    <n v="1899.4629399999999"/>
    <s v="EPER"/>
    <n v="7414000005"/>
  </r>
  <r>
    <x v="246"/>
    <s v="BANCO SANTANDER (MEXICO) FIDEICOMISO F/100574-0"/>
    <x v="28"/>
    <s v="NORMAL"/>
    <s v="MXN"/>
    <n v="88"/>
    <n v="91.911821000000003"/>
    <n v="8088.2402480000001"/>
    <n v="93.2088459"/>
    <n v="-114.13819119999999"/>
    <n v="0"/>
    <n v="0"/>
    <n v="0"/>
    <n v="0"/>
    <n v="88"/>
    <n v="8088.2402480000001"/>
    <s v="EPER"/>
    <n v="7414000005"/>
  </r>
  <r>
    <x v="246"/>
    <s v="BANCO SANTANDER (MEXICO) FIDEICOMISO F/100574-0"/>
    <x v="29"/>
    <s v="NORMAL"/>
    <s v="MXN"/>
    <n v="50"/>
    <n v="92.954503000000003"/>
    <n v="4647.7251500000002"/>
    <n v="93.270420958000003"/>
    <n v="-15.7958979"/>
    <n v="0"/>
    <n v="0"/>
    <n v="0"/>
    <n v="0"/>
    <n v="50"/>
    <n v="4647.7251500000002"/>
    <s v="EPER"/>
    <n v="7414000005"/>
  </r>
  <r>
    <x v="246"/>
    <s v="BANCO SANTANDER (MEXICO) FIDEICOMISO F/100574-0"/>
    <x v="30"/>
    <s v="NORMAL"/>
    <s v="MXN"/>
    <n v="49"/>
    <n v="88.698122999999995"/>
    <n v="4346.2080269999997"/>
    <n v="85.58755992591837"/>
    <n v="152.41759063000001"/>
    <n v="0"/>
    <n v="0"/>
    <n v="0"/>
    <n v="0"/>
    <n v="49"/>
    <n v="4346.2080269999997"/>
    <s v="EPER"/>
    <n v="7414000005"/>
  </r>
  <r>
    <x v="246"/>
    <s v="BANCO SANTANDER (MEXICO) FIDEICOMISO F/100574-0"/>
    <x v="31"/>
    <s v="NORMAL"/>
    <s v="MXN"/>
    <n v="141"/>
    <n v="93.314192000000006"/>
    <n v="13157.301072"/>
    <n v="94.238964733120568"/>
    <n v="-130.39295537000001"/>
    <n v="0"/>
    <n v="0"/>
    <n v="0"/>
    <n v="0"/>
    <n v="141"/>
    <n v="13157.301072"/>
    <s v="EPER"/>
    <n v="7414000005"/>
  </r>
  <r>
    <x v="246"/>
    <s v="BANCO SANTANDER (MEXICO) FIDEICOMISO F/100574-0"/>
    <x v="32"/>
    <s v="NORMAL"/>
    <s v="MXN"/>
    <n v="39"/>
    <n v="94.864168000000006"/>
    <n v="3699.7025520000002"/>
    <n v="96.596719710000002"/>
    <n v="-67.56951669"/>
    <n v="0"/>
    <n v="0"/>
    <n v="0"/>
    <n v="0"/>
    <n v="39"/>
    <n v="3699.7025520000002"/>
    <s v="EPER"/>
    <n v="7414000005"/>
  </r>
  <r>
    <x v="246"/>
    <s v="BANCO SANTANDER (MEXICO) FIDEICOMISO F/100574-0"/>
    <x v="33"/>
    <s v="NORMAL"/>
    <s v="MXN"/>
    <n v="313"/>
    <n v="94.870157000000006"/>
    <n v="29694.359141000001"/>
    <n v="97.013094704568687"/>
    <n v="-670.73950152999998"/>
    <n v="0"/>
    <n v="0"/>
    <n v="0"/>
    <n v="0"/>
    <n v="313"/>
    <n v="29694.359141000001"/>
    <s v="EPER"/>
    <n v="7414000005"/>
  </r>
  <r>
    <x v="246"/>
    <s v="BANCO SANTANDER (MEXICO) FIDEICOMISO F/100574-0"/>
    <x v="34"/>
    <s v="NORMAL"/>
    <s v="MXN"/>
    <n v="154"/>
    <n v="89.489464999999996"/>
    <n v="13781.37761"/>
    <n v="89.354387602207794"/>
    <n v="20.801919259999998"/>
    <n v="0"/>
    <n v="0"/>
    <n v="0"/>
    <n v="0"/>
    <n v="154"/>
    <n v="13781.37761"/>
    <s v="EPER"/>
    <n v="7414000005"/>
  </r>
  <r>
    <x v="246"/>
    <s v="BANCO SANTANDER (MEXICO) FIDEICOMISO F/100574-0"/>
    <x v="35"/>
    <s v="NORMAL"/>
    <s v="MXN"/>
    <n v="270"/>
    <n v="86.197128000000006"/>
    <n v="23273.224559999999"/>
    <n v="89.686593819999999"/>
    <n v="-942.15577140000005"/>
    <n v="0"/>
    <n v="0"/>
    <n v="0"/>
    <n v="0"/>
    <n v="270"/>
    <n v="23273.224559999999"/>
    <s v="EPER"/>
    <n v="7414000005"/>
  </r>
  <r>
    <x v="246"/>
    <s v="BANCO SANTANDER (MEXICO) FIDEICOMISO F/100574-0"/>
    <x v="36"/>
    <s v="NORMAL"/>
    <s v="MXN"/>
    <n v="133"/>
    <n v="86.469353999999996"/>
    <n v="11500.424082"/>
    <n v="91.365268857894733"/>
    <n v="-651.15667610000003"/>
    <n v="0"/>
    <n v="0"/>
    <n v="0"/>
    <n v="0"/>
    <n v="133"/>
    <n v="11500.424082"/>
    <s v="EPER"/>
    <n v="7414000005"/>
  </r>
  <r>
    <x v="246"/>
    <s v="BANCO SANTANDER (MEXICO) FIDEICOMISO F/100574-0"/>
    <x v="81"/>
    <s v="NORMAL"/>
    <s v="MXN"/>
    <n v="3"/>
    <n v="101.45096599999999"/>
    <n v="304.35289799999998"/>
    <n v="114.11447106"/>
    <n v="-37.990515180000003"/>
    <n v="0"/>
    <n v="0"/>
    <n v="0"/>
    <n v="0"/>
    <n v="3"/>
    <n v="304.35289799999998"/>
    <s v="EPER"/>
    <n v="7414000005"/>
  </r>
  <r>
    <x v="246"/>
    <s v="BANCO SANTANDER (MEXICO) FIDEICOMISO F/100574-0"/>
    <x v="68"/>
    <s v="NORMAL"/>
    <s v="MXN"/>
    <n v="5"/>
    <n v="89.643172000000007"/>
    <n v="448.21586000000002"/>
    <n v="108.47711812999999"/>
    <n v="-94.169730650000005"/>
    <n v="0"/>
    <n v="0"/>
    <n v="0"/>
    <n v="0"/>
    <n v="5"/>
    <n v="448.21586000000002"/>
    <s v="EPER"/>
    <n v="7414000005"/>
  </r>
  <r>
    <x v="246"/>
    <s v="BANCO SANTANDER (MEXICO) FIDEICOMISO F/100574-0"/>
    <x v="37"/>
    <s v="NORMAL"/>
    <s v="MXN"/>
    <n v="202"/>
    <n v="81.738860000000003"/>
    <n v="16511.24972"/>
    <n v="86.643181343564351"/>
    <n v="-990.67291139999998"/>
    <n v="0"/>
    <n v="0"/>
    <n v="0"/>
    <n v="0"/>
    <n v="202"/>
    <n v="16511.24972"/>
    <s v="EPER"/>
    <n v="7414000005"/>
  </r>
  <r>
    <x v="246"/>
    <s v="BANCO SANTANDER (MEXICO) FIDEICOMISO F/100574-0"/>
    <x v="38"/>
    <s v="NORMAL"/>
    <s v="MXN"/>
    <n v="53"/>
    <n v="83.200761"/>
    <n v="4409.6403330000003"/>
    <n v="93.041834525849055"/>
    <n v="-521.57689687000004"/>
    <n v="0"/>
    <n v="0"/>
    <n v="0"/>
    <n v="0"/>
    <n v="53"/>
    <n v="4409.6403330000003"/>
    <s v="EPER"/>
    <n v="7414000005"/>
  </r>
  <r>
    <x v="246"/>
    <s v="BANCO SANTANDER (MEXICO) FIDEICOMISO F/100574-0"/>
    <x v="39"/>
    <s v="NORMAL"/>
    <s v="MXN"/>
    <n v="42"/>
    <n v="82.159907000000004"/>
    <n v="3450.7160939999999"/>
    <n v="86.420874420000004"/>
    <n v="-178.96063164"/>
    <n v="0"/>
    <n v="0"/>
    <n v="0"/>
    <n v="0"/>
    <n v="42"/>
    <n v="3450.7160939999999"/>
    <s v="EPER"/>
    <n v="7414000005"/>
  </r>
  <r>
    <x v="246"/>
    <s v="BANCO SANTANDER (MEXICO) FIDEICOMISO F/100574-0"/>
    <x v="89"/>
    <s v="NORMAL"/>
    <s v="MXN"/>
    <n v="37900"/>
    <n v="3.1390400000000001"/>
    <n v="118969.61599999999"/>
    <n v="2.3708472295514511"/>
    <n v="29114.506000000001"/>
    <n v="0"/>
    <n v="0"/>
    <n v="0"/>
    <n v="0"/>
    <n v="37900"/>
    <n v="118969.61599999999"/>
    <s v="EPER"/>
    <n v="7414000005"/>
  </r>
  <r>
    <x v="246"/>
    <s v="BANCO SANTANDER (MEXICO) FIDEICOMISO F/100574-0"/>
    <x v="0"/>
    <s v="NORMAL"/>
    <s v="MXN"/>
    <n v="28105"/>
    <n v="3.3967719999999999"/>
    <n v="95466.277059999993"/>
    <n v="3.2662109944849669"/>
    <n v="3669.4170600000002"/>
    <n v="0"/>
    <n v="0"/>
    <n v="0"/>
    <n v="0"/>
    <n v="28105"/>
    <n v="95466.277059999993"/>
    <s v="EPER"/>
    <n v="7414000005"/>
  </r>
  <r>
    <x v="246"/>
    <s v="BANCO SANTANDER (MEXICO) FIDEICOMISO F/100574-0"/>
    <x v="51"/>
    <s v="NORMAL"/>
    <s v="MXN"/>
    <n v="6"/>
    <n v="775.69178699999998"/>
    <n v="4654.1507220000003"/>
    <n v="766.69784126000002"/>
    <n v="53.963674439999998"/>
    <n v="0"/>
    <n v="0"/>
    <n v="0"/>
    <n v="0"/>
    <n v="6"/>
    <n v="4654.1507220000003"/>
    <s v="EPER"/>
    <n v="7414000005"/>
  </r>
  <r>
    <x v="246"/>
    <s v="BANCO SANTANDER (MEXICO) FIDEICOMISO F/100574-0"/>
    <x v="52"/>
    <s v="NORMAL"/>
    <s v="MXN"/>
    <n v="12"/>
    <n v="747.17843200000004"/>
    <n v="8966.1411840000001"/>
    <n v="730.99471579999999"/>
    <n v="194.20459439999999"/>
    <n v="0"/>
    <n v="0"/>
    <n v="0"/>
    <n v="0"/>
    <n v="12"/>
    <n v="8966.1411840000001"/>
    <s v="EPER"/>
    <n v="7414000005"/>
  </r>
  <r>
    <x v="246"/>
    <s v="BANCO SANTANDER (MEXICO) FIDEICOMISO F/100574-0"/>
    <x v="53"/>
    <s v="NORMAL"/>
    <s v="MXN"/>
    <n v="3"/>
    <n v="765.92388300000005"/>
    <n v="2297.7716489999998"/>
    <n v="634.98991012333329"/>
    <n v="392.80191862999999"/>
    <n v="0"/>
    <n v="0"/>
    <n v="0"/>
    <n v="0"/>
    <n v="3"/>
    <n v="2297.7716489999998"/>
    <s v="EPER"/>
    <n v="7414000005"/>
  </r>
  <r>
    <x v="246"/>
    <s v="BANCO SANTANDER (MEXICO) FIDEICOMISO F/100574-0"/>
    <x v="54"/>
    <s v="NORMAL"/>
    <s v="MXN"/>
    <n v="22"/>
    <n v="684.88915799999995"/>
    <n v="15067.561476000001"/>
    <n v="674.82119490000002"/>
    <n v="221.4951882"/>
    <n v="0"/>
    <n v="0"/>
    <n v="0"/>
    <n v="0"/>
    <n v="22"/>
    <n v="15067.561476000001"/>
    <s v="EPER"/>
    <n v="7414000005"/>
  </r>
  <r>
    <x v="246"/>
    <s v="BANCO SANTANDER (MEXICO) FIDEICOMISO F/100574-0"/>
    <x v="55"/>
    <s v="NORMAL"/>
    <s v="MXN"/>
    <n v="13"/>
    <n v="772.926965"/>
    <n v="10048.050545"/>
    <n v="803.51182437"/>
    <n v="-397.60317180999999"/>
    <n v="0"/>
    <n v="0"/>
    <n v="0"/>
    <n v="0"/>
    <n v="13"/>
    <n v="10048.050545"/>
    <s v="EPER"/>
    <n v="7414000005"/>
  </r>
  <r>
    <x v="246"/>
    <s v="BANCO SANTANDER (MEXICO) FIDEICOMISO F/100574-0"/>
    <x v="56"/>
    <s v="NORMAL"/>
    <s v="MXN"/>
    <n v="13"/>
    <n v="721.59464000000003"/>
    <n v="9380.7303200000006"/>
    <n v="756.22640349384619"/>
    <n v="-450.21292541999998"/>
    <n v="0"/>
    <n v="0"/>
    <n v="0"/>
    <n v="0"/>
    <n v="13"/>
    <n v="9380.7303200000006"/>
    <s v="EPER"/>
    <n v="7414000005"/>
  </r>
  <r>
    <x v="246"/>
    <s v="BANCO SANTANDER (MEXICO) FIDEICOMISO F/100574-0"/>
    <x v="57"/>
    <s v="NORMAL"/>
    <s v="MXN"/>
    <n v="3"/>
    <n v="635.96311900000001"/>
    <n v="1907.889357"/>
    <n v="673.26646482000001"/>
    <n v="-111.91003746"/>
    <n v="0"/>
    <n v="0"/>
    <n v="0"/>
    <n v="0"/>
    <n v="3"/>
    <n v="1907.889357"/>
    <s v="EPER"/>
    <n v="7414000005"/>
  </r>
  <r>
    <x v="246"/>
    <s v="BANCO SANTANDER (MEXICO) FIDEICOMISO F/100574-0"/>
    <x v="58"/>
    <s v="NORMAL"/>
    <s v="MXN"/>
    <n v="15"/>
    <n v="709.36974099999998"/>
    <n v="10640.546114999999"/>
    <n v="725.54515143866672"/>
    <n v="-242.63115658000001"/>
    <n v="0"/>
    <n v="0"/>
    <n v="0"/>
    <n v="0"/>
    <n v="15"/>
    <n v="10640.546114999999"/>
    <s v="EPER"/>
    <n v="7414000005"/>
  </r>
  <r>
    <x v="246"/>
    <s v="BANCO SANTANDER (MEXICO) FIDEICOMISO F/100574-0"/>
    <x v="59"/>
    <s v="NORMAL"/>
    <s v="MXN"/>
    <n v="33"/>
    <n v="694.41118700000004"/>
    <n v="22915.569170999999"/>
    <n v="722.62972981424241"/>
    <n v="-931.21191286999999"/>
    <n v="0"/>
    <n v="0"/>
    <n v="0"/>
    <n v="0"/>
    <n v="33"/>
    <n v="22915.569170999999"/>
    <s v="EPER"/>
    <n v="7414000005"/>
  </r>
  <r>
    <x v="247"/>
    <s v="BANCO SANTANDER (MEXICO) FIDEICOMISO F/100575-0"/>
    <x v="4"/>
    <s v="NORMAL"/>
    <s v="MXN"/>
    <n v="3100"/>
    <n v="168.64"/>
    <n v="522784"/>
    <n v="178.5266935483871"/>
    <n v="-30648.75"/>
    <n v="0"/>
    <n v="0"/>
    <n v="0"/>
    <n v="0"/>
    <n v="3100"/>
    <n v="522784"/>
    <s v="EPER"/>
    <n v="7414000005"/>
  </r>
  <r>
    <x v="247"/>
    <s v="BANCO SANTANDER (MEXICO) FIDEICOMISO F/100575-0"/>
    <x v="5"/>
    <s v="NORMAL"/>
    <s v="MXN"/>
    <n v="3700"/>
    <n v="1786.5"/>
    <n v="6610050"/>
    <n v="1826.7352432432433"/>
    <n v="-148870.39999999999"/>
    <n v="0"/>
    <n v="0"/>
    <n v="0"/>
    <n v="0"/>
    <n v="3700"/>
    <n v="6610050"/>
    <s v="EPER"/>
    <n v="7414000005"/>
  </r>
  <r>
    <x v="247"/>
    <s v="BANCO SANTANDER (MEXICO) FIDEICOMISO F/100575-0"/>
    <x v="187"/>
    <s v="NORMAL"/>
    <s v="MXN"/>
    <n v="9800"/>
    <n v="11.86"/>
    <n v="116228"/>
    <n v="12.184011224489796"/>
    <n v="-3175.31"/>
    <n v="0"/>
    <n v="0"/>
    <n v="0"/>
    <n v="0"/>
    <n v="9800"/>
    <n v="116228"/>
    <s v="EPER"/>
    <n v="7414000005"/>
  </r>
  <r>
    <x v="247"/>
    <s v="BANCO SANTANDER (MEXICO) FIDEICOMISO F/100575-0"/>
    <x v="7"/>
    <s v="NORMAL"/>
    <s v="MXN"/>
    <n v="8600"/>
    <n v="73.37"/>
    <n v="630982"/>
    <n v="61.993534883720933"/>
    <n v="97837.6"/>
    <n v="0"/>
    <n v="0"/>
    <n v="0"/>
    <n v="0"/>
    <n v="8600"/>
    <n v="630982"/>
    <s v="EPER"/>
    <n v="7414000005"/>
  </r>
  <r>
    <x v="247"/>
    <s v="BANCO SANTANDER (MEXICO) FIDEICOMISO F/100575-0"/>
    <x v="10"/>
    <s v="NORMAL"/>
    <s v="MXN"/>
    <n v="129000"/>
    <n v="15.12"/>
    <n v="1950480"/>
    <n v="16.199368839534884"/>
    <n v="-139238.5803"/>
    <n v="0"/>
    <n v="0"/>
    <n v="0"/>
    <n v="0"/>
    <n v="129000"/>
    <n v="1950480"/>
    <s v="EPER"/>
    <n v="7414000005"/>
  </r>
  <r>
    <x v="247"/>
    <s v="BANCO SANTANDER (MEXICO) FIDEICOMISO F/100575-0"/>
    <x v="11"/>
    <s v="NORMAL"/>
    <s v="MXN"/>
    <n v="2400"/>
    <n v="525.09"/>
    <n v="1260216"/>
    <n v="492.05947083333331"/>
    <n v="79273.27"/>
    <n v="0"/>
    <n v="0"/>
    <n v="0"/>
    <n v="0"/>
    <n v="2400"/>
    <n v="1260216"/>
    <s v="EPER"/>
    <n v="7414000005"/>
  </r>
  <r>
    <x v="247"/>
    <s v="BANCO SANTANDER (MEXICO) FIDEICOMISO F/100575-0"/>
    <x v="12"/>
    <s v="NORMAL"/>
    <s v="MXN"/>
    <n v="5600"/>
    <n v="68.25"/>
    <n v="382200"/>
    <n v="78.630969642857139"/>
    <n v="-58133.43"/>
    <n v="0"/>
    <n v="0"/>
    <n v="0"/>
    <n v="0"/>
    <n v="5600"/>
    <n v="382200"/>
    <s v="EPER"/>
    <n v="7414000005"/>
  </r>
  <r>
    <x v="247"/>
    <s v="BANCO SANTANDER (MEXICO) FIDEICOMISO F/100575-0"/>
    <x v="14"/>
    <s v="NORMAL"/>
    <s v="MXN"/>
    <n v="156400"/>
    <n v="14.33"/>
    <n v="2241212"/>
    <n v="12.104430370843989"/>
    <n v="348079.09"/>
    <n v="0"/>
    <n v="0"/>
    <n v="0"/>
    <n v="0"/>
    <n v="156400"/>
    <n v="2241212"/>
    <s v="EPER"/>
    <n v="7414000005"/>
  </r>
  <r>
    <x v="247"/>
    <s v="BANCO SANTANDER (MEXICO) FIDEICOMISO F/100575-0"/>
    <x v="85"/>
    <s v="NORMAL"/>
    <s v="MXN"/>
    <n v="1072"/>
    <n v="97.654420999999999"/>
    <n v="104685.53931199999"/>
    <n v="98.224185000000006"/>
    <n v="-610.78700800000001"/>
    <n v="0"/>
    <n v="0"/>
    <n v="0"/>
    <n v="0"/>
    <n v="1072"/>
    <n v="104685.53931199999"/>
    <s v="EPER"/>
    <n v="7414000005"/>
  </r>
  <r>
    <x v="247"/>
    <s v="BANCO SANTANDER (MEXICO) FIDEICOMISO F/100575-0"/>
    <x v="86"/>
    <s v="NORMAL"/>
    <s v="MXN"/>
    <n v="228935"/>
    <n v="9.4935880000000008"/>
    <n v="2173414.5687799999"/>
    <n v="8.4405498100000003"/>
    <n v="241077.29802764999"/>
    <n v="0"/>
    <n v="0"/>
    <n v="0"/>
    <n v="0"/>
    <n v="228935"/>
    <n v="2173414.5687799999"/>
    <s v="EPER"/>
    <n v="7414000005"/>
  </r>
  <r>
    <x v="247"/>
    <s v="BANCO SANTANDER (MEXICO) FIDEICOMISO F/100575-0"/>
    <x v="72"/>
    <s v="NORMAL"/>
    <s v="MXN"/>
    <n v="311790"/>
    <n v="9.3381629999999998"/>
    <n v="2911545.8417699998"/>
    <n v="8.3307969100000001"/>
    <n v="314086.67320110003"/>
    <n v="0"/>
    <n v="0"/>
    <n v="0"/>
    <n v="0"/>
    <n v="311790"/>
    <n v="2911545.8417699998"/>
    <s v="EPER"/>
    <n v="7414000005"/>
  </r>
  <r>
    <x v="247"/>
    <s v="BANCO SANTANDER (MEXICO) FIDEICOMISO F/100575-0"/>
    <x v="17"/>
    <s v="NORMAL"/>
    <s v="MXN"/>
    <n v="2430"/>
    <n v="675.38"/>
    <n v="1641173.4"/>
    <n v="749.08651028806582"/>
    <n v="-179106.82"/>
    <n v="0"/>
    <n v="0"/>
    <n v="0"/>
    <n v="0"/>
    <n v="2430"/>
    <n v="1641173.4"/>
    <s v="EPER"/>
    <n v="7414000005"/>
  </r>
  <r>
    <x v="247"/>
    <s v="BANCO SANTANDER (MEXICO) FIDEICOMISO F/100575-0"/>
    <x v="18"/>
    <s v="NORMAL"/>
    <s v="MXN"/>
    <n v="525"/>
    <n v="700.65"/>
    <n v="367841.25"/>
    <n v="742.85199999999998"/>
    <n v="-22156.05"/>
    <n v="0"/>
    <n v="0"/>
    <n v="0"/>
    <n v="0"/>
    <n v="525"/>
    <n v="367841.25"/>
    <s v="EPER"/>
    <n v="7414000005"/>
  </r>
  <r>
    <x v="247"/>
    <s v="BANCO SANTANDER (MEXICO) FIDEICOMISO F/100575-0"/>
    <x v="19"/>
    <s v="NORMAL"/>
    <s v="MXN"/>
    <n v="1080"/>
    <n v="1151"/>
    <n v="1243080"/>
    <n v="968.06100000000004"/>
    <n v="197574.12"/>
    <n v="0"/>
    <n v="0"/>
    <n v="0"/>
    <n v="0"/>
    <n v="1080"/>
    <n v="1243080"/>
    <s v="EPER"/>
    <n v="7414000005"/>
  </r>
  <r>
    <x v="247"/>
    <s v="BANCO SANTANDER (MEXICO) FIDEICOMISO F/100575-0"/>
    <x v="20"/>
    <s v="NORMAL"/>
    <s v="MXN"/>
    <n v="11600"/>
    <n v="207.81"/>
    <n v="2410596"/>
    <n v="177.41442931034481"/>
    <n v="352588.62"/>
    <n v="0"/>
    <n v="0"/>
    <n v="0"/>
    <n v="0"/>
    <n v="11600"/>
    <n v="2410596"/>
    <s v="EPER"/>
    <n v="7414000005"/>
  </r>
  <r>
    <x v="247"/>
    <s v="BANCO SANTANDER (MEXICO) FIDEICOMISO F/100575-0"/>
    <x v="21"/>
    <s v="NORMAL"/>
    <s v="MXN"/>
    <n v="1200"/>
    <n v="271.94"/>
    <n v="326328"/>
    <n v="293.563875"/>
    <n v="-25948.65"/>
    <n v="0"/>
    <n v="0"/>
    <n v="0"/>
    <n v="0"/>
    <n v="1200"/>
    <n v="326328"/>
    <s v="EPER"/>
    <n v="7414000005"/>
  </r>
  <r>
    <x v="247"/>
    <s v="BANCO SANTANDER (MEXICO) FIDEICOMISO F/100575-0"/>
    <x v="22"/>
    <s v="NORMAL"/>
    <s v="MXN"/>
    <n v="4000"/>
    <n v="193.15"/>
    <n v="772600"/>
    <n v="163.350145"/>
    <n v="119199.42"/>
    <n v="0"/>
    <n v="0"/>
    <n v="0"/>
    <n v="0"/>
    <n v="4000"/>
    <n v="772600"/>
    <s v="EPER"/>
    <n v="7414000005"/>
  </r>
  <r>
    <x v="247"/>
    <s v="BANCO SANTANDER (MEXICO) FIDEICOMISO F/100575-0"/>
    <x v="23"/>
    <s v="NORMAL"/>
    <s v="MXN"/>
    <n v="29000"/>
    <n v="27.12"/>
    <n v="786480"/>
    <n v="22.472498620689656"/>
    <n v="134777.54"/>
    <n v="0"/>
    <n v="0"/>
    <n v="0"/>
    <n v="0"/>
    <n v="29000"/>
    <n v="786480"/>
    <s v="EPER"/>
    <n v="7414000005"/>
  </r>
  <r>
    <x v="247"/>
    <s v="BANCO SANTANDER (MEXICO) FIDEICOMISO F/100575-0"/>
    <x v="24"/>
    <s v="NORMAL"/>
    <s v="MXN"/>
    <n v="18400"/>
    <n v="176.44"/>
    <n v="3246496"/>
    <n v="148.34452989130435"/>
    <n v="516956.65"/>
    <n v="0"/>
    <n v="0"/>
    <n v="0"/>
    <n v="0"/>
    <n v="18400"/>
    <n v="3246496"/>
    <s v="EPER"/>
    <n v="7414000005"/>
  </r>
  <r>
    <x v="247"/>
    <s v="BANCO SANTANDER (MEXICO) FIDEICOMISO F/100575-0"/>
    <x v="25"/>
    <s v="NORMAL"/>
    <s v="MXN"/>
    <n v="23300"/>
    <n v="104.12"/>
    <n v="2425996"/>
    <n v="83.804112875536475"/>
    <n v="473360.17"/>
    <n v="0"/>
    <n v="0"/>
    <n v="0"/>
    <n v="0"/>
    <n v="23300"/>
    <n v="2425996"/>
    <s v="EPER"/>
    <n v="7414000005"/>
  </r>
  <r>
    <x v="247"/>
    <s v="BANCO SANTANDER (MEXICO) FIDEICOMISO F/100575-0"/>
    <x v="26"/>
    <s v="NORMAL"/>
    <s v="MXN"/>
    <n v="15697"/>
    <n v="98.730349000000004"/>
    <n v="1549770.288253"/>
    <n v="104.03952863687456"/>
    <n v="-83338.19276002"/>
    <n v="0"/>
    <n v="0"/>
    <n v="0"/>
    <n v="0"/>
    <n v="15697"/>
    <n v="1549770.288253"/>
    <s v="EPER"/>
    <n v="7414000005"/>
  </r>
  <r>
    <x v="247"/>
    <s v="BANCO SANTANDER (MEXICO) FIDEICOMISO F/100575-0"/>
    <x v="67"/>
    <s v="NORMAL"/>
    <s v="MXN"/>
    <n v="17750"/>
    <n v="99.247497999999993"/>
    <n v="1761643.0895"/>
    <n v="112.3990265691245"/>
    <n v="-233439.63210196001"/>
    <n v="0"/>
    <n v="0"/>
    <n v="0"/>
    <n v="0"/>
    <n v="17750"/>
    <n v="1761643.0895"/>
    <s v="EPER"/>
    <n v="7414000005"/>
  </r>
  <r>
    <x v="247"/>
    <s v="BANCO SANTANDER (MEXICO) FIDEICOMISO F/100575-0"/>
    <x v="27"/>
    <s v="NORMAL"/>
    <s v="MXN"/>
    <n v="5330"/>
    <n v="94.973146999999997"/>
    <n v="506206.87351"/>
    <n v="89.776596093696057"/>
    <n v="27697.616330600002"/>
    <n v="0"/>
    <n v="0"/>
    <n v="0"/>
    <n v="0"/>
    <n v="5330"/>
    <n v="506206.87351"/>
    <s v="EPER"/>
    <n v="7414000005"/>
  </r>
  <r>
    <x v="247"/>
    <s v="BANCO SANTANDER (MEXICO) FIDEICOMISO F/100575-0"/>
    <x v="28"/>
    <s v="NORMAL"/>
    <s v="MXN"/>
    <n v="18336"/>
    <n v="91.911821000000003"/>
    <n v="1685295.149856"/>
    <n v="93.2088459"/>
    <n v="-23782.248566400001"/>
    <n v="0"/>
    <n v="0"/>
    <n v="0"/>
    <n v="0"/>
    <n v="18336"/>
    <n v="1685295.149856"/>
    <s v="EPER"/>
    <n v="7414000005"/>
  </r>
  <r>
    <x v="247"/>
    <s v="BANCO SANTANDER (MEXICO) FIDEICOMISO F/100575-0"/>
    <x v="29"/>
    <s v="NORMAL"/>
    <s v="MXN"/>
    <n v="9390"/>
    <n v="92.954503000000003"/>
    <n v="872842.78316999995"/>
    <n v="93.326188568146961"/>
    <n v="-3490.1274849000001"/>
    <n v="0"/>
    <n v="0"/>
    <n v="0"/>
    <n v="0"/>
    <n v="9390"/>
    <n v="872842.78316999995"/>
    <s v="EPER"/>
    <n v="7414000005"/>
  </r>
  <r>
    <x v="247"/>
    <s v="BANCO SANTANDER (MEXICO) FIDEICOMISO F/100575-0"/>
    <x v="30"/>
    <s v="NORMAL"/>
    <s v="MXN"/>
    <n v="9384"/>
    <n v="88.698122999999995"/>
    <n v="832343.18623200001"/>
    <n v="85.582633650971871"/>
    <n v="29235.75205128"/>
    <n v="0"/>
    <n v="0"/>
    <n v="0"/>
    <n v="0"/>
    <n v="9384"/>
    <n v="832343.18623200001"/>
    <s v="EPER"/>
    <n v="7414000005"/>
  </r>
  <r>
    <x v="247"/>
    <s v="BANCO SANTANDER (MEXICO) FIDEICOMISO F/100575-0"/>
    <x v="31"/>
    <s v="NORMAL"/>
    <s v="MXN"/>
    <n v="18740"/>
    <n v="93.314192000000006"/>
    <n v="1748707.95808"/>
    <n v="98.84379737696905"/>
    <n v="-103624.8047644"/>
    <n v="0"/>
    <n v="0"/>
    <n v="0"/>
    <n v="0"/>
    <n v="18740"/>
    <n v="1748707.95808"/>
    <s v="EPER"/>
    <n v="7414000005"/>
  </r>
  <r>
    <x v="247"/>
    <s v="BANCO SANTANDER (MEXICO) FIDEICOMISO F/100575-0"/>
    <x v="32"/>
    <s v="NORMAL"/>
    <s v="MXN"/>
    <n v="16620"/>
    <n v="94.864168000000006"/>
    <n v="1576642.4721599999"/>
    <n v="96.405382591450064"/>
    <n v="-25614.986509900002"/>
    <n v="0"/>
    <n v="0"/>
    <n v="0"/>
    <n v="0"/>
    <n v="16620"/>
    <n v="1576642.4721599999"/>
    <s v="EPER"/>
    <n v="7414000005"/>
  </r>
  <r>
    <x v="247"/>
    <s v="BANCO SANTANDER (MEXICO) FIDEICOMISO F/100575-0"/>
    <x v="33"/>
    <s v="NORMAL"/>
    <s v="MXN"/>
    <n v="46662"/>
    <n v="94.870157000000006"/>
    <n v="4426831.2659339998"/>
    <n v="96.755545584115552"/>
    <n v="-87976.002112000002"/>
    <n v="0"/>
    <n v="0"/>
    <n v="0"/>
    <n v="0"/>
    <n v="46662"/>
    <n v="4426831.2659339998"/>
    <s v="EPER"/>
    <n v="7414000005"/>
  </r>
  <r>
    <x v="247"/>
    <s v="BANCO SANTANDER (MEXICO) FIDEICOMISO F/100575-0"/>
    <x v="34"/>
    <s v="NORMAL"/>
    <s v="MXN"/>
    <n v="31021"/>
    <n v="89.489464999999996"/>
    <n v="2776052.693765"/>
    <n v="91.625033696637118"/>
    <n v="-66247.476538379997"/>
    <n v="0"/>
    <n v="0"/>
    <n v="0"/>
    <n v="0"/>
    <n v="31021"/>
    <n v="2776052.693765"/>
    <s v="EPER"/>
    <n v="7414000005"/>
  </r>
  <r>
    <x v="247"/>
    <s v="BANCO SANTANDER (MEXICO) FIDEICOMISO F/100575-0"/>
    <x v="35"/>
    <s v="NORMAL"/>
    <s v="MXN"/>
    <n v="46364"/>
    <n v="86.197128000000006"/>
    <n v="3996443.6425919998"/>
    <n v="89.230285410432657"/>
    <n v="-140629.31017730001"/>
    <n v="0"/>
    <n v="0"/>
    <n v="0"/>
    <n v="0"/>
    <n v="46364"/>
    <n v="3996443.6425919998"/>
    <s v="EPER"/>
    <n v="7414000005"/>
  </r>
  <r>
    <x v="247"/>
    <s v="BANCO SANTANDER (MEXICO) FIDEICOMISO F/100575-0"/>
    <x v="36"/>
    <s v="NORMAL"/>
    <s v="MXN"/>
    <n v="31170"/>
    <n v="86.469353999999996"/>
    <n v="2695249.7641799999"/>
    <n v="90.753331323054212"/>
    <n v="-133531.5731596"/>
    <n v="0"/>
    <n v="0"/>
    <n v="0"/>
    <n v="0"/>
    <n v="31170"/>
    <n v="2695249.7641799999"/>
    <s v="EPER"/>
    <n v="7414000005"/>
  </r>
  <r>
    <x v="247"/>
    <s v="BANCO SANTANDER (MEXICO) FIDEICOMISO F/100575-0"/>
    <x v="81"/>
    <s v="NORMAL"/>
    <s v="MXN"/>
    <n v="1504"/>
    <n v="101.45096599999999"/>
    <n v="152582.25286400001"/>
    <n v="114.11447106"/>
    <n v="-19045.91161024"/>
    <n v="0"/>
    <n v="0"/>
    <n v="0"/>
    <n v="0"/>
    <n v="1504"/>
    <n v="152582.25286400001"/>
    <s v="EPER"/>
    <n v="7414000005"/>
  </r>
  <r>
    <x v="247"/>
    <s v="BANCO SANTANDER (MEXICO) FIDEICOMISO F/100575-0"/>
    <x v="68"/>
    <s v="NORMAL"/>
    <s v="MXN"/>
    <n v="1379"/>
    <n v="89.643172000000007"/>
    <n v="123617.934188"/>
    <n v="108.47711812999999"/>
    <n v="-25972.01171327"/>
    <n v="0"/>
    <n v="0"/>
    <n v="0"/>
    <n v="0"/>
    <n v="1379"/>
    <n v="123617.934188"/>
    <s v="EPER"/>
    <n v="7414000005"/>
  </r>
  <r>
    <x v="247"/>
    <s v="BANCO SANTANDER (MEXICO) FIDEICOMISO F/100575-0"/>
    <x v="37"/>
    <s v="NORMAL"/>
    <s v="MXN"/>
    <n v="37318"/>
    <n v="81.738860000000003"/>
    <n v="3050330.7774800002"/>
    <n v="86.583587935914039"/>
    <n v="-180795.55711244"/>
    <n v="0"/>
    <n v="0"/>
    <n v="0"/>
    <n v="0"/>
    <n v="37318"/>
    <n v="3050330.7774800002"/>
    <s v="EPER"/>
    <n v="7414000005"/>
  </r>
  <r>
    <x v="247"/>
    <s v="BANCO SANTANDER (MEXICO) FIDEICOMISO F/100575-0"/>
    <x v="38"/>
    <s v="NORMAL"/>
    <s v="MXN"/>
    <n v="5580"/>
    <n v="83.200761"/>
    <n v="464260.24638000003"/>
    <n v="94.43845025129032"/>
    <n v="-62706.306022199999"/>
    <n v="0"/>
    <n v="0"/>
    <n v="0"/>
    <n v="0"/>
    <n v="5580"/>
    <n v="464260.24638000003"/>
    <s v="EPER"/>
    <n v="7414000005"/>
  </r>
  <r>
    <x v="247"/>
    <s v="BANCO SANTANDER (MEXICO) FIDEICOMISO F/100575-0"/>
    <x v="39"/>
    <s v="NORMAL"/>
    <s v="MXN"/>
    <n v="45593"/>
    <n v="82.159907000000004"/>
    <n v="3745916.6398510002"/>
    <n v="83.99904384907903"/>
    <n v="-83851.766360060006"/>
    <n v="0"/>
    <n v="0"/>
    <n v="0"/>
    <n v="0"/>
    <n v="45593"/>
    <n v="3745916.6398510002"/>
    <s v="EPER"/>
    <n v="7414000005"/>
  </r>
  <r>
    <x v="247"/>
    <s v="BANCO SANTANDER (MEXICO) FIDEICOMISO F/100575-0"/>
    <x v="40"/>
    <s v="NORMAL"/>
    <s v="MXN"/>
    <n v="2000"/>
    <n v="314.42"/>
    <n v="628840"/>
    <n v="283.67239000000001"/>
    <n v="61495.22"/>
    <n v="0"/>
    <n v="0"/>
    <n v="0"/>
    <n v="0"/>
    <n v="2000"/>
    <n v="628840"/>
    <s v="EPER"/>
    <n v="7414000005"/>
  </r>
  <r>
    <x v="247"/>
    <s v="BANCO SANTANDER (MEXICO) FIDEICOMISO F/100575-0"/>
    <x v="41"/>
    <s v="NORMAL"/>
    <s v="MXN"/>
    <n v="11900"/>
    <n v="43.85"/>
    <n v="521815"/>
    <n v="41.431910924369745"/>
    <n v="28775.26"/>
    <n v="0"/>
    <n v="0"/>
    <n v="0"/>
    <n v="0"/>
    <n v="11900"/>
    <n v="521815"/>
    <s v="EPER"/>
    <n v="7414000005"/>
  </r>
  <r>
    <x v="247"/>
    <s v="BANCO SANTANDER (MEXICO) FIDEICOMISO F/100575-0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247"/>
    <s v="BANCO SANTANDER (MEXICO) FIDEICOMISO F/100575-0"/>
    <x v="42"/>
    <s v="NORMAL"/>
    <s v="MXN"/>
    <n v="946"/>
    <n v="8532.5"/>
    <n v="8071745"/>
    <n v="4566.3986469344609"/>
    <n v="3751931.88"/>
    <n v="0"/>
    <n v="0"/>
    <n v="0"/>
    <n v="0"/>
    <n v="946"/>
    <n v="8071745"/>
    <s v="EPER"/>
    <n v="7414000005"/>
  </r>
  <r>
    <x v="247"/>
    <s v="BANCO SANTANDER (MEXICO) FIDEICOMISO F/100575-0"/>
    <x v="44"/>
    <s v="NORMAL"/>
    <s v="MXN"/>
    <n v="14400"/>
    <n v="36.28"/>
    <n v="522432"/>
    <n v="39.117790277777779"/>
    <n v="-40864.18"/>
    <n v="0"/>
    <n v="0"/>
    <n v="0"/>
    <n v="0"/>
    <n v="14400"/>
    <n v="522432"/>
    <s v="EPER"/>
    <n v="7414000005"/>
  </r>
  <r>
    <x v="247"/>
    <s v="BANCO SANTANDER (MEXICO) FIDEICOMISO F/100575-0"/>
    <x v="45"/>
    <s v="NORMAL"/>
    <s v="MXN"/>
    <n v="1900"/>
    <n v="136.35"/>
    <n v="259065"/>
    <n v="119.00934736842105"/>
    <n v="32947.24"/>
    <n v="0"/>
    <n v="0"/>
    <n v="0"/>
    <n v="0"/>
    <n v="1900"/>
    <n v="259065"/>
    <s v="EPER"/>
    <n v="7414000005"/>
  </r>
  <r>
    <x v="247"/>
    <s v="BANCO SANTANDER (MEXICO) FIDEICOMISO F/100575-0"/>
    <x v="88"/>
    <s v="NORMAL"/>
    <s v="MXN"/>
    <n v="40257"/>
    <n v="98.007834000000003"/>
    <n v="3945501.3733379999"/>
    <n v="89.792370106188244"/>
    <n v="330729.92997318"/>
    <n v="0"/>
    <n v="0"/>
    <n v="0"/>
    <n v="0"/>
    <n v="40257"/>
    <n v="3945501.3733379999"/>
    <s v="EPER"/>
    <n v="7414000005"/>
  </r>
  <r>
    <x v="247"/>
    <s v="BANCO SANTANDER (MEXICO) FIDEICOMISO F/100575-0"/>
    <x v="48"/>
    <s v="NORMAL"/>
    <s v="MXN"/>
    <n v="4500"/>
    <n v="156"/>
    <n v="702000"/>
    <n v="139.65624222222223"/>
    <n v="73546.91"/>
    <n v="0"/>
    <n v="0"/>
    <n v="0"/>
    <n v="0"/>
    <n v="4500"/>
    <n v="702000"/>
    <s v="EPER"/>
    <n v="7414000005"/>
  </r>
  <r>
    <x v="247"/>
    <s v="BANCO SANTANDER (MEXICO) FIDEICOMISO F/100575-0"/>
    <x v="49"/>
    <s v="NORMAL"/>
    <s v="MXN"/>
    <n v="3621"/>
    <n v="682.55"/>
    <n v="2471513.5499999998"/>
    <n v="846.22250483291907"/>
    <n v="-592658.14"/>
    <n v="0"/>
    <n v="0"/>
    <n v="0"/>
    <n v="0"/>
    <n v="3621"/>
    <n v="2471513.5499999998"/>
    <s v="EPER"/>
    <n v="7414000005"/>
  </r>
  <r>
    <x v="247"/>
    <s v="BANCO SANTANDER (MEXICO) FIDEICOMISO F/100575-0"/>
    <x v="0"/>
    <s v="NORMAL"/>
    <s v="MXN"/>
    <n v="1728933"/>
    <n v="3.3967719999999999"/>
    <n v="5872791.2042760001"/>
    <n v="3.3033328417006329"/>
    <n v="161550.044276"/>
    <n v="0"/>
    <n v="0"/>
    <n v="0"/>
    <n v="0"/>
    <n v="1728933"/>
    <n v="5872791.2042760001"/>
    <s v="EPER"/>
    <n v="7414000005"/>
  </r>
  <r>
    <x v="247"/>
    <s v="BANCO SANTANDER (MEXICO) FIDEICOMISO F/100575-0"/>
    <x v="50"/>
    <s v="NORMAL"/>
    <s v="MXN"/>
    <n v="19000"/>
    <n v="31.41"/>
    <n v="596790"/>
    <n v="32.11050946842105"/>
    <n v="-13309.679899999999"/>
    <n v="0"/>
    <n v="0"/>
    <n v="0"/>
    <n v="0"/>
    <n v="19000"/>
    <n v="596790"/>
    <s v="EPER"/>
    <n v="7414000005"/>
  </r>
  <r>
    <x v="247"/>
    <s v="BANCO SANTANDER (MEXICO) FIDEICOMISO F/100575-0"/>
    <x v="51"/>
    <s v="NORMAL"/>
    <s v="MXN"/>
    <n v="3169"/>
    <n v="775.69178699999998"/>
    <n v="2458167.2730029998"/>
    <n v="766.69784126000002"/>
    <n v="28501.814050059998"/>
    <n v="0"/>
    <n v="0"/>
    <n v="0"/>
    <n v="0"/>
    <n v="3169"/>
    <n v="2458167.2730029998"/>
    <s v="EPER"/>
    <n v="7414000005"/>
  </r>
  <r>
    <x v="247"/>
    <s v="BANCO SANTANDER (MEXICO) FIDEICOMISO F/100575-0"/>
    <x v="52"/>
    <s v="NORMAL"/>
    <s v="MXN"/>
    <n v="6500"/>
    <n v="747.17843200000004"/>
    <n v="4856659.8080000002"/>
    <n v="723.82397457606157"/>
    <n v="151803.97325559999"/>
    <n v="0"/>
    <n v="0"/>
    <n v="0"/>
    <n v="0"/>
    <n v="6500"/>
    <n v="4856659.8080000002"/>
    <s v="EPER"/>
    <n v="7414000005"/>
  </r>
  <r>
    <x v="247"/>
    <s v="BANCO SANTANDER (MEXICO) FIDEICOMISO F/100575-0"/>
    <x v="53"/>
    <s v="NORMAL"/>
    <s v="MXN"/>
    <n v="2128"/>
    <n v="765.92388300000005"/>
    <n v="1629886.023024"/>
    <n v="752.63389081660716"/>
    <n v="28281.103366259998"/>
    <n v="0"/>
    <n v="0"/>
    <n v="0"/>
    <n v="0"/>
    <n v="2128"/>
    <n v="1629886.023024"/>
    <s v="EPER"/>
    <n v="7414000005"/>
  </r>
  <r>
    <x v="247"/>
    <s v="BANCO SANTANDER (MEXICO) FIDEICOMISO F/100575-0"/>
    <x v="54"/>
    <s v="NORMAL"/>
    <s v="MXN"/>
    <n v="3718"/>
    <n v="684.88915799999995"/>
    <n v="2546417.8894440001"/>
    <n v="680.58892409983866"/>
    <n v="15988.269640799999"/>
    <n v="0"/>
    <n v="0"/>
    <n v="0"/>
    <n v="0"/>
    <n v="3718"/>
    <n v="2546417.8894440001"/>
    <s v="EPER"/>
    <n v="7414000005"/>
  </r>
  <r>
    <x v="247"/>
    <s v="BANCO SANTANDER (MEXICO) FIDEICOMISO F/100575-0"/>
    <x v="55"/>
    <s v="NORMAL"/>
    <s v="MXN"/>
    <n v="2212"/>
    <n v="772.926965"/>
    <n v="1709714.44658"/>
    <n v="801.58205912612118"/>
    <n v="-63385.068206980002"/>
    <n v="0"/>
    <n v="0"/>
    <n v="0"/>
    <n v="0"/>
    <n v="2212"/>
    <n v="1709714.44658"/>
    <s v="EPER"/>
    <n v="7414000005"/>
  </r>
  <r>
    <x v="247"/>
    <s v="BANCO SANTANDER (MEXICO) FIDEICOMISO F/100575-0"/>
    <x v="56"/>
    <s v="NORMAL"/>
    <s v="MXN"/>
    <n v="2373"/>
    <n v="721.59464000000003"/>
    <n v="1712344.08072"/>
    <n v="757.17561373745468"/>
    <n v="-84433.650678980004"/>
    <n v="0"/>
    <n v="0"/>
    <n v="0"/>
    <n v="0"/>
    <n v="2373"/>
    <n v="1712344.08072"/>
    <s v="EPER"/>
    <n v="7414000005"/>
  </r>
  <r>
    <x v="247"/>
    <s v="BANCO SANTANDER (MEXICO) FIDEICOMISO F/100575-0"/>
    <x v="57"/>
    <s v="NORMAL"/>
    <s v="MXN"/>
    <n v="1222"/>
    <n v="635.96311900000001"/>
    <n v="777146.93141800002"/>
    <n v="647.93802047999998"/>
    <n v="-14633.32960856"/>
    <n v="0"/>
    <n v="0"/>
    <n v="0"/>
    <n v="0"/>
    <n v="1222"/>
    <n v="777146.93141800002"/>
    <s v="EPER"/>
    <n v="7414000005"/>
  </r>
  <r>
    <x v="247"/>
    <s v="BANCO SANTANDER (MEXICO) FIDEICOMISO F/100575-0"/>
    <x v="58"/>
    <s v="NORMAL"/>
    <s v="MXN"/>
    <n v="2810"/>
    <n v="709.36974099999998"/>
    <n v="1993328.97221"/>
    <n v="724.76747879626691"/>
    <n v="-43267.643207510002"/>
    <n v="0"/>
    <n v="0"/>
    <n v="0"/>
    <n v="0"/>
    <n v="2810"/>
    <n v="1993328.97221"/>
    <s v="EPER"/>
    <n v="7414000005"/>
  </r>
  <r>
    <x v="247"/>
    <s v="BANCO SANTANDER (MEXICO) FIDEICOMISO F/100575-0"/>
    <x v="59"/>
    <s v="NORMAL"/>
    <s v="MXN"/>
    <n v="5009"/>
    <n v="694.41118700000004"/>
    <n v="3478305.6356830001"/>
    <n v="725.53455074740668"/>
    <n v="-155896.92901076001"/>
    <n v="0"/>
    <n v="0"/>
    <n v="0"/>
    <n v="0"/>
    <n v="5009"/>
    <n v="3478305.6356830001"/>
    <s v="EPER"/>
    <n v="7414000005"/>
  </r>
  <r>
    <x v="247"/>
    <s v="BANCO SANTANDER (MEXICO) FIDEICOMISO F/100575-0"/>
    <x v="60"/>
    <s v="NORMAL"/>
    <s v="MXN"/>
    <n v="15000"/>
    <n v="58.67"/>
    <n v="880050"/>
    <n v="59.627063333333332"/>
    <n v="-14355.95"/>
    <n v="0"/>
    <n v="0"/>
    <n v="0"/>
    <n v="0"/>
    <n v="15000"/>
    <n v="880050"/>
    <s v="EPER"/>
    <n v="7414000005"/>
  </r>
  <r>
    <x v="247"/>
    <s v="BANCO SANTANDER (MEXICO) FIDEICOMISO F/100575-0"/>
    <x v="61"/>
    <s v="NORMAL"/>
    <s v="MXN"/>
    <n v="2035"/>
    <n v="1090"/>
    <n v="2218150"/>
    <n v="1090.9993022113022"/>
    <n v="-2033.58"/>
    <n v="0"/>
    <n v="0"/>
    <n v="0"/>
    <n v="0"/>
    <n v="2035"/>
    <n v="2218150"/>
    <s v="EPER"/>
    <n v="7414000005"/>
  </r>
  <r>
    <x v="247"/>
    <s v="BANCO SANTANDER (MEXICO) FIDEICOMISO F/100575-0"/>
    <x v="63"/>
    <s v="NORMAL"/>
    <s v="MXN"/>
    <n v="33700"/>
    <n v="65.260000000000005"/>
    <n v="2199262"/>
    <n v="69.410171810089025"/>
    <n v="-139860.79"/>
    <n v="0"/>
    <n v="0"/>
    <n v="0"/>
    <n v="0"/>
    <n v="33700"/>
    <n v="2199262"/>
    <s v="EPER"/>
    <n v="7414000005"/>
  </r>
  <r>
    <x v="248"/>
    <s v="BANCO SANTANDER (MEXICO) FIDEICOMISO F/100671-0"/>
    <x v="5"/>
    <s v="NORMAL"/>
    <s v="MXN"/>
    <n v="1352"/>
    <n v="1786.5"/>
    <n v="2415348"/>
    <n v="1814.4898816568048"/>
    <n v="-37842.32"/>
    <n v="0"/>
    <n v="0"/>
    <n v="0"/>
    <n v="0"/>
    <n v="1352"/>
    <n v="2415348"/>
    <s v="EPER"/>
    <n v="7414000005"/>
  </r>
  <r>
    <x v="248"/>
    <s v="BANCO SANTANDER (MEXICO) FIDEICOMISO F/100671-0"/>
    <x v="85"/>
    <s v="NORMAL"/>
    <s v="MXN"/>
    <n v="422"/>
    <n v="97.654420999999999"/>
    <n v="41210.165661999999"/>
    <n v="98.224185000000006"/>
    <n v="-240.44040799999999"/>
    <n v="0"/>
    <n v="0"/>
    <n v="0"/>
    <n v="0"/>
    <n v="422"/>
    <n v="41210.165661999999"/>
    <s v="EPER"/>
    <n v="7414000005"/>
  </r>
  <r>
    <x v="248"/>
    <s v="BANCO SANTANDER (MEXICO) FIDEICOMISO F/100671-0"/>
    <x v="86"/>
    <s v="NORMAL"/>
    <s v="MXN"/>
    <n v="89744"/>
    <n v="9.4935880000000008"/>
    <n v="851992.56147199997"/>
    <n v="8.4405498100000003"/>
    <n v="94503.859323359997"/>
    <n v="0"/>
    <n v="0"/>
    <n v="0"/>
    <n v="0"/>
    <n v="89744"/>
    <n v="851992.56147199997"/>
    <s v="EPER"/>
    <n v="7414000005"/>
  </r>
  <r>
    <x v="248"/>
    <s v="BANCO SANTANDER (MEXICO) FIDEICOMISO F/100671-0"/>
    <x v="72"/>
    <s v="NORMAL"/>
    <s v="MXN"/>
    <n v="122230"/>
    <n v="9.3381629999999998"/>
    <n v="1141403.6634899999"/>
    <n v="8.3307969100000001"/>
    <n v="123130.3571807"/>
    <n v="0"/>
    <n v="0"/>
    <n v="0"/>
    <n v="0"/>
    <n v="122230"/>
    <n v="1141403.6634899999"/>
    <s v="EPER"/>
    <n v="7414000005"/>
  </r>
  <r>
    <x v="248"/>
    <s v="BANCO SANTANDER (MEXICO) FIDEICOMISO F/100671-0"/>
    <x v="17"/>
    <s v="NORMAL"/>
    <s v="MXN"/>
    <n v="970"/>
    <n v="675.38"/>
    <n v="655118.6"/>
    <n v="743.5911340206186"/>
    <n v="-66164.800000000003"/>
    <n v="0"/>
    <n v="0"/>
    <n v="0"/>
    <n v="0"/>
    <n v="970"/>
    <n v="655118.6"/>
    <s v="EPER"/>
    <n v="7414000005"/>
  </r>
  <r>
    <x v="248"/>
    <s v="BANCO SANTANDER (MEXICO) FIDEICOMISO F/100671-0"/>
    <x v="18"/>
    <s v="NORMAL"/>
    <s v="MXN"/>
    <n v="215"/>
    <n v="700.65"/>
    <n v="150639.75"/>
    <n v="752.98093023255819"/>
    <n v="-11251.15"/>
    <n v="0"/>
    <n v="0"/>
    <n v="0"/>
    <n v="0"/>
    <n v="215"/>
    <n v="150639.75"/>
    <s v="EPER"/>
    <n v="7414000005"/>
  </r>
  <r>
    <x v="248"/>
    <s v="BANCO SANTANDER (MEXICO) FIDEICOMISO F/100671-0"/>
    <x v="19"/>
    <s v="NORMAL"/>
    <s v="MXN"/>
    <n v="440"/>
    <n v="1151"/>
    <n v="506440"/>
    <n v="970.12872727272725"/>
    <n v="79583.360000000001"/>
    <n v="0"/>
    <n v="0"/>
    <n v="0"/>
    <n v="0"/>
    <n v="440"/>
    <n v="506440"/>
    <s v="EPER"/>
    <n v="7414000005"/>
  </r>
  <r>
    <x v="248"/>
    <s v="BANCO SANTANDER (MEXICO) FIDEICOMISO F/100671-0"/>
    <x v="26"/>
    <s v="NORMAL"/>
    <s v="MXN"/>
    <n v="6233"/>
    <n v="98.730349000000004"/>
    <n v="615386.26531699998"/>
    <n v="104.13969715082304"/>
    <n v="-33716.467024079997"/>
    <n v="0"/>
    <n v="0"/>
    <n v="0"/>
    <n v="0"/>
    <n v="6233"/>
    <n v="615386.26531699998"/>
    <s v="EPER"/>
    <n v="7414000005"/>
  </r>
  <r>
    <x v="248"/>
    <s v="BANCO SANTANDER (MEXICO) FIDEICOMISO F/100671-0"/>
    <x v="67"/>
    <s v="NORMAL"/>
    <s v="MXN"/>
    <n v="7000"/>
    <n v="99.247497999999993"/>
    <n v="694732.48600000003"/>
    <n v="112.48388743647143"/>
    <n v="-92654.726055299994"/>
    <n v="0"/>
    <n v="0"/>
    <n v="0"/>
    <n v="0"/>
    <n v="7000"/>
    <n v="694732.48600000003"/>
    <s v="EPER"/>
    <n v="7414000005"/>
  </r>
  <r>
    <x v="248"/>
    <s v="BANCO SANTANDER (MEXICO) FIDEICOMISO F/100671-0"/>
    <x v="27"/>
    <s v="NORMAL"/>
    <s v="MXN"/>
    <n v="2110"/>
    <n v="94.973146999999997"/>
    <n v="200393.34017000001"/>
    <n v="89.777631726350705"/>
    <n v="10962.5372274"/>
    <n v="0"/>
    <n v="0"/>
    <n v="0"/>
    <n v="0"/>
    <n v="2110"/>
    <n v="200393.34017000001"/>
    <s v="EPER"/>
    <n v="7414000005"/>
  </r>
  <r>
    <x v="248"/>
    <s v="BANCO SANTANDER (MEXICO) FIDEICOMISO F/100671-0"/>
    <x v="28"/>
    <s v="NORMAL"/>
    <s v="MXN"/>
    <n v="7269"/>
    <n v="91.911821000000003"/>
    <n v="668107.02684900002"/>
    <n v="93.2088459"/>
    <n v="-9428.0739981000006"/>
    <n v="0"/>
    <n v="0"/>
    <n v="0"/>
    <n v="0"/>
    <n v="7269"/>
    <n v="668107.02684900002"/>
    <s v="EPER"/>
    <n v="7414000005"/>
  </r>
  <r>
    <x v="248"/>
    <s v="BANCO SANTANDER (MEXICO) FIDEICOMISO F/100671-0"/>
    <x v="29"/>
    <s v="NORMAL"/>
    <s v="MXN"/>
    <n v="3730"/>
    <n v="92.954503000000003"/>
    <n v="346720.29619000002"/>
    <n v="93.327063799731903"/>
    <n v="-1389.651783"/>
    <n v="0"/>
    <n v="0"/>
    <n v="0"/>
    <n v="0"/>
    <n v="3730"/>
    <n v="346720.29619000002"/>
    <s v="EPER"/>
    <n v="7414000005"/>
  </r>
  <r>
    <x v="248"/>
    <s v="BANCO SANTANDER (MEXICO) FIDEICOMISO F/100671-0"/>
    <x v="30"/>
    <s v="NORMAL"/>
    <s v="MXN"/>
    <n v="3697"/>
    <n v="88.698122999999995"/>
    <n v="327916.960731"/>
    <n v="85.585960546770352"/>
    <n v="11505.66458959"/>
    <n v="0"/>
    <n v="0"/>
    <n v="0"/>
    <n v="0"/>
    <n v="3697"/>
    <n v="327916.960731"/>
    <s v="EPER"/>
    <n v="7414000005"/>
  </r>
  <r>
    <x v="248"/>
    <s v="BANCO SANTANDER (MEXICO) FIDEICOMISO F/100671-0"/>
    <x v="31"/>
    <s v="NORMAL"/>
    <s v="MXN"/>
    <n v="7820"/>
    <n v="93.314192000000006"/>
    <n v="729716.98144"/>
    <n v="98.883737046611259"/>
    <n v="-43553.842264500003"/>
    <n v="0"/>
    <n v="0"/>
    <n v="0"/>
    <n v="0"/>
    <n v="7820"/>
    <n v="729716.98144"/>
    <s v="EPER"/>
    <n v="7414000005"/>
  </r>
  <r>
    <x v="248"/>
    <s v="BANCO SANTANDER (MEXICO) FIDEICOMISO F/100671-0"/>
    <x v="32"/>
    <s v="NORMAL"/>
    <s v="MXN"/>
    <n v="6520"/>
    <n v="94.864168000000006"/>
    <n v="618514.37535999995"/>
    <n v="96.40582293817485"/>
    <n v="-10051.590196900001"/>
    <n v="0"/>
    <n v="0"/>
    <n v="0"/>
    <n v="0"/>
    <n v="6520"/>
    <n v="618514.37535999995"/>
    <s v="EPER"/>
    <n v="7414000005"/>
  </r>
  <r>
    <x v="248"/>
    <s v="BANCO SANTANDER (MEXICO) FIDEICOMISO F/100671-0"/>
    <x v="33"/>
    <s v="NORMAL"/>
    <s v="MXN"/>
    <n v="24003"/>
    <n v="94.870157000000006"/>
    <n v="2277168.3784710001"/>
    <n v="96.986671955228928"/>
    <n v="-50802.708470359998"/>
    <n v="0"/>
    <n v="0"/>
    <n v="0"/>
    <n v="0"/>
    <n v="24003"/>
    <n v="2277168.3784710001"/>
    <s v="EPER"/>
    <n v="7414000005"/>
  </r>
  <r>
    <x v="248"/>
    <s v="BANCO SANTANDER (MEXICO) FIDEICOMISO F/100671-0"/>
    <x v="34"/>
    <s v="NORMAL"/>
    <s v="MXN"/>
    <n v="7354"/>
    <n v="89.489464999999996"/>
    <n v="658105.52561000001"/>
    <n v="90.569192235050309"/>
    <n v="-7940.3140865599999"/>
    <n v="0"/>
    <n v="0"/>
    <n v="0"/>
    <n v="0"/>
    <n v="7354"/>
    <n v="658105.52561000001"/>
    <s v="EPER"/>
    <n v="7414000005"/>
  </r>
  <r>
    <x v="248"/>
    <s v="BANCO SANTANDER (MEXICO) FIDEICOMISO F/100671-0"/>
    <x v="35"/>
    <s v="NORMAL"/>
    <s v="MXN"/>
    <n v="18137"/>
    <n v="86.197128000000006"/>
    <n v="1563357.3105359999"/>
    <n v="89.584872272594694"/>
    <n v="-61443.517872049997"/>
    <n v="0"/>
    <n v="0"/>
    <n v="0"/>
    <n v="0"/>
    <n v="18137"/>
    <n v="1563357.3105359999"/>
    <s v="EPER"/>
    <n v="7414000005"/>
  </r>
  <r>
    <x v="248"/>
    <s v="BANCO SANTANDER (MEXICO) FIDEICOMISO F/100671-0"/>
    <x v="36"/>
    <s v="NORMAL"/>
    <s v="MXN"/>
    <n v="14719"/>
    <n v="86.469353999999996"/>
    <n v="1272742.4215259999"/>
    <n v="90.846223981571441"/>
    <n v="-64423.149258750003"/>
    <n v="0"/>
    <n v="0"/>
    <n v="0"/>
    <n v="0"/>
    <n v="14719"/>
    <n v="1272742.4215259999"/>
    <s v="EPER"/>
    <n v="7414000005"/>
  </r>
  <r>
    <x v="248"/>
    <s v="BANCO SANTANDER (MEXICO) FIDEICOMISO F/100671-0"/>
    <x v="68"/>
    <s v="NORMAL"/>
    <s v="MXN"/>
    <n v="543"/>
    <n v="89.643172000000007"/>
    <n v="48676.242396000001"/>
    <n v="108.47711812999999"/>
    <n v="-10226.832748590001"/>
    <n v="0"/>
    <n v="0"/>
    <n v="0"/>
    <n v="0"/>
    <n v="543"/>
    <n v="48676.242396000001"/>
    <s v="EPER"/>
    <n v="7414000005"/>
  </r>
  <r>
    <x v="248"/>
    <s v="BANCO SANTANDER (MEXICO) FIDEICOMISO F/100671-0"/>
    <x v="37"/>
    <s v="NORMAL"/>
    <s v="MXN"/>
    <n v="11957"/>
    <n v="81.738860000000003"/>
    <n v="977351.54902000003"/>
    <n v="86.357283414535416"/>
    <n v="-55222.4887676"/>
    <n v="0"/>
    <n v="0"/>
    <n v="0"/>
    <n v="0"/>
    <n v="11957"/>
    <n v="977351.54902000003"/>
    <s v="EPER"/>
    <n v="7414000005"/>
  </r>
  <r>
    <x v="248"/>
    <s v="BANCO SANTANDER (MEXICO) FIDEICOMISO F/100671-0"/>
    <x v="38"/>
    <s v="NORMAL"/>
    <s v="MXN"/>
    <n v="2220"/>
    <n v="83.200761"/>
    <n v="184705.68942000001"/>
    <n v="94.454636132162165"/>
    <n v="-24983.602793400001"/>
    <n v="0"/>
    <n v="0"/>
    <n v="0"/>
    <n v="0"/>
    <n v="2220"/>
    <n v="184705.68942000001"/>
    <s v="EPER"/>
    <n v="7414000005"/>
  </r>
  <r>
    <x v="248"/>
    <s v="BANCO SANTANDER (MEXICO) FIDEICOMISO F/100671-0"/>
    <x v="39"/>
    <s v="NORMAL"/>
    <s v="MXN"/>
    <n v="18260"/>
    <n v="82.159907000000004"/>
    <n v="1500239.90182"/>
    <n v="84.026505772606797"/>
    <n v="-34084.093587800002"/>
    <n v="0"/>
    <n v="0"/>
    <n v="0"/>
    <n v="0"/>
    <n v="18260"/>
    <n v="1500239.90182"/>
    <s v="EPER"/>
    <n v="7414000005"/>
  </r>
  <r>
    <x v="248"/>
    <s v="BANCO SANTANDER (MEXICO) FIDEICOMISO F/100671-0"/>
    <x v="42"/>
    <s v="NORMAL"/>
    <s v="MXN"/>
    <n v="389"/>
    <n v="8532.5"/>
    <n v="3319142.5"/>
    <n v="4613.7907969151674"/>
    <n v="1524377.88"/>
    <n v="0"/>
    <n v="0"/>
    <n v="0"/>
    <n v="0"/>
    <n v="389"/>
    <n v="3319142.5"/>
    <s v="EPER"/>
    <n v="7414000005"/>
  </r>
  <r>
    <x v="248"/>
    <s v="BANCO SANTANDER (MEXICO) FIDEICOMISO F/100671-0"/>
    <x v="88"/>
    <s v="NORMAL"/>
    <s v="MXN"/>
    <n v="16462"/>
    <n v="98.007834000000003"/>
    <n v="1613404.963308"/>
    <n v="89.770042304107648"/>
    <n v="135610.52689777999"/>
    <n v="0"/>
    <n v="0"/>
    <n v="0"/>
    <n v="0"/>
    <n v="16462"/>
    <n v="1613404.963308"/>
    <s v="EPER"/>
    <n v="7414000005"/>
  </r>
  <r>
    <x v="248"/>
    <s v="BANCO SANTANDER (MEXICO) FIDEICOMISO F/100671-0"/>
    <x v="49"/>
    <s v="NORMAL"/>
    <s v="MXN"/>
    <n v="1367"/>
    <n v="682.55"/>
    <n v="933045.85"/>
    <n v="848.0099122165326"/>
    <n v="-226183.7"/>
    <n v="0"/>
    <n v="0"/>
    <n v="0"/>
    <n v="0"/>
    <n v="1367"/>
    <n v="933045.85"/>
    <s v="EPER"/>
    <n v="7414000005"/>
  </r>
  <r>
    <x v="248"/>
    <s v="BANCO SANTANDER (MEXICO) FIDEICOMISO F/100671-0"/>
    <x v="89"/>
    <s v="NORMAL"/>
    <s v="MXN"/>
    <n v="2891290"/>
    <n v="3.1390400000000001"/>
    <n v="9075874.9616"/>
    <n v="2.3836754977881847"/>
    <n v="2183977.8316000002"/>
    <n v="0"/>
    <n v="0"/>
    <n v="0"/>
    <n v="0"/>
    <n v="2891290"/>
    <n v="9075874.9616"/>
    <s v="EPER"/>
    <n v="7414000005"/>
  </r>
  <r>
    <x v="248"/>
    <s v="BANCO SANTANDER (MEXICO) FIDEICOMISO F/100671-0"/>
    <x v="0"/>
    <s v="NORMAL"/>
    <s v="MXN"/>
    <n v="667038"/>
    <n v="3.3967719999999999"/>
    <n v="2265776.0013359999"/>
    <n v="3.297121963066572"/>
    <n v="66470.361336000002"/>
    <n v="0"/>
    <n v="0"/>
    <n v="0"/>
    <n v="0"/>
    <n v="667038"/>
    <n v="2265776.0013359999"/>
    <s v="EPER"/>
    <n v="7414000005"/>
  </r>
  <r>
    <x v="248"/>
    <s v="BANCO SANTANDER (MEXICO) FIDEICOMISO F/100671-0"/>
    <x v="51"/>
    <s v="NORMAL"/>
    <s v="MXN"/>
    <n v="1166"/>
    <n v="775.69178699999998"/>
    <n v="904456.62364200002"/>
    <n v="766.69784126000002"/>
    <n v="10486.940732839999"/>
    <n v="0"/>
    <n v="0"/>
    <n v="0"/>
    <n v="0"/>
    <n v="1166"/>
    <n v="904456.62364200002"/>
    <s v="EPER"/>
    <n v="7414000005"/>
  </r>
  <r>
    <x v="248"/>
    <s v="BANCO SANTANDER (MEXICO) FIDEICOMISO F/100671-0"/>
    <x v="52"/>
    <s v="NORMAL"/>
    <s v="MXN"/>
    <n v="2547"/>
    <n v="747.17843200000004"/>
    <n v="1903063.466304"/>
    <n v="723.88630513345117"/>
    <n v="59325.047129099999"/>
    <n v="0"/>
    <n v="0"/>
    <n v="0"/>
    <n v="0"/>
    <n v="2547"/>
    <n v="1903063.466304"/>
    <s v="EPER"/>
    <n v="7414000005"/>
  </r>
  <r>
    <x v="248"/>
    <s v="BANCO SANTANDER (MEXICO) FIDEICOMISO F/100671-0"/>
    <x v="53"/>
    <s v="NORMAL"/>
    <s v="MXN"/>
    <n v="863"/>
    <n v="765.92388300000005"/>
    <n v="660992.31102899997"/>
    <n v="751.72813221592116"/>
    <n v="12250.93292666"/>
    <n v="0"/>
    <n v="0"/>
    <n v="0"/>
    <n v="0"/>
    <n v="863"/>
    <n v="660992.31102899997"/>
    <s v="EPER"/>
    <n v="7414000005"/>
  </r>
  <r>
    <x v="248"/>
    <s v="BANCO SANTANDER (MEXICO) FIDEICOMISO F/100671-0"/>
    <x v="54"/>
    <s v="NORMAL"/>
    <s v="MXN"/>
    <n v="1460"/>
    <n v="684.88915799999995"/>
    <n v="999938.17067999998"/>
    <n v="680.55308054383556"/>
    <n v="6330.6730859999998"/>
    <n v="0"/>
    <n v="0"/>
    <n v="0"/>
    <n v="0"/>
    <n v="1460"/>
    <n v="999938.17067999998"/>
    <s v="EPER"/>
    <n v="7414000005"/>
  </r>
  <r>
    <x v="248"/>
    <s v="BANCO SANTANDER (MEXICO) FIDEICOMISO F/100671-0"/>
    <x v="55"/>
    <s v="NORMAL"/>
    <s v="MXN"/>
    <n v="859"/>
    <n v="772.926965"/>
    <n v="663944.26293500001"/>
    <n v="801.62103501598369"/>
    <n v="-24648.20614373"/>
    <n v="0"/>
    <n v="0"/>
    <n v="0"/>
    <n v="0"/>
    <n v="859"/>
    <n v="663944.26293500001"/>
    <s v="EPER"/>
    <n v="7414000005"/>
  </r>
  <r>
    <x v="248"/>
    <s v="BANCO SANTANDER (MEXICO) FIDEICOMISO F/100671-0"/>
    <x v="56"/>
    <s v="NORMAL"/>
    <s v="MXN"/>
    <n v="1076"/>
    <n v="721.59464000000003"/>
    <n v="776435.83264000004"/>
    <n v="756.87037317208183"/>
    <n v="-37956.688893159997"/>
    <n v="0"/>
    <n v="0"/>
    <n v="0"/>
    <n v="0"/>
    <n v="1076"/>
    <n v="776435.83264000004"/>
    <s v="EPER"/>
    <n v="7414000005"/>
  </r>
  <r>
    <x v="248"/>
    <s v="BANCO SANTANDER (MEXICO) FIDEICOMISO F/100671-0"/>
    <x v="57"/>
    <s v="NORMAL"/>
    <s v="MXN"/>
    <n v="485"/>
    <n v="635.96311900000001"/>
    <n v="308442.112715"/>
    <n v="647.93802047999998"/>
    <n v="-5807.8272177999997"/>
    <n v="0"/>
    <n v="0"/>
    <n v="0"/>
    <n v="0"/>
    <n v="485"/>
    <n v="308442.112715"/>
    <s v="EPER"/>
    <n v="7414000005"/>
  </r>
  <r>
    <x v="248"/>
    <s v="BANCO SANTANDER (MEXICO) FIDEICOMISO F/100671-0"/>
    <x v="58"/>
    <s v="NORMAL"/>
    <s v="MXN"/>
    <n v="1096"/>
    <n v="709.36974099999998"/>
    <n v="777469.23613600002"/>
    <n v="724.72356897511861"/>
    <n v="-16827.795460730002"/>
    <n v="0"/>
    <n v="0"/>
    <n v="0"/>
    <n v="0"/>
    <n v="1096"/>
    <n v="777469.23613600002"/>
    <s v="EPER"/>
    <n v="7414000005"/>
  </r>
  <r>
    <x v="248"/>
    <s v="BANCO SANTANDER (MEXICO) FIDEICOMISO F/100671-0"/>
    <x v="59"/>
    <s v="NORMAL"/>
    <s v="MXN"/>
    <n v="1970"/>
    <n v="694.41118700000004"/>
    <n v="1367990.0383899999"/>
    <n v="725.47381115552287"/>
    <n v="-61193.369586380002"/>
    <n v="0"/>
    <n v="0"/>
    <n v="0"/>
    <n v="0"/>
    <n v="1970"/>
    <n v="1367990.0383899999"/>
    <s v="EPER"/>
    <n v="7414000005"/>
  </r>
  <r>
    <x v="248"/>
    <s v="BANCO SANTANDER (MEXICO) FIDEICOMISO F/100671-0"/>
    <x v="61"/>
    <s v="NORMAL"/>
    <s v="MXN"/>
    <n v="820"/>
    <n v="1090"/>
    <n v="893800"/>
    <n v="1076.4355243902439"/>
    <n v="11122.87"/>
    <n v="0"/>
    <n v="0"/>
    <n v="0"/>
    <n v="0"/>
    <n v="820"/>
    <n v="893800"/>
    <s v="EPER"/>
    <n v="7414000005"/>
  </r>
  <r>
    <x v="249"/>
    <s v="BANCO SANTANDER (MEXICO) FIDEICOMISO F/100672-0"/>
    <x v="5"/>
    <s v="NORMAL"/>
    <s v="MXN"/>
    <n v="8"/>
    <n v="1786.5"/>
    <n v="14292"/>
    <n v="1448.2850000000001"/>
    <n v="2705.72"/>
    <n v="0"/>
    <n v="0"/>
    <n v="0"/>
    <n v="0"/>
    <n v="8"/>
    <n v="14292"/>
    <s v="EPER"/>
    <n v="7414000005"/>
  </r>
  <r>
    <x v="249"/>
    <s v="BANCO SANTANDER (MEXICO) FIDEICOMISO F/100672-0"/>
    <x v="85"/>
    <s v="NORMAL"/>
    <s v="MXN"/>
    <n v="1"/>
    <n v="97.654420999999999"/>
    <n v="97.654420999999999"/>
    <n v="98.224185000000006"/>
    <n v="-0.56976400000000005"/>
    <n v="0"/>
    <n v="0"/>
    <n v="0"/>
    <n v="0"/>
    <n v="1"/>
    <n v="97.654420999999999"/>
    <s v="EPER"/>
    <n v="7414000005"/>
  </r>
  <r>
    <x v="249"/>
    <s v="BANCO SANTANDER (MEXICO) FIDEICOMISO F/100672-0"/>
    <x v="86"/>
    <s v="NORMAL"/>
    <s v="MXN"/>
    <n v="150"/>
    <n v="9.4935880000000008"/>
    <n v="1424.0382"/>
    <n v="8.4405498100000003"/>
    <n v="157.95572849999999"/>
    <n v="0"/>
    <n v="0"/>
    <n v="0"/>
    <n v="0"/>
    <n v="150"/>
    <n v="1424.0382"/>
    <s v="EPER"/>
    <n v="7414000005"/>
  </r>
  <r>
    <x v="249"/>
    <s v="BANCO SANTANDER (MEXICO) FIDEICOMISO F/100672-0"/>
    <x v="72"/>
    <s v="NORMAL"/>
    <s v="MXN"/>
    <n v="240"/>
    <n v="9.3381629999999998"/>
    <n v="2241.1591199999998"/>
    <n v="8.3307969100000001"/>
    <n v="241.7678616"/>
    <n v="0"/>
    <n v="0"/>
    <n v="0"/>
    <n v="0"/>
    <n v="240"/>
    <n v="2241.1591199999998"/>
    <s v="EPER"/>
    <n v="7414000005"/>
  </r>
  <r>
    <x v="249"/>
    <s v="BANCO SANTANDER (MEXICO) FIDEICOMISO F/100672-0"/>
    <x v="26"/>
    <s v="NORMAL"/>
    <s v="MXN"/>
    <n v="9"/>
    <n v="98.730349000000004"/>
    <n v="888.57314099999996"/>
    <n v="100.35646306333334"/>
    <n v="-14.635026570000001"/>
    <n v="0"/>
    <n v="0"/>
    <n v="0"/>
    <n v="0"/>
    <n v="9"/>
    <n v="888.57314099999996"/>
    <s v="EPER"/>
    <n v="7414000005"/>
  </r>
  <r>
    <x v="249"/>
    <s v="BANCO SANTANDER (MEXICO) FIDEICOMISO F/100672-0"/>
    <x v="67"/>
    <s v="NORMAL"/>
    <s v="MXN"/>
    <n v="8"/>
    <n v="99.247497999999993"/>
    <n v="793.97998399999994"/>
    <n v="110.86146857"/>
    <n v="-92.911764559999995"/>
    <n v="0"/>
    <n v="0"/>
    <n v="0"/>
    <n v="0"/>
    <n v="8"/>
    <n v="793.97998399999994"/>
    <s v="EPER"/>
    <n v="7414000005"/>
  </r>
  <r>
    <x v="249"/>
    <s v="BANCO SANTANDER (MEXICO) FIDEICOMISO F/100672-0"/>
    <x v="28"/>
    <s v="NORMAL"/>
    <s v="MXN"/>
    <n v="1"/>
    <n v="91.911821000000003"/>
    <n v="91.911821000000003"/>
    <n v="103.18815141"/>
    <n v="-11.27633041"/>
    <n v="0"/>
    <n v="0"/>
    <n v="0"/>
    <n v="0"/>
    <n v="1"/>
    <n v="91.911821000000003"/>
    <s v="EPER"/>
    <n v="7414000005"/>
  </r>
  <r>
    <x v="249"/>
    <s v="BANCO SANTANDER (MEXICO) FIDEICOMISO F/100672-0"/>
    <x v="29"/>
    <s v="NORMAL"/>
    <s v="MXN"/>
    <n v="10"/>
    <n v="92.954503000000003"/>
    <n v="929.54503"/>
    <n v="93.400039239999998"/>
    <n v="-4.4553624000000003"/>
    <n v="0"/>
    <n v="0"/>
    <n v="0"/>
    <n v="0"/>
    <n v="10"/>
    <n v="929.54503"/>
    <s v="EPER"/>
    <n v="7414000005"/>
  </r>
  <r>
    <x v="249"/>
    <s v="BANCO SANTANDER (MEXICO) FIDEICOMISO F/100672-0"/>
    <x v="30"/>
    <s v="NORMAL"/>
    <s v="MXN"/>
    <n v="4"/>
    <n v="88.698122999999995"/>
    <n v="354.79249199999998"/>
    <n v="85.318791529999999"/>
    <n v="13.51732588"/>
    <n v="0"/>
    <n v="0"/>
    <n v="0"/>
    <n v="0"/>
    <n v="4"/>
    <n v="354.79249199999998"/>
    <s v="EPER"/>
    <n v="7414000005"/>
  </r>
  <r>
    <x v="249"/>
    <s v="BANCO SANTANDER (MEXICO) FIDEICOMISO F/100672-0"/>
    <x v="31"/>
    <s v="NORMAL"/>
    <s v="MXN"/>
    <n v="20"/>
    <n v="93.314192000000006"/>
    <n v="1866.2838400000001"/>
    <n v="95.22442762"/>
    <n v="-38.204712399999998"/>
    <n v="0"/>
    <n v="0"/>
    <n v="0"/>
    <n v="0"/>
    <n v="20"/>
    <n v="1866.2838400000001"/>
    <s v="EPER"/>
    <n v="7414000005"/>
  </r>
  <r>
    <x v="249"/>
    <s v="BANCO SANTANDER (MEXICO) FIDEICOMISO F/100672-0"/>
    <x v="32"/>
    <s v="NORMAL"/>
    <s v="MXN"/>
    <n v="10"/>
    <n v="94.864168000000006"/>
    <n v="948.64167999999995"/>
    <n v="96.263034200000007"/>
    <n v="-13.988662"/>
    <n v="0"/>
    <n v="0"/>
    <n v="0"/>
    <n v="0"/>
    <n v="10"/>
    <n v="948.64167999999995"/>
    <s v="EPER"/>
    <n v="7414000005"/>
  </r>
  <r>
    <x v="249"/>
    <s v="BANCO SANTANDER (MEXICO) FIDEICOMISO F/100672-0"/>
    <x v="33"/>
    <s v="NORMAL"/>
    <s v="MXN"/>
    <n v="32"/>
    <n v="94.870157000000006"/>
    <n v="3035.8450240000002"/>
    <n v="97.769921886874997"/>
    <n v="-92.792476379999997"/>
    <n v="0"/>
    <n v="0"/>
    <n v="0"/>
    <n v="0"/>
    <n v="32"/>
    <n v="3035.8450240000002"/>
    <s v="EPER"/>
    <n v="7414000005"/>
  </r>
  <r>
    <x v="249"/>
    <s v="BANCO SANTANDER (MEXICO) FIDEICOMISO F/100672-0"/>
    <x v="34"/>
    <s v="NORMAL"/>
    <s v="MXN"/>
    <n v="11"/>
    <n v="89.489464999999996"/>
    <n v="984.38411499999995"/>
    <n v="91.710125919090913"/>
    <n v="-24.427270109999998"/>
    <n v="0"/>
    <n v="0"/>
    <n v="0"/>
    <n v="0"/>
    <n v="11"/>
    <n v="984.38411499999995"/>
    <s v="EPER"/>
    <n v="7414000005"/>
  </r>
  <r>
    <x v="249"/>
    <s v="BANCO SANTANDER (MEXICO) FIDEICOMISO F/100672-0"/>
    <x v="35"/>
    <s v="NORMAL"/>
    <s v="MXN"/>
    <n v="45"/>
    <n v="86.197128000000006"/>
    <n v="3878.8707599999998"/>
    <n v="89.62975480555555"/>
    <n v="-154.46820625000001"/>
    <n v="0"/>
    <n v="0"/>
    <n v="0"/>
    <n v="0"/>
    <n v="45"/>
    <n v="3878.8707599999998"/>
    <s v="EPER"/>
    <n v="7414000005"/>
  </r>
  <r>
    <x v="249"/>
    <s v="BANCO SANTANDER (MEXICO) FIDEICOMISO F/100672-0"/>
    <x v="36"/>
    <s v="NORMAL"/>
    <s v="MXN"/>
    <n v="14"/>
    <n v="86.469353999999996"/>
    <n v="1210.570956"/>
    <n v="91.488263128571433"/>
    <n v="-70.264727800000003"/>
    <n v="0"/>
    <n v="0"/>
    <n v="0"/>
    <n v="0"/>
    <n v="14"/>
    <n v="1210.570956"/>
    <s v="EPER"/>
    <n v="7414000005"/>
  </r>
  <r>
    <x v="249"/>
    <s v="BANCO SANTANDER (MEXICO) FIDEICOMISO F/100672-0"/>
    <x v="81"/>
    <s v="NORMAL"/>
    <s v="MXN"/>
    <n v="3"/>
    <n v="101.45096599999999"/>
    <n v="304.35289799999998"/>
    <n v="114.11447106"/>
    <n v="-37.990515180000003"/>
    <n v="0"/>
    <n v="0"/>
    <n v="0"/>
    <n v="0"/>
    <n v="3"/>
    <n v="304.35289799999998"/>
    <s v="EPER"/>
    <n v="7414000005"/>
  </r>
  <r>
    <x v="249"/>
    <s v="BANCO SANTANDER (MEXICO) FIDEICOMISO F/100672-0"/>
    <x v="37"/>
    <s v="NORMAL"/>
    <s v="MXN"/>
    <n v="32"/>
    <n v="81.738860000000003"/>
    <n v="2615.6435200000001"/>
    <n v="86.467200957499998"/>
    <n v="-151.30691064000001"/>
    <n v="0"/>
    <n v="0"/>
    <n v="0"/>
    <n v="0"/>
    <n v="32"/>
    <n v="2615.6435200000001"/>
    <s v="EPER"/>
    <n v="7414000005"/>
  </r>
  <r>
    <x v="249"/>
    <s v="BANCO SANTANDER (MEXICO) FIDEICOMISO F/100672-0"/>
    <x v="38"/>
    <s v="NORMAL"/>
    <s v="MXN"/>
    <n v="2"/>
    <n v="83.200761"/>
    <n v="166.401522"/>
    <n v="89.305669589999994"/>
    <n v="-12.20981718"/>
    <n v="0"/>
    <n v="0"/>
    <n v="0"/>
    <n v="0"/>
    <n v="2"/>
    <n v="166.401522"/>
    <s v="EPER"/>
    <n v="7414000005"/>
  </r>
  <r>
    <x v="249"/>
    <s v="BANCO SANTANDER (MEXICO) FIDEICOMISO F/100672-0"/>
    <x v="39"/>
    <s v="NORMAL"/>
    <s v="MXN"/>
    <n v="2"/>
    <n v="82.159907000000004"/>
    <n v="164.31981400000001"/>
    <n v="82.790352400000003"/>
    <n v="-1.2608908000000001"/>
    <n v="0"/>
    <n v="0"/>
    <n v="0"/>
    <n v="0"/>
    <n v="2"/>
    <n v="164.31981400000001"/>
    <s v="EPER"/>
    <n v="7414000005"/>
  </r>
  <r>
    <x v="249"/>
    <s v="BANCO SANTANDER (MEXICO) FIDEICOMISO F/100672-0"/>
    <x v="89"/>
    <s v="NORMAL"/>
    <s v="MXN"/>
    <n v="4870"/>
    <n v="3.1390400000000001"/>
    <n v="15287.1248"/>
    <n v="2.3371252566735112"/>
    <n v="3905.3247999999999"/>
    <n v="0"/>
    <n v="0"/>
    <n v="0"/>
    <n v="0"/>
    <n v="4870"/>
    <n v="15287.1248"/>
    <s v="EPER"/>
    <n v="7414000005"/>
  </r>
  <r>
    <x v="249"/>
    <s v="BANCO SANTANDER (MEXICO) FIDEICOMISO F/100672-0"/>
    <x v="0"/>
    <s v="NORMAL"/>
    <s v="MXN"/>
    <n v="4881"/>
    <n v="3.3967719999999999"/>
    <n v="16579.644132000001"/>
    <n v="3.2792337635730382"/>
    <n v="573.70413199999996"/>
    <n v="0"/>
    <n v="0"/>
    <n v="0"/>
    <n v="0"/>
    <n v="4881"/>
    <n v="16579.644132000001"/>
    <s v="EPER"/>
    <n v="7414000005"/>
  </r>
  <r>
    <x v="249"/>
    <s v="BANCO SANTANDER (MEXICO) FIDEICOMISO F/100672-0"/>
    <x v="51"/>
    <s v="NORMAL"/>
    <s v="MXN"/>
    <n v="2"/>
    <n v="775.69178699999998"/>
    <n v="1551.383574"/>
    <n v="766.69784126000002"/>
    <n v="17.987891479999998"/>
    <n v="0"/>
    <n v="0"/>
    <n v="0"/>
    <n v="0"/>
    <n v="2"/>
    <n v="1551.383574"/>
    <s v="EPER"/>
    <n v="7414000005"/>
  </r>
  <r>
    <x v="249"/>
    <s v="BANCO SANTANDER (MEXICO) FIDEICOMISO F/100672-0"/>
    <x v="52"/>
    <s v="NORMAL"/>
    <s v="MXN"/>
    <n v="1"/>
    <n v="747.17843200000004"/>
    <n v="747.17843200000004"/>
    <n v="730.99471579999999"/>
    <n v="16.183716199999999"/>
    <n v="0"/>
    <n v="0"/>
    <n v="0"/>
    <n v="0"/>
    <n v="1"/>
    <n v="747.17843200000004"/>
    <s v="EPER"/>
    <n v="7414000005"/>
  </r>
  <r>
    <x v="249"/>
    <s v="BANCO SANTANDER (MEXICO) FIDEICOMISO F/100672-0"/>
    <x v="54"/>
    <s v="NORMAL"/>
    <s v="MXN"/>
    <n v="1"/>
    <n v="684.88915799999995"/>
    <n v="684.88915799999995"/>
    <n v="674.82119490000002"/>
    <n v="10.0679631"/>
    <n v="0"/>
    <n v="0"/>
    <n v="0"/>
    <n v="0"/>
    <n v="1"/>
    <n v="684.88915799999995"/>
    <s v="EPER"/>
    <n v="7414000005"/>
  </r>
  <r>
    <x v="249"/>
    <s v="BANCO SANTANDER (MEXICO) FIDEICOMISO F/100672-0"/>
    <x v="55"/>
    <s v="NORMAL"/>
    <s v="MXN"/>
    <n v="1"/>
    <n v="772.926965"/>
    <n v="772.926965"/>
    <n v="798.93664675000002"/>
    <n v="-26.009681749999999"/>
    <n v="0"/>
    <n v="0"/>
    <n v="0"/>
    <n v="0"/>
    <n v="1"/>
    <n v="772.926965"/>
    <s v="EPER"/>
    <n v="7414000005"/>
  </r>
  <r>
    <x v="249"/>
    <s v="BANCO SANTANDER (MEXICO) FIDEICOMISO F/100672-0"/>
    <x v="56"/>
    <s v="NORMAL"/>
    <s v="MXN"/>
    <n v="2"/>
    <n v="721.59464000000003"/>
    <n v="1443.1892800000001"/>
    <n v="664.31076667000002"/>
    <n v="114.56774666"/>
    <n v="0"/>
    <n v="0"/>
    <n v="0"/>
    <n v="0"/>
    <n v="2"/>
    <n v="1443.1892800000001"/>
    <s v="EPER"/>
    <n v="7414000005"/>
  </r>
  <r>
    <x v="249"/>
    <s v="BANCO SANTANDER (MEXICO) FIDEICOMISO F/100672-0"/>
    <x v="58"/>
    <s v="NORMAL"/>
    <s v="MXN"/>
    <n v="1"/>
    <n v="709.36974099999998"/>
    <n v="709.36974099999998"/>
    <n v="724.63651936999997"/>
    <n v="-15.266778370000001"/>
    <n v="0"/>
    <n v="0"/>
    <n v="0"/>
    <n v="0"/>
    <n v="1"/>
    <n v="709.36974099999998"/>
    <s v="EPER"/>
    <n v="7414000005"/>
  </r>
  <r>
    <x v="249"/>
    <s v="BANCO SANTANDER (MEXICO) FIDEICOMISO F/100672-0"/>
    <x v="59"/>
    <s v="NORMAL"/>
    <s v="MXN"/>
    <n v="3"/>
    <n v="694.41118700000004"/>
    <n v="2083.233561"/>
    <n v="723.26483082666664"/>
    <n v="-86.560931479999994"/>
    <n v="0"/>
    <n v="0"/>
    <n v="0"/>
    <n v="0"/>
    <n v="3"/>
    <n v="2083.233561"/>
    <s v="EPER"/>
    <n v="7414000005"/>
  </r>
  <r>
    <x v="250"/>
    <s v="BANCO SANTANDER (MEXICO) FIDEICOMISO F/2112355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50"/>
    <s v="BANCO SANTANDER (MEXICO) FIDEICOMISO F/2112355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50"/>
    <s v="BANCO SANTANDER (MEXICO) FIDEICOMISO F/2112355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51"/>
    <s v="BANCO SANTANDER (MEXICO) FIDEICOMISO F/2112357-1"/>
    <x v="4"/>
    <s v="NORMAL"/>
    <s v="MXN"/>
    <n v="160"/>
    <n v="168.64"/>
    <n v="26982.400000000001"/>
    <n v="151.93293750000001"/>
    <n v="2673.13"/>
    <n v="0"/>
    <n v="0"/>
    <n v="0"/>
    <n v="0"/>
    <n v="160"/>
    <n v="26982.400000000001"/>
    <s v="EPER"/>
    <n v="7414000005"/>
  </r>
  <r>
    <x v="251"/>
    <s v="BANCO SANTANDER (MEXICO) FIDEICOMISO F/2112357-1"/>
    <x v="6"/>
    <s v="NORMAL"/>
    <s v="MXN"/>
    <n v="3870"/>
    <n v="12.48"/>
    <n v="48297.599999999999"/>
    <n v="11.507379844961241"/>
    <n v="3764.04"/>
    <n v="0"/>
    <n v="0"/>
    <n v="0"/>
    <n v="0"/>
    <n v="3870"/>
    <n v="48297.599999999999"/>
    <s v="EPER"/>
    <n v="7414000005"/>
  </r>
  <r>
    <x v="251"/>
    <s v="BANCO SANTANDER (MEXICO) FIDEICOMISO F/2112357-1"/>
    <x v="7"/>
    <s v="NORMAL"/>
    <s v="MXN"/>
    <n v="1070"/>
    <n v="73.37"/>
    <n v="78505.899999999994"/>
    <n v="61.213467289719624"/>
    <n v="13007.49"/>
    <n v="0"/>
    <n v="0"/>
    <n v="0"/>
    <n v="0"/>
    <n v="1070"/>
    <n v="78505.899999999994"/>
    <s v="EPER"/>
    <n v="7414000005"/>
  </r>
  <r>
    <x v="251"/>
    <s v="BANCO SANTANDER (MEXICO) FIDEICOMISO F/2112357-1"/>
    <x v="10"/>
    <s v="NORMAL"/>
    <s v="MXN"/>
    <n v="14690"/>
    <n v="15.12"/>
    <n v="222112.8"/>
    <n v="16.88830768550034"/>
    <n v="-25976.439900000001"/>
    <n v="0"/>
    <n v="0"/>
    <n v="0"/>
    <n v="0"/>
    <n v="14690"/>
    <n v="222112.8"/>
    <s v="EPER"/>
    <n v="7414000005"/>
  </r>
  <r>
    <x v="251"/>
    <s v="BANCO SANTANDER (MEXICO) FIDEICOMISO F/2112357-1"/>
    <x v="11"/>
    <s v="NORMAL"/>
    <s v="MXN"/>
    <n v="190"/>
    <n v="525.09"/>
    <n v="99767.1"/>
    <n v="517.22252631578942"/>
    <n v="1494.82"/>
    <n v="0"/>
    <n v="0"/>
    <n v="0"/>
    <n v="0"/>
    <n v="190"/>
    <n v="99767.1"/>
    <s v="EPER"/>
    <n v="7414000005"/>
  </r>
  <r>
    <x v="251"/>
    <s v="BANCO SANTANDER (MEXICO) FIDEICOMISO F/2112357-1"/>
    <x v="12"/>
    <s v="NORMAL"/>
    <s v="MXN"/>
    <n v="520"/>
    <n v="68.25"/>
    <n v="35490"/>
    <n v="79.080423076923083"/>
    <n v="-5631.82"/>
    <n v="0"/>
    <n v="0"/>
    <n v="0"/>
    <n v="0"/>
    <n v="520"/>
    <n v="35490"/>
    <s v="EPER"/>
    <n v="7414000005"/>
  </r>
  <r>
    <x v="251"/>
    <s v="BANCO SANTANDER (MEXICO) FIDEICOMISO F/2112357-1"/>
    <x v="14"/>
    <s v="NORMAL"/>
    <s v="MXN"/>
    <n v="13160"/>
    <n v="14.33"/>
    <n v="188582.8"/>
    <n v="11.973391337386019"/>
    <n v="31012.97"/>
    <n v="0"/>
    <n v="0"/>
    <n v="0"/>
    <n v="0"/>
    <n v="13160"/>
    <n v="188582.8"/>
    <s v="EPER"/>
    <n v="7414000005"/>
  </r>
  <r>
    <x v="251"/>
    <s v="BANCO SANTANDER (MEXICO) FIDEICOMISO F/2112357-1"/>
    <x v="72"/>
    <s v="NORMAL"/>
    <s v="MXN"/>
    <n v="92910"/>
    <n v="9.3381629999999998"/>
    <n v="867608.72433"/>
    <n v="8.3307969100000001"/>
    <n v="93594.383421899998"/>
    <n v="0"/>
    <n v="0"/>
    <n v="0"/>
    <n v="0"/>
    <n v="92910"/>
    <n v="867608.72433"/>
    <s v="EPER"/>
    <n v="7414000005"/>
  </r>
  <r>
    <x v="251"/>
    <s v="BANCO SANTANDER (MEXICO) FIDEICOMISO F/2112357-1"/>
    <x v="21"/>
    <s v="NORMAL"/>
    <s v="MXN"/>
    <n v="80"/>
    <n v="271.94"/>
    <n v="21755.200000000001"/>
    <n v="308.26662499999998"/>
    <n v="-2906.13"/>
    <n v="0"/>
    <n v="0"/>
    <n v="0"/>
    <n v="0"/>
    <n v="80"/>
    <n v="21755.200000000001"/>
    <s v="EPER"/>
    <n v="7414000005"/>
  </r>
  <r>
    <x v="251"/>
    <s v="BANCO SANTANDER (MEXICO) FIDEICOMISO F/2112357-1"/>
    <x v="22"/>
    <s v="NORMAL"/>
    <s v="MXN"/>
    <n v="510"/>
    <n v="193.15"/>
    <n v="98506.5"/>
    <n v="155.03731372549021"/>
    <n v="19437.47"/>
    <n v="0"/>
    <n v="0"/>
    <n v="0"/>
    <n v="0"/>
    <n v="510"/>
    <n v="98506.5"/>
    <s v="EPER"/>
    <n v="7414000005"/>
  </r>
  <r>
    <x v="251"/>
    <s v="BANCO SANTANDER (MEXICO) FIDEICOMISO F/2112357-1"/>
    <x v="23"/>
    <s v="NORMAL"/>
    <s v="MXN"/>
    <n v="2280"/>
    <n v="27.12"/>
    <n v="61833.599999999999"/>
    <n v="19.816337719298247"/>
    <n v="16652.349999999999"/>
    <n v="0"/>
    <n v="0"/>
    <n v="0"/>
    <n v="0"/>
    <n v="2280"/>
    <n v="61833.599999999999"/>
    <s v="EPER"/>
    <n v="7414000005"/>
  </r>
  <r>
    <x v="251"/>
    <s v="BANCO SANTANDER (MEXICO) FIDEICOMISO F/2112357-1"/>
    <x v="24"/>
    <s v="NORMAL"/>
    <s v="MXN"/>
    <n v="1700"/>
    <n v="176.44"/>
    <n v="299948"/>
    <n v="149.10319411764706"/>
    <n v="46472.57"/>
    <n v="0"/>
    <n v="0"/>
    <n v="0"/>
    <n v="0"/>
    <n v="1700"/>
    <n v="299948"/>
    <s v="EPER"/>
    <n v="7414000005"/>
  </r>
  <r>
    <x v="251"/>
    <s v="BANCO SANTANDER (MEXICO) FIDEICOMISO F/2112357-1"/>
    <x v="25"/>
    <s v="NORMAL"/>
    <s v="MXN"/>
    <n v="2140"/>
    <n v="104.12"/>
    <n v="222816.8"/>
    <n v="82.153672897196259"/>
    <n v="47007.94"/>
    <n v="0"/>
    <n v="0"/>
    <n v="0"/>
    <n v="0"/>
    <n v="2140"/>
    <n v="222816.8"/>
    <s v="EPER"/>
    <n v="7414000005"/>
  </r>
  <r>
    <x v="251"/>
    <s v="BANCO SANTANDER (MEXICO) FIDEICOMISO F/2112357-1"/>
    <x v="26"/>
    <s v="NORMAL"/>
    <s v="MXN"/>
    <n v="4990"/>
    <n v="98.730349000000004"/>
    <n v="492664.44150999998"/>
    <n v="107.55063955478958"/>
    <n v="-44013.249868400002"/>
    <n v="0"/>
    <n v="0"/>
    <n v="0"/>
    <n v="0"/>
    <n v="4990"/>
    <n v="492664.44150999998"/>
    <s v="EPER"/>
    <n v="7414000005"/>
  </r>
  <r>
    <x v="251"/>
    <s v="BANCO SANTANDER (MEXICO) FIDEICOMISO F/2112357-1"/>
    <x v="67"/>
    <s v="NORMAL"/>
    <s v="MXN"/>
    <n v="1321"/>
    <n v="99.247497999999993"/>
    <n v="131105.944858"/>
    <n v="28.061871944776684"/>
    <n v="168175.67769705001"/>
    <n v="0"/>
    <n v="0"/>
    <n v="0"/>
    <n v="0"/>
    <n v="1321"/>
    <n v="131105.944858"/>
    <s v="EPER"/>
    <n v="7414000005"/>
  </r>
  <r>
    <x v="251"/>
    <s v="BANCO SANTANDER (MEXICO) FIDEICOMISO F/2112357-1"/>
    <x v="27"/>
    <s v="NORMAL"/>
    <s v="MXN"/>
    <n v="5320"/>
    <n v="94.973146999999997"/>
    <n v="505257.14204000001"/>
    <n v="89.982256403590227"/>
    <n v="26551.537972900001"/>
    <n v="0"/>
    <n v="0"/>
    <n v="0"/>
    <n v="0"/>
    <n v="5320"/>
    <n v="505257.14204000001"/>
    <s v="EPER"/>
    <n v="7414000005"/>
  </r>
  <r>
    <x v="251"/>
    <s v="BANCO SANTANDER (MEXICO) FIDEICOMISO F/2112357-1"/>
    <x v="28"/>
    <s v="NORMAL"/>
    <s v="MXN"/>
    <n v="3051"/>
    <n v="91.911821000000003"/>
    <n v="280422.96587100002"/>
    <n v="93.2088459"/>
    <n v="-3957.2229699"/>
    <n v="0"/>
    <n v="0"/>
    <n v="0"/>
    <n v="0"/>
    <n v="3051"/>
    <n v="280422.96587100002"/>
    <s v="EPER"/>
    <n v="7414000005"/>
  </r>
  <r>
    <x v="251"/>
    <s v="BANCO SANTANDER (MEXICO) FIDEICOMISO F/2112357-1"/>
    <x v="30"/>
    <s v="NORMAL"/>
    <s v="MXN"/>
    <n v="5564"/>
    <n v="88.698122999999995"/>
    <n v="493516.35637200001"/>
    <n v="88.428377748727527"/>
    <n v="1500.86257808"/>
    <n v="0"/>
    <n v="0"/>
    <n v="0"/>
    <n v="0"/>
    <n v="5564"/>
    <n v="493516.35637200001"/>
    <s v="EPER"/>
    <n v="7414000005"/>
  </r>
  <r>
    <x v="251"/>
    <s v="BANCO SANTANDER (MEXICO) FIDEICOMISO F/2112357-1"/>
    <x v="31"/>
    <s v="NORMAL"/>
    <s v="MXN"/>
    <n v="3909"/>
    <n v="93.314192000000006"/>
    <n v="364765.17652799998"/>
    <n v="100.18644899711691"/>
    <n v="-26863.652601729998"/>
    <n v="0"/>
    <n v="0"/>
    <n v="0"/>
    <n v="0"/>
    <n v="3909"/>
    <n v="364765.17652799998"/>
    <s v="EPER"/>
    <n v="7414000005"/>
  </r>
  <r>
    <x v="251"/>
    <s v="BANCO SANTANDER (MEXICO) FIDEICOMISO F/2112357-1"/>
    <x v="33"/>
    <s v="NORMAL"/>
    <s v="MXN"/>
    <n v="14699"/>
    <n v="94.870157000000006"/>
    <n v="1394496.437743"/>
    <n v="97.301623267432475"/>
    <n v="-35740.122664989998"/>
    <n v="0"/>
    <n v="0"/>
    <n v="0"/>
    <n v="0"/>
    <n v="14699"/>
    <n v="1394496.437743"/>
    <s v="EPER"/>
    <n v="7414000005"/>
  </r>
  <r>
    <x v="251"/>
    <s v="BANCO SANTANDER (MEXICO) FIDEICOMISO F/2112357-1"/>
    <x v="34"/>
    <s v="NORMAL"/>
    <s v="MXN"/>
    <n v="67"/>
    <n v="89.489464999999996"/>
    <n v="5995.7941549999996"/>
    <n v="140.25098242149252"/>
    <n v="15392.609977239999"/>
    <n v="0"/>
    <n v="0"/>
    <n v="0"/>
    <n v="0"/>
    <n v="67"/>
    <n v="5995.7941549999996"/>
    <s v="EPER"/>
    <n v="7414000005"/>
  </r>
  <r>
    <x v="251"/>
    <s v="BANCO SANTANDER (MEXICO) FIDEICOMISO F/2112357-1"/>
    <x v="35"/>
    <s v="NORMAL"/>
    <s v="MXN"/>
    <n v="8610"/>
    <n v="86.197128000000006"/>
    <n v="742157.27208000002"/>
    <n v="90.244415667770028"/>
    <n v="-34847.146819499998"/>
    <n v="0"/>
    <n v="0"/>
    <n v="0"/>
    <n v="0"/>
    <n v="8610"/>
    <n v="742157.27208000002"/>
    <s v="EPER"/>
    <n v="7414000005"/>
  </r>
  <r>
    <x v="251"/>
    <s v="BANCO SANTANDER (MEXICO) FIDEICOMISO F/2112357-1"/>
    <x v="36"/>
    <s v="NORMAL"/>
    <s v="MXN"/>
    <n v="11652"/>
    <n v="86.469353999999996"/>
    <n v="1007540.912808"/>
    <n v="91.173060342068311"/>
    <n v="-54807.586297779999"/>
    <n v="0"/>
    <n v="0"/>
    <n v="0"/>
    <n v="0"/>
    <n v="11652"/>
    <n v="1007540.912808"/>
    <s v="EPER"/>
    <n v="7414000005"/>
  </r>
  <r>
    <x v="251"/>
    <s v="BANCO SANTANDER (MEXICO) FIDEICOMISO F/2112357-1"/>
    <x v="81"/>
    <s v="NORMAL"/>
    <s v="MXN"/>
    <n v="411"/>
    <n v="101.45096599999999"/>
    <n v="41696.347026000003"/>
    <n v="114.11447106"/>
    <n v="-5204.7005796599997"/>
    <n v="0"/>
    <n v="0"/>
    <n v="0"/>
    <n v="0"/>
    <n v="411"/>
    <n v="41696.347026000003"/>
    <s v="EPER"/>
    <n v="7414000005"/>
  </r>
  <r>
    <x v="251"/>
    <s v="BANCO SANTANDER (MEXICO) FIDEICOMISO F/2112357-1"/>
    <x v="68"/>
    <s v="NORMAL"/>
    <s v="MXN"/>
    <n v="327"/>
    <n v="89.643172000000007"/>
    <n v="29313.317244000002"/>
    <n v="108.47711812999999"/>
    <n v="-6158.7003845099998"/>
    <n v="0"/>
    <n v="0"/>
    <n v="0"/>
    <n v="0"/>
    <n v="327"/>
    <n v="29313.317244000002"/>
    <s v="EPER"/>
    <n v="7414000005"/>
  </r>
  <r>
    <x v="251"/>
    <s v="BANCO SANTANDER (MEXICO) FIDEICOMISO F/2112357-1"/>
    <x v="37"/>
    <s v="NORMAL"/>
    <s v="MXN"/>
    <n v="8295"/>
    <n v="81.738860000000003"/>
    <n v="678023.84369999997"/>
    <n v="84.352152406641352"/>
    <n v="-21677.260513090001"/>
    <n v="0"/>
    <n v="0"/>
    <n v="0"/>
    <n v="0"/>
    <n v="8295"/>
    <n v="678023.84369999997"/>
    <s v="EPER"/>
    <n v="7414000005"/>
  </r>
  <r>
    <x v="251"/>
    <s v="BANCO SANTANDER (MEXICO) FIDEICOMISO F/2112357-1"/>
    <x v="38"/>
    <s v="NORMAL"/>
    <s v="MXN"/>
    <n v="1440"/>
    <n v="83.200761"/>
    <n v="119809.09583999999"/>
    <n v="96.799409990000001"/>
    <n v="-19582.0545456"/>
    <n v="0"/>
    <n v="0"/>
    <n v="0"/>
    <n v="0"/>
    <n v="1440"/>
    <n v="119809.09583999999"/>
    <s v="EPER"/>
    <n v="7414000005"/>
  </r>
  <r>
    <x v="251"/>
    <s v="BANCO SANTANDER (MEXICO) FIDEICOMISO F/2112357-1"/>
    <x v="39"/>
    <s v="NORMAL"/>
    <s v="MXN"/>
    <n v="794"/>
    <n v="82.159907000000004"/>
    <n v="65234.966158000003"/>
    <n v="88.605995219999997"/>
    <n v="-5118.1940466799997"/>
    <n v="0"/>
    <n v="0"/>
    <n v="0"/>
    <n v="0"/>
    <n v="794"/>
    <n v="65234.966158000003"/>
    <s v="EPER"/>
    <n v="7414000005"/>
  </r>
  <r>
    <x v="251"/>
    <s v="BANCO SANTANDER (MEXICO) FIDEICOMISO F/2112357-1"/>
    <x v="40"/>
    <s v="NORMAL"/>
    <s v="MXN"/>
    <n v="270"/>
    <n v="314.42"/>
    <n v="84893.4"/>
    <n v="265.38955555555555"/>
    <n v="13238.22"/>
    <n v="0"/>
    <n v="0"/>
    <n v="0"/>
    <n v="0"/>
    <n v="270"/>
    <n v="84893.4"/>
    <s v="EPER"/>
    <n v="7414000005"/>
  </r>
  <r>
    <x v="251"/>
    <s v="BANCO SANTANDER (MEXICO) FIDEICOMISO F/2112357-1"/>
    <x v="41"/>
    <s v="NORMAL"/>
    <s v="MXN"/>
    <n v="760"/>
    <n v="43.85"/>
    <n v="33326"/>
    <n v="39.786986842105264"/>
    <n v="3087.89"/>
    <n v="0"/>
    <n v="0"/>
    <n v="0"/>
    <n v="0"/>
    <n v="760"/>
    <n v="33326"/>
    <s v="EPER"/>
    <n v="7414000005"/>
  </r>
  <r>
    <x v="251"/>
    <s v="BANCO SANTANDER (MEXICO) FIDEICOMISO F/2112357-1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251"/>
    <s v="BANCO SANTANDER (MEXICO) FIDEICOMISO F/2112357-1"/>
    <x v="44"/>
    <s v="NORMAL"/>
    <s v="MXN"/>
    <n v="810"/>
    <n v="36.28"/>
    <n v="29386.799999999999"/>
    <n v="38.549444444444447"/>
    <n v="-1838.25"/>
    <n v="0"/>
    <n v="0"/>
    <n v="0"/>
    <n v="0"/>
    <n v="810"/>
    <n v="29386.799999999999"/>
    <s v="EPER"/>
    <n v="7414000005"/>
  </r>
  <r>
    <x v="251"/>
    <s v="BANCO SANTANDER (MEXICO) FIDEICOMISO F/2112357-1"/>
    <x v="45"/>
    <s v="NORMAL"/>
    <s v="MXN"/>
    <n v="280"/>
    <n v="136.35"/>
    <n v="38178"/>
    <n v="125.99514285714285"/>
    <n v="2899.36"/>
    <n v="0"/>
    <n v="0"/>
    <n v="0"/>
    <n v="0"/>
    <n v="280"/>
    <n v="38178"/>
    <s v="EPER"/>
    <n v="7414000005"/>
  </r>
  <r>
    <x v="251"/>
    <s v="BANCO SANTANDER (MEXICO) FIDEICOMISO F/2112357-1"/>
    <x v="47"/>
    <s v="NORMAL"/>
    <s v="MXN"/>
    <n v="5100"/>
    <n v="2.95"/>
    <n v="15045"/>
    <n v="4.4892352941176474"/>
    <n v="-7850.1"/>
    <n v="0"/>
    <n v="0"/>
    <n v="0"/>
    <n v="0"/>
    <n v="5100"/>
    <n v="15045"/>
    <s v="EPER"/>
    <n v="7414000005"/>
  </r>
  <r>
    <x v="251"/>
    <s v="BANCO SANTANDER (MEXICO) FIDEICOMISO F/2112357-1"/>
    <x v="88"/>
    <s v="NORMAL"/>
    <s v="MXN"/>
    <n v="4205"/>
    <n v="98.007834000000003"/>
    <n v="412122.94196999999"/>
    <n v="91.982023083876342"/>
    <n v="25338.534902300002"/>
    <n v="0"/>
    <n v="0"/>
    <n v="0"/>
    <n v="0"/>
    <n v="4205"/>
    <n v="412122.94196999999"/>
    <s v="EPER"/>
    <n v="7414000005"/>
  </r>
  <r>
    <x v="251"/>
    <s v="BANCO SANTANDER (MEXICO) FIDEICOMISO F/2112357-1"/>
    <x v="48"/>
    <s v="NORMAL"/>
    <s v="MXN"/>
    <n v="450"/>
    <n v="156"/>
    <n v="70200"/>
    <n v="144.7482"/>
    <n v="5063.3100000000004"/>
    <n v="0"/>
    <n v="0"/>
    <n v="0"/>
    <n v="0"/>
    <n v="450"/>
    <n v="70200"/>
    <s v="EPER"/>
    <n v="7414000005"/>
  </r>
  <r>
    <x v="251"/>
    <s v="BANCO SANTANDER (MEXICO) FIDEICOMISO F/2112357-1"/>
    <x v="130"/>
    <s v="NORMAL"/>
    <s v="MXN"/>
    <n v="780000"/>
    <n v="4.5848760000000004"/>
    <n v="3576203.28"/>
    <n v="4.0790305"/>
    <n v="394559.49"/>
    <n v="0"/>
    <n v="0"/>
    <n v="0"/>
    <n v="0"/>
    <n v="780000"/>
    <n v="3576203.28"/>
    <s v="EPER"/>
    <n v="7414000005"/>
  </r>
  <r>
    <x v="251"/>
    <s v="BANCO SANTANDER (MEXICO) FIDEICOMISO F/2112357-1"/>
    <x v="0"/>
    <s v="NORMAL"/>
    <s v="MXN"/>
    <n v="3174398"/>
    <n v="3.3967719999999999"/>
    <n v="10782706.243256001"/>
    <n v="3.2194642637753677"/>
    <n v="562845.32325599995"/>
    <n v="0"/>
    <n v="0"/>
    <n v="0"/>
    <n v="0"/>
    <n v="3174398"/>
    <n v="10782706.243256001"/>
    <s v="EPER"/>
    <n v="7414000005"/>
  </r>
  <r>
    <x v="251"/>
    <s v="BANCO SANTANDER (MEXICO) FIDEICOMISO F/2112357-1"/>
    <x v="50"/>
    <s v="NORMAL"/>
    <s v="MXN"/>
    <n v="1180"/>
    <n v="31.41"/>
    <n v="37063.800000000003"/>
    <n v="32.790262711864408"/>
    <n v="-1628.71"/>
    <n v="0"/>
    <n v="0"/>
    <n v="0"/>
    <n v="0"/>
    <n v="1180"/>
    <n v="37063.800000000003"/>
    <s v="EPER"/>
    <n v="7414000005"/>
  </r>
  <r>
    <x v="251"/>
    <s v="BANCO SANTANDER (MEXICO) FIDEICOMISO F/2112357-1"/>
    <x v="51"/>
    <s v="NORMAL"/>
    <s v="MXN"/>
    <n v="97"/>
    <n v="775.69178699999998"/>
    <n v="75242.103338999994"/>
    <n v="728.26654728000005"/>
    <n v="4600.2482528399996"/>
    <n v="0"/>
    <n v="0"/>
    <n v="0"/>
    <n v="0"/>
    <n v="97"/>
    <n v="75242.103338999994"/>
    <s v="EPER"/>
    <n v="7414000005"/>
  </r>
  <r>
    <x v="251"/>
    <s v="BANCO SANTANDER (MEXICO) FIDEICOMISO F/2112357-1"/>
    <x v="52"/>
    <s v="NORMAL"/>
    <s v="MXN"/>
    <n v="650"/>
    <n v="747.17843200000004"/>
    <n v="485665.98080000002"/>
    <n v="709.71028535646155"/>
    <n v="24354.295318299999"/>
    <n v="0"/>
    <n v="0"/>
    <n v="0"/>
    <n v="0"/>
    <n v="650"/>
    <n v="485665.98080000002"/>
    <s v="EPER"/>
    <n v="7414000005"/>
  </r>
  <r>
    <x v="251"/>
    <s v="BANCO SANTANDER (MEXICO) FIDEICOMISO F/2112357-1"/>
    <x v="53"/>
    <s v="NORMAL"/>
    <s v="MXN"/>
    <n v="328"/>
    <n v="765.92388300000005"/>
    <n v="251223.033624"/>
    <n v="769.82142402981708"/>
    <n v="-1278.3934577800001"/>
    <n v="0"/>
    <n v="0"/>
    <n v="0"/>
    <n v="0"/>
    <n v="328"/>
    <n v="251223.033624"/>
    <s v="EPER"/>
    <n v="7414000005"/>
  </r>
  <r>
    <x v="251"/>
    <s v="BANCO SANTANDER (MEXICO) FIDEICOMISO F/2112357-1"/>
    <x v="54"/>
    <s v="NORMAL"/>
    <s v="MXN"/>
    <n v="208"/>
    <n v="684.88915799999995"/>
    <n v="142456.94486399999"/>
    <n v="674.82119490000002"/>
    <n v="2094.1363247999998"/>
    <n v="0"/>
    <n v="0"/>
    <n v="0"/>
    <n v="0"/>
    <n v="208"/>
    <n v="142456.94486399999"/>
    <s v="EPER"/>
    <n v="7414000005"/>
  </r>
  <r>
    <x v="251"/>
    <s v="BANCO SANTANDER (MEXICO) FIDEICOMISO F/2112357-1"/>
    <x v="55"/>
    <s v="NORMAL"/>
    <s v="MXN"/>
    <n v="206"/>
    <n v="772.926965"/>
    <n v="159222.95478999999"/>
    <n v="798.93664675000002"/>
    <n v="-5357.9944404999997"/>
    <n v="0"/>
    <n v="0"/>
    <n v="0"/>
    <n v="0"/>
    <n v="206"/>
    <n v="159222.95478999999"/>
    <s v="EPER"/>
    <n v="7414000005"/>
  </r>
  <r>
    <x v="251"/>
    <s v="BANCO SANTANDER (MEXICO) FIDEICOMISO F/2112357-1"/>
    <x v="56"/>
    <s v="NORMAL"/>
    <s v="MXN"/>
    <n v="92"/>
    <n v="721.59464000000003"/>
    <n v="66386.706879999998"/>
    <n v="604.35270151641305"/>
    <n v="10786.25834049"/>
    <n v="0"/>
    <n v="0"/>
    <n v="0"/>
    <n v="0"/>
    <n v="92"/>
    <n v="66386.706879999998"/>
    <s v="EPER"/>
    <n v="7414000005"/>
  </r>
  <r>
    <x v="251"/>
    <s v="BANCO SANTANDER (MEXICO) FIDEICOMISO F/2112357-1"/>
    <x v="58"/>
    <s v="NORMAL"/>
    <s v="MXN"/>
    <n v="203"/>
    <n v="709.36974099999998"/>
    <n v="144002.05742299999"/>
    <n v="697.59365855901478"/>
    <n v="2390.5447355199999"/>
    <n v="0"/>
    <n v="0"/>
    <n v="0"/>
    <n v="0"/>
    <n v="203"/>
    <n v="144002.05742299999"/>
    <s v="EPER"/>
    <n v="7414000005"/>
  </r>
  <r>
    <x v="251"/>
    <s v="BANCO SANTANDER (MEXICO) FIDEICOMISO F/2112357-1"/>
    <x v="60"/>
    <s v="NORMAL"/>
    <s v="MXN"/>
    <n v="1930"/>
    <n v="58.67"/>
    <n v="113233.1"/>
    <n v="51.220227979274611"/>
    <n v="14378.06"/>
    <n v="0"/>
    <n v="0"/>
    <n v="0"/>
    <n v="0"/>
    <n v="1930"/>
    <n v="113233.1"/>
    <s v="EPER"/>
    <n v="7414000005"/>
  </r>
  <r>
    <x v="251"/>
    <s v="BANCO SANTANDER (MEXICO) FIDEICOMISO F/2112357-1"/>
    <x v="63"/>
    <s v="NORMAL"/>
    <s v="MXN"/>
    <n v="3000"/>
    <n v="65.260000000000005"/>
    <n v="195780"/>
    <n v="68.574976666666672"/>
    <n v="-9944.93"/>
    <n v="0"/>
    <n v="0"/>
    <n v="0"/>
    <n v="0"/>
    <n v="3000"/>
    <n v="195780"/>
    <s v="EPER"/>
    <n v="7414000005"/>
  </r>
  <r>
    <x v="252"/>
    <s v="BANCO SANTANDER (MEXICO) FIDEICOMISO F/2112369-1"/>
    <x v="4"/>
    <s v="NORMAL"/>
    <s v="MXN"/>
    <n v="11"/>
    <n v="168.64"/>
    <n v="1855.04"/>
    <n v="151.87181818181818"/>
    <n v="184.45"/>
    <n v="0"/>
    <n v="0"/>
    <n v="0"/>
    <n v="0"/>
    <n v="11"/>
    <n v="1855.04"/>
    <s v="EPER"/>
    <n v="7414000005"/>
  </r>
  <r>
    <x v="252"/>
    <s v="BANCO SANTANDER (MEXICO) FIDEICOMISO F/2112369-1"/>
    <x v="6"/>
    <s v="NORMAL"/>
    <s v="MXN"/>
    <n v="258"/>
    <n v="12.48"/>
    <n v="3219.84"/>
    <n v="11.509883720930233"/>
    <n v="250.29"/>
    <n v="0"/>
    <n v="0"/>
    <n v="0"/>
    <n v="0"/>
    <n v="258"/>
    <n v="3219.84"/>
    <s v="EPER"/>
    <n v="7414000005"/>
  </r>
  <r>
    <x v="252"/>
    <s v="BANCO SANTANDER (MEXICO) FIDEICOMISO F/2112369-1"/>
    <x v="7"/>
    <s v="NORMAL"/>
    <s v="MXN"/>
    <n v="71"/>
    <n v="73.37"/>
    <n v="5209.2700000000004"/>
    <n v="62.266197183098591"/>
    <n v="788.37"/>
    <n v="0"/>
    <n v="0"/>
    <n v="0"/>
    <n v="0"/>
    <n v="71"/>
    <n v="5209.2700000000004"/>
    <s v="EPER"/>
    <n v="7414000005"/>
  </r>
  <r>
    <x v="252"/>
    <s v="BANCO SANTANDER (MEXICO) FIDEICOMISO F/2112369-1"/>
    <x v="10"/>
    <s v="NORMAL"/>
    <s v="MXN"/>
    <n v="978"/>
    <n v="15.12"/>
    <n v="14787.36"/>
    <n v="16.722719836400817"/>
    <n v="-1567.46"/>
    <n v="0"/>
    <n v="0"/>
    <n v="0"/>
    <n v="0"/>
    <n v="978"/>
    <n v="14787.36"/>
    <s v="EPER"/>
    <n v="7414000005"/>
  </r>
  <r>
    <x v="252"/>
    <s v="BANCO SANTANDER (MEXICO) FIDEICOMISO F/2112369-1"/>
    <x v="11"/>
    <s v="NORMAL"/>
    <s v="MXN"/>
    <n v="13"/>
    <n v="525.09"/>
    <n v="6826.17"/>
    <n v="517.24538461538464"/>
    <n v="101.98"/>
    <n v="0"/>
    <n v="0"/>
    <n v="0"/>
    <n v="0"/>
    <n v="13"/>
    <n v="6826.17"/>
    <s v="EPER"/>
    <n v="7414000005"/>
  </r>
  <r>
    <x v="252"/>
    <s v="BANCO SANTANDER (MEXICO) FIDEICOMISO F/2112369-1"/>
    <x v="12"/>
    <s v="NORMAL"/>
    <s v="MXN"/>
    <n v="35"/>
    <n v="68.25"/>
    <n v="2388.75"/>
    <n v="79.098571428571432"/>
    <n v="-379.7"/>
    <n v="0"/>
    <n v="0"/>
    <n v="0"/>
    <n v="0"/>
    <n v="35"/>
    <n v="2388.75"/>
    <s v="EPER"/>
    <n v="7414000005"/>
  </r>
  <r>
    <x v="252"/>
    <s v="BANCO SANTANDER (MEXICO) FIDEICOMISO F/2112369-1"/>
    <x v="14"/>
    <s v="NORMAL"/>
    <s v="MXN"/>
    <n v="877"/>
    <n v="14.33"/>
    <n v="12567.41"/>
    <n v="11.760866590649943"/>
    <n v="2253.13"/>
    <n v="0"/>
    <n v="0"/>
    <n v="0"/>
    <n v="0"/>
    <n v="877"/>
    <n v="12567.41"/>
    <s v="EPER"/>
    <n v="7414000005"/>
  </r>
  <r>
    <x v="252"/>
    <s v="BANCO SANTANDER (MEXICO) FIDEICOMISO F/2112369-1"/>
    <x v="72"/>
    <s v="NORMAL"/>
    <s v="MXN"/>
    <n v="7970"/>
    <n v="9.3381629999999998"/>
    <n v="74425.159109999993"/>
    <n v="8.3307969100000001"/>
    <n v="8028.7077373000002"/>
    <n v="0"/>
    <n v="0"/>
    <n v="0"/>
    <n v="0"/>
    <n v="7970"/>
    <n v="74425.159109999993"/>
    <s v="EPER"/>
    <n v="7414000005"/>
  </r>
  <r>
    <x v="252"/>
    <s v="BANCO SANTANDER (MEXICO) FIDEICOMISO F/2112369-1"/>
    <x v="21"/>
    <s v="NORMAL"/>
    <s v="MXN"/>
    <n v="5"/>
    <n v="271.94"/>
    <n v="1359.7"/>
    <n v="246.51"/>
    <n v="127.15"/>
    <n v="0"/>
    <n v="0"/>
    <n v="0"/>
    <n v="0"/>
    <n v="5"/>
    <n v="1359.7"/>
    <s v="EPER"/>
    <n v="7414000005"/>
  </r>
  <r>
    <x v="252"/>
    <s v="BANCO SANTANDER (MEXICO) FIDEICOMISO F/2112369-1"/>
    <x v="22"/>
    <s v="NORMAL"/>
    <s v="MXN"/>
    <n v="34"/>
    <n v="193.15"/>
    <n v="6567.1"/>
    <n v="156.17441176470589"/>
    <n v="1257.17"/>
    <n v="0"/>
    <n v="0"/>
    <n v="0"/>
    <n v="0"/>
    <n v="34"/>
    <n v="6567.1"/>
    <s v="EPER"/>
    <n v="7414000005"/>
  </r>
  <r>
    <x v="252"/>
    <s v="BANCO SANTANDER (MEXICO) FIDEICOMISO F/2112369-1"/>
    <x v="23"/>
    <s v="NORMAL"/>
    <s v="MXN"/>
    <n v="151"/>
    <n v="27.12"/>
    <n v="4095.12"/>
    <n v="20.532649006622517"/>
    <n v="994.69"/>
    <n v="0"/>
    <n v="0"/>
    <n v="0"/>
    <n v="0"/>
    <n v="151"/>
    <n v="4095.12"/>
    <s v="EPER"/>
    <n v="7414000005"/>
  </r>
  <r>
    <x v="252"/>
    <s v="BANCO SANTANDER (MEXICO) FIDEICOMISO F/2112369-1"/>
    <x v="24"/>
    <s v="NORMAL"/>
    <s v="MXN"/>
    <n v="113"/>
    <n v="176.44"/>
    <n v="19937.72"/>
    <n v="148.18530973451328"/>
    <n v="3192.78"/>
    <n v="0"/>
    <n v="0"/>
    <n v="0"/>
    <n v="0"/>
    <n v="113"/>
    <n v="19937.72"/>
    <s v="EPER"/>
    <n v="7414000005"/>
  </r>
  <r>
    <x v="252"/>
    <s v="BANCO SANTANDER (MEXICO) FIDEICOMISO F/2112369-1"/>
    <x v="25"/>
    <s v="NORMAL"/>
    <s v="MXN"/>
    <n v="143"/>
    <n v="104.12"/>
    <n v="14889.16"/>
    <n v="81.289020979020975"/>
    <n v="3264.83"/>
    <n v="0"/>
    <n v="0"/>
    <n v="0"/>
    <n v="0"/>
    <n v="143"/>
    <n v="14889.16"/>
    <s v="EPER"/>
    <n v="7414000005"/>
  </r>
  <r>
    <x v="252"/>
    <s v="BANCO SANTANDER (MEXICO) FIDEICOMISO F/2112369-1"/>
    <x v="26"/>
    <s v="NORMAL"/>
    <s v="MXN"/>
    <n v="480"/>
    <n v="98.730349000000004"/>
    <n v="47390.567519999997"/>
    <n v="107.90983107562499"/>
    <n v="-4406.1513962999998"/>
    <n v="0"/>
    <n v="0"/>
    <n v="0"/>
    <n v="0"/>
    <n v="480"/>
    <n v="47390.567519999997"/>
    <s v="EPER"/>
    <n v="7414000005"/>
  </r>
  <r>
    <x v="252"/>
    <s v="BANCO SANTANDER (MEXICO) FIDEICOMISO F/2112369-1"/>
    <x v="67"/>
    <s v="NORMAL"/>
    <s v="MXN"/>
    <n v="163"/>
    <n v="99.247497999999993"/>
    <n v="16177.342173999999"/>
    <n v="15.363401382269938"/>
    <n v="13673.107748689999"/>
    <n v="0"/>
    <n v="0"/>
    <n v="0"/>
    <n v="0"/>
    <n v="163"/>
    <n v="16177.342173999999"/>
    <s v="EPER"/>
    <n v="7414000005"/>
  </r>
  <r>
    <x v="252"/>
    <s v="BANCO SANTANDER (MEXICO) FIDEICOMISO F/2112369-1"/>
    <x v="27"/>
    <s v="NORMAL"/>
    <s v="MXN"/>
    <n v="440"/>
    <n v="94.973146999999997"/>
    <n v="41788.184679999998"/>
    <n v="89.983426490909096"/>
    <n v="2195.4770239999998"/>
    <n v="0"/>
    <n v="0"/>
    <n v="0"/>
    <n v="0"/>
    <n v="440"/>
    <n v="41788.184679999998"/>
    <s v="EPER"/>
    <n v="7414000005"/>
  </r>
  <r>
    <x v="252"/>
    <s v="BANCO SANTANDER (MEXICO) FIDEICOMISO F/2112369-1"/>
    <x v="28"/>
    <s v="NORMAL"/>
    <s v="MXN"/>
    <n v="351"/>
    <n v="91.911821000000003"/>
    <n v="32261.049170999999"/>
    <n v="93.2088459"/>
    <n v="-455.25573989999998"/>
    <n v="0"/>
    <n v="0"/>
    <n v="0"/>
    <n v="0"/>
    <n v="351"/>
    <n v="32261.049170999999"/>
    <s v="EPER"/>
    <n v="7414000005"/>
  </r>
  <r>
    <x v="252"/>
    <s v="BANCO SANTANDER (MEXICO) FIDEICOMISO F/2112369-1"/>
    <x v="30"/>
    <s v="NORMAL"/>
    <s v="MXN"/>
    <n v="435"/>
    <n v="88.698122999999995"/>
    <n v="38583.683505000001"/>
    <n v="88.303238416896548"/>
    <n v="171.77479364999999"/>
    <n v="0"/>
    <n v="0"/>
    <n v="0"/>
    <n v="0"/>
    <n v="435"/>
    <n v="38583.683505000001"/>
    <s v="EPER"/>
    <n v="7414000005"/>
  </r>
  <r>
    <x v="252"/>
    <s v="BANCO SANTANDER (MEXICO) FIDEICOMISO F/2112369-1"/>
    <x v="31"/>
    <s v="NORMAL"/>
    <s v="MXN"/>
    <n v="356"/>
    <n v="93.314192000000006"/>
    <n v="33219.852352000002"/>
    <n v="100.15160151522471"/>
    <n v="-2434.1177874199998"/>
    <n v="0"/>
    <n v="0"/>
    <n v="0"/>
    <n v="0"/>
    <n v="356"/>
    <n v="33219.852352000002"/>
    <s v="EPER"/>
    <n v="7414000005"/>
  </r>
  <r>
    <x v="252"/>
    <s v="BANCO SANTANDER (MEXICO) FIDEICOMISO F/2112369-1"/>
    <x v="33"/>
    <s v="NORMAL"/>
    <s v="MXN"/>
    <n v="890"/>
    <n v="94.870157000000006"/>
    <n v="84434.439729999998"/>
    <n v="97.423448415730334"/>
    <n v="-2272.4293600000001"/>
    <n v="0"/>
    <n v="0"/>
    <n v="0"/>
    <n v="0"/>
    <n v="890"/>
    <n v="84434.439729999998"/>
    <s v="EPER"/>
    <n v="7414000005"/>
  </r>
  <r>
    <x v="252"/>
    <s v="BANCO SANTANDER (MEXICO) FIDEICOMISO F/2112369-1"/>
    <x v="34"/>
    <s v="NORMAL"/>
    <s v="MXN"/>
    <n v="60"/>
    <n v="89.489464999999996"/>
    <n v="5369.3679000000002"/>
    <n v="63.475725566666668"/>
    <n v="1560.8243660000001"/>
    <n v="0"/>
    <n v="0"/>
    <n v="0"/>
    <n v="0"/>
    <n v="60"/>
    <n v="5369.3679000000002"/>
    <s v="EPER"/>
    <n v="7414000005"/>
  </r>
  <r>
    <x v="252"/>
    <s v="BANCO SANTANDER (MEXICO) FIDEICOMISO F/2112369-1"/>
    <x v="35"/>
    <s v="NORMAL"/>
    <s v="MXN"/>
    <n v="500"/>
    <n v="86.197128000000006"/>
    <n v="43098.563999999998"/>
    <n v="90.403334892399997"/>
    <n v="-2103.1034461999998"/>
    <n v="0"/>
    <n v="0"/>
    <n v="0"/>
    <n v="0"/>
    <n v="500"/>
    <n v="43098.563999999998"/>
    <s v="EPER"/>
    <n v="7414000005"/>
  </r>
  <r>
    <x v="252"/>
    <s v="BANCO SANTANDER (MEXICO) FIDEICOMISO F/2112369-1"/>
    <x v="36"/>
    <s v="NORMAL"/>
    <s v="MXN"/>
    <n v="785"/>
    <n v="86.469353999999996"/>
    <n v="67878.442890000006"/>
    <n v="91.85044536961783"/>
    <n v="-4224.1567251500001"/>
    <n v="0"/>
    <n v="0"/>
    <n v="0"/>
    <n v="0"/>
    <n v="785"/>
    <n v="67878.442890000006"/>
    <s v="EPER"/>
    <n v="7414000005"/>
  </r>
  <r>
    <x v="252"/>
    <s v="BANCO SANTANDER (MEXICO) FIDEICOMISO F/2112369-1"/>
    <x v="81"/>
    <s v="NORMAL"/>
    <s v="MXN"/>
    <n v="34"/>
    <n v="101.45096599999999"/>
    <n v="3449.332844"/>
    <n v="114.11447106"/>
    <n v="-430.55917204000002"/>
    <n v="0"/>
    <n v="0"/>
    <n v="0"/>
    <n v="0"/>
    <n v="34"/>
    <n v="3449.332844"/>
    <s v="EPER"/>
    <n v="7414000005"/>
  </r>
  <r>
    <x v="252"/>
    <s v="BANCO SANTANDER (MEXICO) FIDEICOMISO F/2112369-1"/>
    <x v="68"/>
    <s v="NORMAL"/>
    <s v="MXN"/>
    <n v="28"/>
    <n v="89.643172000000007"/>
    <n v="2510.008816"/>
    <n v="108.47711812999999"/>
    <n v="-527.35049163999997"/>
    <n v="0"/>
    <n v="0"/>
    <n v="0"/>
    <n v="0"/>
    <n v="28"/>
    <n v="2510.008816"/>
    <s v="EPER"/>
    <n v="7414000005"/>
  </r>
  <r>
    <x v="252"/>
    <s v="BANCO SANTANDER (MEXICO) FIDEICOMISO F/2112369-1"/>
    <x v="37"/>
    <s v="NORMAL"/>
    <s v="MXN"/>
    <n v="236"/>
    <n v="81.738860000000003"/>
    <n v="19290.37096"/>
    <n v="87.427712999999997"/>
    <n v="-1342.5693080000001"/>
    <n v="0"/>
    <n v="0"/>
    <n v="0"/>
    <n v="0"/>
    <n v="236"/>
    <n v="19290.37096"/>
    <s v="EPER"/>
    <n v="7414000005"/>
  </r>
  <r>
    <x v="252"/>
    <s v="BANCO SANTANDER (MEXICO) FIDEICOMISO F/2112369-1"/>
    <x v="38"/>
    <s v="NORMAL"/>
    <s v="MXN"/>
    <n v="100"/>
    <n v="83.200761"/>
    <n v="8320.0761000000002"/>
    <n v="96.799409990000001"/>
    <n v="-1359.8648989999999"/>
    <n v="0"/>
    <n v="0"/>
    <n v="0"/>
    <n v="0"/>
    <n v="100"/>
    <n v="8320.0761000000002"/>
    <s v="EPER"/>
    <n v="7414000005"/>
  </r>
  <r>
    <x v="252"/>
    <s v="BANCO SANTANDER (MEXICO) FIDEICOMISO F/2112369-1"/>
    <x v="39"/>
    <s v="NORMAL"/>
    <s v="MXN"/>
    <n v="35"/>
    <n v="82.159907000000004"/>
    <n v="2875.5967449999998"/>
    <n v="88.605995219999997"/>
    <n v="-225.61308769999999"/>
    <n v="0"/>
    <n v="0"/>
    <n v="0"/>
    <n v="0"/>
    <n v="35"/>
    <n v="2875.5967449999998"/>
    <s v="EPER"/>
    <n v="7414000005"/>
  </r>
  <r>
    <x v="252"/>
    <s v="BANCO SANTANDER (MEXICO) FIDEICOMISO F/2112369-1"/>
    <x v="40"/>
    <s v="NORMAL"/>
    <s v="MXN"/>
    <n v="18"/>
    <n v="314.42"/>
    <n v="5659.56"/>
    <n v="259.66333333333336"/>
    <n v="985.62"/>
    <n v="0"/>
    <n v="0"/>
    <n v="0"/>
    <n v="0"/>
    <n v="18"/>
    <n v="5659.56"/>
    <s v="EPER"/>
    <n v="7414000005"/>
  </r>
  <r>
    <x v="252"/>
    <s v="BANCO SANTANDER (MEXICO) FIDEICOMISO F/2112369-1"/>
    <x v="41"/>
    <s v="NORMAL"/>
    <s v="MXN"/>
    <n v="50"/>
    <n v="43.85"/>
    <n v="2192.5"/>
    <n v="39.805799999999998"/>
    <n v="202.21"/>
    <n v="0"/>
    <n v="0"/>
    <n v="0"/>
    <n v="0"/>
    <n v="50"/>
    <n v="2192.5"/>
    <s v="EPER"/>
    <n v="7414000005"/>
  </r>
  <r>
    <x v="252"/>
    <s v="BANCO SANTANDER (MEXICO) FIDEICOMISO F/2112369-1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252"/>
    <s v="BANCO SANTANDER (MEXICO) FIDEICOMISO F/2112369-1"/>
    <x v="44"/>
    <s v="NORMAL"/>
    <s v="MXN"/>
    <n v="54"/>
    <n v="36.28"/>
    <n v="1959.12"/>
    <n v="38.895370370370372"/>
    <n v="-141.22999999999999"/>
    <n v="0"/>
    <n v="0"/>
    <n v="0"/>
    <n v="0"/>
    <n v="54"/>
    <n v="1959.12"/>
    <s v="EPER"/>
    <n v="7414000005"/>
  </r>
  <r>
    <x v="252"/>
    <s v="BANCO SANTANDER (MEXICO) FIDEICOMISO F/2112369-1"/>
    <x v="45"/>
    <s v="NORMAL"/>
    <s v="MXN"/>
    <n v="18"/>
    <n v="136.35"/>
    <n v="2454.3000000000002"/>
    <n v="125.99222222222222"/>
    <n v="186.44"/>
    <n v="0"/>
    <n v="0"/>
    <n v="0"/>
    <n v="0"/>
    <n v="18"/>
    <n v="2454.3000000000002"/>
    <s v="EPER"/>
    <n v="7414000005"/>
  </r>
  <r>
    <x v="252"/>
    <s v="BANCO SANTANDER (MEXICO) FIDEICOMISO F/2112369-1"/>
    <x v="47"/>
    <s v="NORMAL"/>
    <s v="MXN"/>
    <n v="390"/>
    <n v="2.95"/>
    <n v="1150.5"/>
    <n v="4.489179487179487"/>
    <n v="-600.28"/>
    <n v="0"/>
    <n v="0"/>
    <n v="0"/>
    <n v="0"/>
    <n v="390"/>
    <n v="1150.5"/>
    <s v="EPER"/>
    <n v="7414000005"/>
  </r>
  <r>
    <x v="252"/>
    <s v="BANCO SANTANDER (MEXICO) FIDEICOMISO F/2112369-1"/>
    <x v="88"/>
    <s v="NORMAL"/>
    <s v="MXN"/>
    <n v="395"/>
    <n v="98.007834000000003"/>
    <n v="38713.094429999997"/>
    <n v="91.988153008860763"/>
    <n v="2377.7739915000002"/>
    <n v="0"/>
    <n v="0"/>
    <n v="0"/>
    <n v="0"/>
    <n v="395"/>
    <n v="38713.094429999997"/>
    <s v="EPER"/>
    <n v="7414000005"/>
  </r>
  <r>
    <x v="252"/>
    <s v="BANCO SANTANDER (MEXICO) FIDEICOMISO F/2112369-1"/>
    <x v="48"/>
    <s v="NORMAL"/>
    <s v="MXN"/>
    <n v="30"/>
    <n v="156"/>
    <n v="4680"/>
    <n v="144.05133333333333"/>
    <n v="358.46"/>
    <n v="0"/>
    <n v="0"/>
    <n v="0"/>
    <n v="0"/>
    <n v="30"/>
    <n v="4680"/>
    <s v="EPER"/>
    <n v="7414000005"/>
  </r>
  <r>
    <x v="252"/>
    <s v="BANCO SANTANDER (MEXICO) FIDEICOMISO F/2112369-1"/>
    <x v="130"/>
    <s v="NORMAL"/>
    <s v="MXN"/>
    <n v="52000"/>
    <n v="4.5848760000000004"/>
    <n v="238413.552"/>
    <n v="4.0912205769230772"/>
    <n v="25670.081999999999"/>
    <n v="0"/>
    <n v="0"/>
    <n v="0"/>
    <n v="0"/>
    <n v="52000"/>
    <n v="238413.552"/>
    <s v="EPER"/>
    <n v="7414000005"/>
  </r>
  <r>
    <x v="252"/>
    <s v="BANCO SANTANDER (MEXICO) FIDEICOMISO F/2112369-1"/>
    <x v="0"/>
    <s v="NORMAL"/>
    <s v="MXN"/>
    <n v="203484"/>
    <n v="3.3967719999999999"/>
    <n v="691188.75364799995"/>
    <n v="3.266363350435415"/>
    <n v="26536.073648000001"/>
    <n v="0"/>
    <n v="0"/>
    <n v="0"/>
    <n v="0"/>
    <n v="203484"/>
    <n v="691188.75364799995"/>
    <s v="EPER"/>
    <n v="7414000005"/>
  </r>
  <r>
    <x v="252"/>
    <s v="BANCO SANTANDER (MEXICO) FIDEICOMISO F/2112369-1"/>
    <x v="50"/>
    <s v="NORMAL"/>
    <s v="MXN"/>
    <n v="76"/>
    <n v="31.41"/>
    <n v="2387.16"/>
    <n v="33.13144736842105"/>
    <n v="-130.83000000000001"/>
    <n v="0"/>
    <n v="0"/>
    <n v="0"/>
    <n v="0"/>
    <n v="76"/>
    <n v="2387.16"/>
    <s v="EPER"/>
    <n v="7414000005"/>
  </r>
  <r>
    <x v="252"/>
    <s v="BANCO SANTANDER (MEXICO) FIDEICOMISO F/2112369-1"/>
    <x v="182"/>
    <s v="NORMAL"/>
    <s v="MXN"/>
    <n v="0"/>
    <n v="0"/>
    <n v="0"/>
    <n v="0"/>
    <n v="0"/>
    <n v="0"/>
    <n v="0"/>
    <n v="0"/>
    <n v="0"/>
    <n v="0"/>
    <n v="0"/>
    <s v="EPER"/>
    <n v="7414000005"/>
  </r>
  <r>
    <x v="252"/>
    <s v="BANCO SANTANDER (MEXICO) FIDEICOMISO F/2112369-1"/>
    <x v="51"/>
    <s v="NORMAL"/>
    <s v="MXN"/>
    <n v="9"/>
    <n v="775.69178699999998"/>
    <n v="6981.2260829999996"/>
    <n v="728.26654728000005"/>
    <n v="426.82715747999998"/>
    <n v="0"/>
    <n v="0"/>
    <n v="0"/>
    <n v="0"/>
    <n v="9"/>
    <n v="6981.2260829999996"/>
    <s v="EPER"/>
    <n v="7414000005"/>
  </r>
  <r>
    <x v="252"/>
    <s v="BANCO SANTANDER (MEXICO) FIDEICOMISO F/2112369-1"/>
    <x v="52"/>
    <s v="NORMAL"/>
    <s v="MXN"/>
    <n v="60"/>
    <n v="747.17843200000004"/>
    <n v="44830.70592"/>
    <n v="709.94684380499996"/>
    <n v="2233.8952917000001"/>
    <n v="0"/>
    <n v="0"/>
    <n v="0"/>
    <n v="0"/>
    <n v="60"/>
    <n v="44830.70592"/>
    <s v="EPER"/>
    <n v="7414000005"/>
  </r>
  <r>
    <x v="252"/>
    <s v="BANCO SANTANDER (MEXICO) FIDEICOMISO F/2112369-1"/>
    <x v="53"/>
    <s v="NORMAL"/>
    <s v="MXN"/>
    <n v="24"/>
    <n v="765.92388300000005"/>
    <n v="18382.173191999998"/>
    <n v="773.79722630833328"/>
    <n v="-188.96023940000001"/>
    <n v="0"/>
    <n v="0"/>
    <n v="0"/>
    <n v="0"/>
    <n v="24"/>
    <n v="18382.173191999998"/>
    <s v="EPER"/>
    <n v="7414000005"/>
  </r>
  <r>
    <x v="252"/>
    <s v="BANCO SANTANDER (MEXICO) FIDEICOMISO F/2112369-1"/>
    <x v="54"/>
    <s v="NORMAL"/>
    <s v="MXN"/>
    <n v="24"/>
    <n v="684.88915799999995"/>
    <n v="16437.339791999999"/>
    <n v="674.82119490000002"/>
    <n v="241.6311144"/>
    <n v="0"/>
    <n v="0"/>
    <n v="0"/>
    <n v="0"/>
    <n v="24"/>
    <n v="16437.339791999999"/>
    <s v="EPER"/>
    <n v="7414000005"/>
  </r>
  <r>
    <x v="252"/>
    <s v="BANCO SANTANDER (MEXICO) FIDEICOMISO F/2112369-1"/>
    <x v="55"/>
    <s v="NORMAL"/>
    <s v="MXN"/>
    <n v="20"/>
    <n v="772.926965"/>
    <n v="15458.5393"/>
    <n v="798.93664675000002"/>
    <n v="-520.19363499999997"/>
    <n v="0"/>
    <n v="0"/>
    <n v="0"/>
    <n v="0"/>
    <n v="20"/>
    <n v="15458.5393"/>
    <s v="EPER"/>
    <n v="7414000005"/>
  </r>
  <r>
    <x v="252"/>
    <s v="BANCO SANTANDER (MEXICO) FIDEICOMISO F/2112369-1"/>
    <x v="56"/>
    <s v="NORMAL"/>
    <s v="MXN"/>
    <n v="6"/>
    <n v="721.59464000000003"/>
    <n v="4329.5678399999997"/>
    <n v="634.44666196666662"/>
    <n v="522.88786819999996"/>
    <n v="0"/>
    <n v="0"/>
    <n v="0"/>
    <n v="0"/>
    <n v="6"/>
    <n v="4329.5678399999997"/>
    <s v="EPER"/>
    <n v="7414000005"/>
  </r>
  <r>
    <x v="252"/>
    <s v="BANCO SANTANDER (MEXICO) FIDEICOMISO F/2112369-1"/>
    <x v="58"/>
    <s v="NORMAL"/>
    <s v="MXN"/>
    <n v="15"/>
    <n v="709.36974099999998"/>
    <n v="10640.546114999999"/>
    <n v="700.5651538533333"/>
    <n v="132.06880720000001"/>
    <n v="0"/>
    <n v="0"/>
    <n v="0"/>
    <n v="0"/>
    <n v="15"/>
    <n v="10640.546114999999"/>
    <s v="EPER"/>
    <n v="7414000005"/>
  </r>
  <r>
    <x v="252"/>
    <s v="BANCO SANTANDER (MEXICO) FIDEICOMISO F/2112369-1"/>
    <x v="60"/>
    <s v="NORMAL"/>
    <s v="MXN"/>
    <n v="140"/>
    <n v="58.67"/>
    <n v="8213.7999999999993"/>
    <n v="46.810428571428574"/>
    <n v="1660.34"/>
    <n v="0"/>
    <n v="0"/>
    <n v="0"/>
    <n v="0"/>
    <n v="140"/>
    <n v="8213.7999999999993"/>
    <s v="EPER"/>
    <n v="7414000005"/>
  </r>
  <r>
    <x v="252"/>
    <s v="BANCO SANTANDER (MEXICO) FIDEICOMISO F/2112369-1"/>
    <x v="63"/>
    <s v="NORMAL"/>
    <s v="MXN"/>
    <n v="200"/>
    <n v="65.260000000000005"/>
    <n v="13052"/>
    <n v="68.203550000000007"/>
    <n v="-588.71"/>
    <n v="0"/>
    <n v="0"/>
    <n v="0"/>
    <n v="0"/>
    <n v="200"/>
    <n v="13052"/>
    <s v="EPER"/>
    <n v="7414000005"/>
  </r>
  <r>
    <x v="253"/>
    <s v="BANCO SANTANDER (MEXICO) FIDEICOMISO F/2112387-1"/>
    <x v="72"/>
    <s v="NORMAL"/>
    <s v="MXN"/>
    <n v="784170"/>
    <n v="9.3381629999999998"/>
    <n v="7322707.2797100004"/>
    <n v="8.3307969100000001"/>
    <n v="789946.26679529995"/>
    <n v="0"/>
    <n v="0"/>
    <n v="0"/>
    <n v="0"/>
    <n v="784170"/>
    <n v="7322707.2797100004"/>
    <s v="EPER"/>
    <n v="7414000005"/>
  </r>
  <r>
    <x v="253"/>
    <s v="BANCO SANTANDER (MEXICO) FIDEICOMISO F/2112387-1"/>
    <x v="16"/>
    <s v="NORMAL"/>
    <s v="MXN"/>
    <n v="73540"/>
    <n v="8.2580650000000002"/>
    <n v="607298.10010000004"/>
    <n v="8.2501711100000001"/>
    <n v="580.5166706"/>
    <n v="0"/>
    <n v="0"/>
    <n v="0"/>
    <n v="0"/>
    <n v="73540"/>
    <n v="607298.10010000004"/>
    <s v="EPER"/>
    <n v="7414000005"/>
  </r>
  <r>
    <x v="253"/>
    <s v="BANCO SANTANDER (MEXICO) FIDEICOMISO F/2112387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53"/>
    <s v="BANCO SANTANDER (MEXICO) FIDEICOMISO F/2112387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53"/>
    <s v="BANCO SANTANDER (MEXICO) FIDEICOMISO F/2112387-1"/>
    <x v="37"/>
    <s v="NORMAL"/>
    <s v="MXN"/>
    <n v="12000"/>
    <n v="81.738860000000003"/>
    <n v="980866.32"/>
    <n v="82.321475193333328"/>
    <n v="-6991.3823199999997"/>
    <n v="0"/>
    <n v="0"/>
    <n v="0"/>
    <n v="0"/>
    <n v="12000"/>
    <n v="980866.32"/>
    <s v="EPER"/>
    <n v="7414000005"/>
  </r>
  <r>
    <x v="253"/>
    <s v="BANCO SANTANDER (MEXICO) FIDEICOMISO F/2112387-1"/>
    <x v="39"/>
    <s v="NORMAL"/>
    <s v="MXN"/>
    <n v="25000"/>
    <n v="82.159907000000004"/>
    <n v="2053997.675"/>
    <n v="84.345688319999994"/>
    <n v="-54644.533000000003"/>
    <n v="0"/>
    <n v="0"/>
    <n v="0"/>
    <n v="0"/>
    <n v="25000"/>
    <n v="2053997.675"/>
    <s v="EPER"/>
    <n v="7414000005"/>
  </r>
  <r>
    <x v="253"/>
    <s v="BANCO SANTANDER (MEXICO) FIDEICOMISO F/2112387-1"/>
    <x v="0"/>
    <s v="NORMAL"/>
    <s v="MXN"/>
    <n v="2459952"/>
    <n v="3.3967719999999999"/>
    <n v="8355896.0749439998"/>
    <n v="3.3030511570957484"/>
    <n v="230548.774944"/>
    <n v="0"/>
    <n v="0"/>
    <n v="0"/>
    <n v="0"/>
    <n v="2459952"/>
    <n v="8355896.0749439998"/>
    <s v="EPER"/>
    <n v="7414000005"/>
  </r>
  <r>
    <x v="253"/>
    <s v="BANCO SANTANDER (MEXICO) FIDEICOMISO F/2112387-1"/>
    <x v="54"/>
    <s v="NORMAL"/>
    <s v="MXN"/>
    <n v="6000"/>
    <n v="684.88915799999995"/>
    <n v="4109334.9479999999"/>
    <n v="705.54665124999997"/>
    <n v="-123944.9595"/>
    <n v="0"/>
    <n v="0"/>
    <n v="0"/>
    <n v="0"/>
    <n v="6000"/>
    <n v="4109334.9479999999"/>
    <s v="EPER"/>
    <n v="7414000005"/>
  </r>
  <r>
    <x v="253"/>
    <s v="BANCO SANTANDER (MEXICO) FIDEICOMISO F/2112387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53"/>
    <s v="BANCO SANTANDER (MEXICO) FIDEICOMISO F/2112387-1"/>
    <x v="59"/>
    <s v="NORMAL"/>
    <s v="MXN"/>
    <n v="3000"/>
    <n v="694.41118700000004"/>
    <n v="2083233.561"/>
    <n v="719.08721302000004"/>
    <n v="-74028.07806"/>
    <n v="0"/>
    <n v="0"/>
    <n v="0"/>
    <n v="0"/>
    <n v="3000"/>
    <n v="2083233.561"/>
    <s v="EPER"/>
    <n v="7414000005"/>
  </r>
  <r>
    <x v="254"/>
    <s v="BANCO SANTANDER (MEXICO) FIDEICOMISO F/2112388-1"/>
    <x v="72"/>
    <s v="NORMAL"/>
    <s v="MXN"/>
    <n v="94140"/>
    <n v="9.3381629999999998"/>
    <n v="879094.66481999995"/>
    <n v="8.3307969100000001"/>
    <n v="94833.443712599998"/>
    <n v="0"/>
    <n v="0"/>
    <n v="0"/>
    <n v="0"/>
    <n v="94140"/>
    <n v="879094.66481999995"/>
    <s v="EPER"/>
    <n v="7414000005"/>
  </r>
  <r>
    <x v="254"/>
    <s v="BANCO SANTANDER (MEXICO) FIDEICOMISO F/2112388-1"/>
    <x v="16"/>
    <s v="NORMAL"/>
    <s v="MXN"/>
    <n v="61500"/>
    <n v="8.2580650000000002"/>
    <n v="507870.9975"/>
    <n v="8.2501711100000001"/>
    <n v="485.47423500000002"/>
    <n v="0"/>
    <n v="0"/>
    <n v="0"/>
    <n v="0"/>
    <n v="61500"/>
    <n v="507870.9975"/>
    <s v="EPER"/>
    <n v="7414000005"/>
  </r>
  <r>
    <x v="254"/>
    <s v="BANCO SANTANDER (MEXICO) FIDEICOMISO F/2112388-1"/>
    <x v="26"/>
    <s v="NORMAL"/>
    <s v="MXN"/>
    <n v="3250"/>
    <n v="98.730349000000004"/>
    <n v="320873.63425"/>
    <n v="111.89286593999999"/>
    <n v="-42778.180054999997"/>
    <n v="0"/>
    <n v="0"/>
    <n v="0"/>
    <n v="0"/>
    <n v="3250"/>
    <n v="320873.63425"/>
    <s v="EPER"/>
    <n v="7414000005"/>
  </r>
  <r>
    <x v="254"/>
    <s v="BANCO SANTANDER (MEXICO) FIDEICOMISO F/2112388-1"/>
    <x v="67"/>
    <s v="NORMAL"/>
    <s v="MXN"/>
    <n v="1390"/>
    <n v="99.247497999999993"/>
    <n v="137954.02222000001"/>
    <n v="225.00392571129495"/>
    <n v="450709.47895870003"/>
    <n v="0"/>
    <n v="0"/>
    <n v="0"/>
    <n v="0"/>
    <n v="1390"/>
    <n v="137954.02222000001"/>
    <s v="EPER"/>
    <n v="7414000005"/>
  </r>
  <r>
    <x v="254"/>
    <s v="BANCO SANTANDER (MEXICO) FIDEICOMISO F/2112388-1"/>
    <x v="27"/>
    <s v="NORMAL"/>
    <s v="MXN"/>
    <n v="2360"/>
    <n v="94.973146999999997"/>
    <n v="224136.62692000001"/>
    <n v="89.85155469"/>
    <n v="12086.9578516"/>
    <n v="0"/>
    <n v="0"/>
    <n v="0"/>
    <n v="0"/>
    <n v="2360"/>
    <n v="224136.62692000001"/>
    <s v="EPER"/>
    <n v="7414000005"/>
  </r>
  <r>
    <x v="254"/>
    <s v="BANCO SANTANDER (MEXICO) FIDEICOMISO F/2112388-1"/>
    <x v="28"/>
    <s v="NORMAL"/>
    <s v="MXN"/>
    <n v="610"/>
    <n v="91.911821000000003"/>
    <n v="56066.210809999997"/>
    <n v="97.816962799999999"/>
    <n v="-3602.1364979999998"/>
    <n v="0"/>
    <n v="0"/>
    <n v="0"/>
    <n v="0"/>
    <n v="610"/>
    <n v="56066.210809999997"/>
    <s v="EPER"/>
    <n v="7414000005"/>
  </r>
  <r>
    <x v="254"/>
    <s v="BANCO SANTANDER (MEXICO) FIDEICOMISO F/2112388-1"/>
    <x v="30"/>
    <s v="NORMAL"/>
    <s v="MXN"/>
    <n v="3398"/>
    <n v="88.698122999999995"/>
    <n v="301396.22195400001"/>
    <n v="85.347607287504417"/>
    <n v="11385.05239106"/>
    <n v="0"/>
    <n v="0"/>
    <n v="0"/>
    <n v="0"/>
    <n v="3398"/>
    <n v="301396.22195400001"/>
    <s v="EPER"/>
    <n v="7414000005"/>
  </r>
  <r>
    <x v="254"/>
    <s v="BANCO SANTANDER (MEXICO) FIDEICOMISO F/2112388-1"/>
    <x v="31"/>
    <s v="NORMAL"/>
    <s v="MXN"/>
    <n v="14130"/>
    <n v="93.314192000000006"/>
    <n v="1318529.53296"/>
    <n v="92.227958081408346"/>
    <n v="15348.485269700001"/>
    <n v="0"/>
    <n v="0"/>
    <n v="0"/>
    <n v="0"/>
    <n v="14130"/>
    <n v="1318529.53296"/>
    <s v="EPER"/>
    <n v="7414000005"/>
  </r>
  <r>
    <x v="254"/>
    <s v="BANCO SANTANDER (MEXICO) FIDEICOMISO F/2112388-1"/>
    <x v="33"/>
    <s v="NORMAL"/>
    <s v="MXN"/>
    <n v="23720"/>
    <n v="94.870157000000006"/>
    <n v="2250320.1240400001"/>
    <n v="97.111679589198985"/>
    <n v="-53168.915815799999"/>
    <n v="0"/>
    <n v="0"/>
    <n v="0"/>
    <n v="0"/>
    <n v="23720"/>
    <n v="2250320.1240400001"/>
    <s v="EPER"/>
    <n v="7414000005"/>
  </r>
  <r>
    <x v="254"/>
    <s v="BANCO SANTANDER (MEXICO) FIDEICOMISO F/2112388-1"/>
    <x v="34"/>
    <s v="NORMAL"/>
    <s v="MXN"/>
    <n v="10888"/>
    <n v="89.489464999999996"/>
    <n v="974361.29492000001"/>
    <n v="62.718103157716754"/>
    <n v="291486.58773878001"/>
    <n v="0"/>
    <n v="0"/>
    <n v="0"/>
    <n v="0"/>
    <n v="10888"/>
    <n v="974361.29492000001"/>
    <s v="EPER"/>
    <n v="7414000005"/>
  </r>
  <r>
    <x v="254"/>
    <s v="BANCO SANTANDER (MEXICO) FIDEICOMISO F/2112388-1"/>
    <x v="35"/>
    <s v="NORMAL"/>
    <s v="MXN"/>
    <n v="23180"/>
    <n v="86.197128000000006"/>
    <n v="1998049.42704"/>
    <n v="89.727333718563415"/>
    <n v="-81830.168556300006"/>
    <n v="0"/>
    <n v="0"/>
    <n v="0"/>
    <n v="0"/>
    <n v="23180"/>
    <n v="1998049.42704"/>
    <s v="EPER"/>
    <n v="7414000005"/>
  </r>
  <r>
    <x v="254"/>
    <s v="BANCO SANTANDER (MEXICO) FIDEICOMISO F/2112388-1"/>
    <x v="36"/>
    <s v="NORMAL"/>
    <s v="MXN"/>
    <n v="16135"/>
    <n v="86.469353999999996"/>
    <n v="1395183.02679"/>
    <n v="90.225169450533002"/>
    <n v="-60600.082294350002"/>
    <n v="0"/>
    <n v="0"/>
    <n v="0"/>
    <n v="0"/>
    <n v="16135"/>
    <n v="1395183.02679"/>
    <s v="EPER"/>
    <n v="7414000005"/>
  </r>
  <r>
    <x v="254"/>
    <s v="BANCO SANTANDER (MEXICO) FIDEICOMISO F/2112388-1"/>
    <x v="68"/>
    <s v="NORMAL"/>
    <s v="MXN"/>
    <n v="360"/>
    <n v="89.643172000000007"/>
    <n v="32271.54192"/>
    <n v="108.47711812999999"/>
    <n v="-6780.2206067999996"/>
    <n v="0"/>
    <n v="0"/>
    <n v="0"/>
    <n v="0"/>
    <n v="360"/>
    <n v="32271.54192"/>
    <s v="EPER"/>
    <n v="7414000005"/>
  </r>
  <r>
    <x v="254"/>
    <s v="BANCO SANTANDER (MEXICO) FIDEICOMISO F/2112388-1"/>
    <x v="37"/>
    <s v="NORMAL"/>
    <s v="MXN"/>
    <n v="16756"/>
    <n v="81.738860000000003"/>
    <n v="1369616.33816"/>
    <n v="86.375239870520417"/>
    <n v="-77687.181110439997"/>
    <n v="0"/>
    <n v="0"/>
    <n v="0"/>
    <n v="0"/>
    <n v="16756"/>
    <n v="1369616.33816"/>
    <s v="EPER"/>
    <n v="7414000005"/>
  </r>
  <r>
    <x v="254"/>
    <s v="BANCO SANTANDER (MEXICO) FIDEICOMISO F/2112388-1"/>
    <x v="38"/>
    <s v="NORMAL"/>
    <s v="MXN"/>
    <n v="1410"/>
    <n v="83.200761"/>
    <n v="117313.07300999999"/>
    <n v="91.920784408297877"/>
    <n v="-12295.2330057"/>
    <n v="0"/>
    <n v="0"/>
    <n v="0"/>
    <n v="0"/>
    <n v="1410"/>
    <n v="117313.07300999999"/>
    <s v="EPER"/>
    <n v="7414000005"/>
  </r>
  <r>
    <x v="254"/>
    <s v="BANCO SANTANDER (MEXICO) FIDEICOMISO F/2112388-1"/>
    <x v="39"/>
    <s v="NORMAL"/>
    <s v="MXN"/>
    <n v="4893"/>
    <n v="82.159907000000004"/>
    <n v="402008.42495100002"/>
    <n v="86.420874420000004"/>
    <n v="-20848.91358606"/>
    <n v="0"/>
    <n v="0"/>
    <n v="0"/>
    <n v="0"/>
    <n v="4893"/>
    <n v="402008.42495100002"/>
    <s v="EPER"/>
    <n v="7414000005"/>
  </r>
  <r>
    <x v="254"/>
    <s v="BANCO SANTANDER (MEXICO) FIDEICOMISO F/2112388-1"/>
    <x v="0"/>
    <s v="NORMAL"/>
    <s v="MXN"/>
    <n v="29050"/>
    <n v="3.3967719999999999"/>
    <n v="98676.226599999995"/>
    <n v="3.3645807228915663"/>
    <n v="935.15660000000003"/>
    <n v="0"/>
    <n v="0"/>
    <n v="0"/>
    <n v="0"/>
    <n v="29050"/>
    <n v="98676.226599999995"/>
    <s v="EPER"/>
    <n v="7414000005"/>
  </r>
  <r>
    <x v="254"/>
    <s v="BANCO SANTANDER (MEXICO) FIDEICOMISO F/2112388-1"/>
    <x v="51"/>
    <s v="NORMAL"/>
    <s v="MXN"/>
    <n v="1625"/>
    <n v="775.69178699999998"/>
    <n v="1260499.1538750001"/>
    <n v="766.69784126000002"/>
    <n v="14615.1618275"/>
    <n v="0"/>
    <n v="0"/>
    <n v="0"/>
    <n v="0"/>
    <n v="1625"/>
    <n v="1260499.1538750001"/>
    <s v="EPER"/>
    <n v="7414000005"/>
  </r>
  <r>
    <x v="254"/>
    <s v="BANCO SANTANDER (MEXICO) FIDEICOMISO F/2112388-1"/>
    <x v="52"/>
    <s v="NORMAL"/>
    <s v="MXN"/>
    <n v="1995"/>
    <n v="747.17843200000004"/>
    <n v="1490620.97184"/>
    <n v="724.09524604962405"/>
    <n v="46050.955971000003"/>
    <n v="0"/>
    <n v="0"/>
    <n v="0"/>
    <n v="0"/>
    <n v="1995"/>
    <n v="1490620.97184"/>
    <s v="EPER"/>
    <n v="7414000005"/>
  </r>
  <r>
    <x v="254"/>
    <s v="BANCO SANTANDER (MEXICO) FIDEICOMISO F/2112388-1"/>
    <x v="54"/>
    <s v="NORMAL"/>
    <s v="MXN"/>
    <n v="1821"/>
    <n v="684.88915799999995"/>
    <n v="1247183.1567180001"/>
    <n v="674.98000248940696"/>
    <n v="18044.572184789999"/>
    <n v="0"/>
    <n v="0"/>
    <n v="0"/>
    <n v="0"/>
    <n v="1821"/>
    <n v="1247183.1567180001"/>
    <s v="EPER"/>
    <n v="7414000005"/>
  </r>
  <r>
    <x v="254"/>
    <s v="BANCO SANTANDER (MEXICO) FIDEICOMISO F/2112388-1"/>
    <x v="55"/>
    <s v="NORMAL"/>
    <s v="MXN"/>
    <n v="1689"/>
    <n v="772.926965"/>
    <n v="1305473.6438849999"/>
    <n v="803.54136684371224"/>
    <n v="-51707.724714030002"/>
    <n v="0"/>
    <n v="0"/>
    <n v="0"/>
    <n v="0"/>
    <n v="1689"/>
    <n v="1305473.6438849999"/>
    <s v="EPER"/>
    <n v="7414000005"/>
  </r>
  <r>
    <x v="254"/>
    <s v="BANCO SANTANDER (MEXICO) FIDEICOMISO F/2112388-1"/>
    <x v="56"/>
    <s v="NORMAL"/>
    <s v="MXN"/>
    <n v="1521"/>
    <n v="721.59464000000003"/>
    <n v="1097545.44744"/>
    <n v="780.7923593813149"/>
    <n v="-90039.731178980001"/>
    <n v="0"/>
    <n v="0"/>
    <n v="0"/>
    <n v="0"/>
    <n v="1521"/>
    <n v="1097545.44744"/>
    <s v="EPER"/>
    <n v="7414000005"/>
  </r>
  <r>
    <x v="254"/>
    <s v="BANCO SANTANDER (MEXICO) FIDEICOMISO F/2112388-1"/>
    <x v="57"/>
    <s v="NORMAL"/>
    <s v="MXN"/>
    <n v="508"/>
    <n v="635.96311900000001"/>
    <n v="323069.26445199997"/>
    <n v="647.93802047999998"/>
    <n v="-6083.24995184"/>
    <n v="0"/>
    <n v="0"/>
    <n v="0"/>
    <n v="0"/>
    <n v="508"/>
    <n v="323069.26445199997"/>
    <s v="EPER"/>
    <n v="7414000005"/>
  </r>
  <r>
    <x v="254"/>
    <s v="BANCO SANTANDER (MEXICO) FIDEICOMISO F/2112388-1"/>
    <x v="58"/>
    <s v="NORMAL"/>
    <s v="MXN"/>
    <n v="127"/>
    <n v="709.36974099999998"/>
    <n v="90089.957106999995"/>
    <n v="738.26600040000005"/>
    <n v="-3669.8249437999998"/>
    <n v="0"/>
    <n v="0"/>
    <n v="0"/>
    <n v="0"/>
    <n v="127"/>
    <n v="90089.957106999995"/>
    <s v="EPER"/>
    <n v="7414000005"/>
  </r>
  <r>
    <x v="254"/>
    <s v="BANCO SANTANDER (MEXICO) FIDEICOMISO F/2112388-1"/>
    <x v="59"/>
    <s v="NORMAL"/>
    <s v="MXN"/>
    <n v="1790"/>
    <n v="694.41118700000004"/>
    <n v="1242996.0247299999"/>
    <n v="722.06277493048049"/>
    <n v="-49496.342395560001"/>
    <n v="0"/>
    <n v="0"/>
    <n v="0"/>
    <n v="0"/>
    <n v="1790"/>
    <n v="1242996.0247299999"/>
    <s v="EPER"/>
    <n v="7414000005"/>
  </r>
  <r>
    <x v="255"/>
    <s v="BANCO SANTANDER (MEXICO) FIDEICOMISO F/2112385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55"/>
    <s v="BANCO SANTANDER (MEXICO) FIDEICOMISO F/2112385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55"/>
    <s v="BANCO SANTANDER (MEXICO) FIDEICOMISO F/2112385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56"/>
    <s v="BANCO SANTANDER (MEXICO) FIDEICOMISO F/2112343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56"/>
    <s v="BANCO SANTANDER (MEXICO) FIDEICOMISO F/2112343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56"/>
    <s v="BANCO SANTANDER (MEXICO) FIDEICOMISO F/2112343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57"/>
    <s v="BANCO SANTANDER (MEXICO) FIDEICOMISO F/2112389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57"/>
    <s v="BANCO SANTANDER (MEXICO) FIDEICOMISO F/2112389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57"/>
    <s v="BANCO SANTANDER (MEXICO) FIDEICOMISO F/2112389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58"/>
    <s v="BANCO SANTANDER (MEXICO) FIDEICOMISO F/2112386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58"/>
    <s v="BANCO SANTANDER (MEXICO) FIDEICOMISO F/2112386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58"/>
    <s v="BANCO SANTANDER (MEXICO) FIDEICOMISO F/2112386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59"/>
    <s v="BANCO SANTANDER (MEXICO) FIDEICOMISO F/2112384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59"/>
    <s v="BANCO SANTANDER (MEXICO) FIDEICOMISO F/2112384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59"/>
    <s v="BANCO SANTANDER (MEXICO) FIDEICOMISO F/2112384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60"/>
    <s v="BANCO SANTANDER (MEXICO) FIDEICOMISO F/2112356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60"/>
    <s v="BANCO SANTANDER (MEXICO) FIDEICOMISO F/2112356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60"/>
    <s v="BANCO SANTANDER (MEXICO) FIDEICOMISO F/2112356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61"/>
    <s v="SERV.CORP.SAUZA,SA DE CV (F.P.BENEFICIO DEFINIDO )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62"/>
    <s v="BANCO SANTANDER (MEXICO) FIDEICOMISO F/2000712-1"/>
    <x v="75"/>
    <s v="NORMAL"/>
    <s v="MXN"/>
    <n v="668079"/>
    <n v="3.612981"/>
    <n v="2413756.7334989998"/>
    <n v="3.6023749885866789"/>
    <n v="7085.653499"/>
    <n v="0"/>
    <n v="0"/>
    <n v="0"/>
    <n v="0"/>
    <n v="668079"/>
    <n v="2413756.7334989998"/>
    <s v="EPER"/>
    <n v="7414000005"/>
  </r>
  <r>
    <x v="262"/>
    <s v="BANCO SANTANDER (MEXICO) FIDEICOMISO F/2000712-1"/>
    <x v="76"/>
    <s v="NORMAL"/>
    <s v="MXN"/>
    <n v="3853660"/>
    <n v="137.04691399999999"/>
    <n v="528132210.60523999"/>
    <n v="117.20955695364925"/>
    <n v="76446429.355240002"/>
    <n v="0"/>
    <n v="0"/>
    <n v="0"/>
    <n v="0"/>
    <n v="3853660"/>
    <n v="528132210.60523999"/>
    <s v="EPER"/>
    <n v="7414000005"/>
  </r>
  <r>
    <x v="263"/>
    <s v="BANCO SANTANDER (MEXICO) FIDEICOMISO F/2000713-1"/>
    <x v="76"/>
    <s v="NORMAL"/>
    <s v="MXN"/>
    <n v="11235729"/>
    <n v="137.04691399999999"/>
    <n v="1539821985.9903059"/>
    <n v="95.653063462103788"/>
    <n v="465090086.91030598"/>
    <n v="0"/>
    <n v="0"/>
    <n v="0"/>
    <n v="0"/>
    <n v="11235729"/>
    <n v="1539821985.9903059"/>
    <s v="EPER"/>
    <n v="7414000005"/>
  </r>
  <r>
    <x v="264"/>
    <s v="BANCO SANTANDER (MEXICO) FIDEICOMISO F/2000711-1"/>
    <x v="4"/>
    <s v="NORMAL"/>
    <s v="MXN"/>
    <n v="15500"/>
    <n v="168.64"/>
    <n v="2613920"/>
    <n v="170.82553999999999"/>
    <n v="-33875.870000000003"/>
    <n v="0"/>
    <n v="0"/>
    <n v="0"/>
    <n v="0"/>
    <n v="15500"/>
    <n v="2613920"/>
    <s v="EPER"/>
    <n v="7414000005"/>
  </r>
  <r>
    <x v="264"/>
    <s v="BANCO SANTANDER (MEXICO) FIDEICOMISO F/2000711-1"/>
    <x v="6"/>
    <s v="NORMAL"/>
    <s v="MXN"/>
    <n v="80000"/>
    <n v="12.48"/>
    <n v="998400"/>
    <n v="11.544299867499999"/>
    <n v="74856.010599999994"/>
    <n v="0"/>
    <n v="0"/>
    <n v="0"/>
    <n v="0"/>
    <n v="80000"/>
    <n v="998400"/>
    <s v="EPER"/>
    <n v="7414000005"/>
  </r>
  <r>
    <x v="264"/>
    <s v="BANCO SANTANDER (MEXICO) FIDEICOMISO F/2000711-1"/>
    <x v="187"/>
    <s v="NORMAL"/>
    <s v="MXN"/>
    <n v="33657"/>
    <n v="11.86"/>
    <n v="399172.02"/>
    <n v="12.731641560448049"/>
    <n v="-29336.84"/>
    <n v="0"/>
    <n v="0"/>
    <n v="0"/>
    <n v="0"/>
    <n v="33657"/>
    <n v="399172.02"/>
    <s v="EPER"/>
    <n v="7414000005"/>
  </r>
  <r>
    <x v="264"/>
    <s v="BANCO SANTANDER (MEXICO) FIDEICOMISO F/2000711-1"/>
    <x v="7"/>
    <s v="NORMAL"/>
    <s v="MXN"/>
    <n v="30000"/>
    <n v="73.37"/>
    <n v="2201100"/>
    <n v="59.822946999999999"/>
    <n v="406411.59"/>
    <n v="0"/>
    <n v="0"/>
    <n v="0"/>
    <n v="0"/>
    <n v="30000"/>
    <n v="2201100"/>
    <s v="EPER"/>
    <n v="7414000005"/>
  </r>
  <r>
    <x v="264"/>
    <s v="BANCO SANTANDER (MEXICO) FIDEICOMISO F/2000711-1"/>
    <x v="10"/>
    <s v="NORMAL"/>
    <s v="MXN"/>
    <n v="543000"/>
    <n v="15.12"/>
    <n v="8210160"/>
    <n v="16.445542259300183"/>
    <n v="-719769.44680000003"/>
    <n v="0"/>
    <n v="0"/>
    <n v="0"/>
    <n v="0"/>
    <n v="543000"/>
    <n v="8210160"/>
    <s v="EPER"/>
    <n v="7414000005"/>
  </r>
  <r>
    <x v="264"/>
    <s v="BANCO SANTANDER (MEXICO) FIDEICOMISO F/2000711-1"/>
    <x v="11"/>
    <s v="NORMAL"/>
    <s v="MXN"/>
    <n v="8200"/>
    <n v="525.09"/>
    <n v="4305738"/>
    <n v="505.66193902439022"/>
    <n v="159310.1"/>
    <n v="0"/>
    <n v="0"/>
    <n v="0"/>
    <n v="0"/>
    <n v="8200"/>
    <n v="4305738"/>
    <s v="EPER"/>
    <n v="7414000005"/>
  </r>
  <r>
    <x v="264"/>
    <s v="BANCO SANTANDER (MEXICO) FIDEICOMISO F/2000711-1"/>
    <x v="12"/>
    <s v="NORMAL"/>
    <s v="MXN"/>
    <n v="28700"/>
    <n v="68.25"/>
    <n v="1958775"/>
    <n v="77.533172125435541"/>
    <n v="-266427.03999999998"/>
    <n v="0"/>
    <n v="0"/>
    <n v="0"/>
    <n v="0"/>
    <n v="28700"/>
    <n v="1958775"/>
    <s v="EPER"/>
    <n v="7414000005"/>
  </r>
  <r>
    <x v="264"/>
    <s v="BANCO SANTANDER (MEXICO) FIDEICOMISO F/2000711-1"/>
    <x v="14"/>
    <s v="NORMAL"/>
    <s v="MXN"/>
    <n v="620000"/>
    <n v="14.33"/>
    <n v="8884600"/>
    <n v="10.717748806451613"/>
    <n v="2239595.7400000002"/>
    <n v="0"/>
    <n v="0"/>
    <n v="0"/>
    <n v="0"/>
    <n v="620000"/>
    <n v="8884600"/>
    <s v="EPER"/>
    <n v="7414000005"/>
  </r>
  <r>
    <x v="264"/>
    <s v="BANCO SANTANDER (MEXICO) FIDEICOMISO F/2000711-1"/>
    <x v="220"/>
    <s v="NORMAL"/>
    <s v="MXN"/>
    <n v="6300"/>
    <n v="124.49"/>
    <n v="784287"/>
    <n v="131.39971587301588"/>
    <n v="-43531.21"/>
    <n v="0"/>
    <n v="0"/>
    <n v="0"/>
    <n v="0"/>
    <n v="6300"/>
    <n v="784287"/>
    <s v="EPER"/>
    <n v="7414000005"/>
  </r>
  <r>
    <x v="264"/>
    <s v="BANCO SANTANDER (MEXICO) FIDEICOMISO F/2000711-1"/>
    <x v="221"/>
    <s v="NORMAL"/>
    <s v="MXN"/>
    <n v="213000"/>
    <n v="20.11"/>
    <n v="4283430"/>
    <n v="25.833747323943662"/>
    <n v="-1219158.18"/>
    <n v="0"/>
    <n v="0"/>
    <n v="0"/>
    <n v="0"/>
    <n v="213000"/>
    <n v="4283430"/>
    <s v="EPER"/>
    <n v="7414000005"/>
  </r>
  <r>
    <x v="264"/>
    <s v="BANCO SANTANDER (MEXICO) FIDEICOMISO F/2000711-1"/>
    <x v="222"/>
    <s v="NORMAL"/>
    <s v="MXN"/>
    <n v="29629"/>
    <n v="55"/>
    <n v="1629595"/>
    <n v="20"/>
    <n v="1037015"/>
    <n v="0"/>
    <n v="0"/>
    <n v="0"/>
    <n v="0"/>
    <n v="29629"/>
    <n v="1629595"/>
    <s v="EPER"/>
    <n v="7414000005"/>
  </r>
  <r>
    <x v="264"/>
    <s v="BANCO SANTANDER (MEXICO) FIDEICOMISO F/2000711-1"/>
    <x v="17"/>
    <s v="NORMAL"/>
    <s v="MXN"/>
    <n v="8140"/>
    <n v="675.38"/>
    <n v="5497593.2000000002"/>
    <n v="837.4808353808354"/>
    <n v="-1319500.8"/>
    <n v="0"/>
    <n v="0"/>
    <n v="0"/>
    <n v="0"/>
    <n v="8140"/>
    <n v="5497593.2000000002"/>
    <s v="EPER"/>
    <n v="7414000005"/>
  </r>
  <r>
    <x v="264"/>
    <s v="BANCO SANTANDER (MEXICO) FIDEICOMISO F/2000711-1"/>
    <x v="66"/>
    <s v="NORMAL"/>
    <s v="MXN"/>
    <n v="0"/>
    <n v="0"/>
    <n v="44802929.479999997"/>
    <n v="0"/>
    <n v="0"/>
    <n v="0"/>
    <n v="0"/>
    <n v="0"/>
    <n v="0"/>
    <n v="0"/>
    <n v="44802929.479999997"/>
    <s v="EPER"/>
    <n v="7414000005"/>
  </r>
  <r>
    <x v="264"/>
    <s v="BANCO SANTANDER (MEXICO) FIDEICOMISO F/2000711-1"/>
    <x v="18"/>
    <s v="NORMAL"/>
    <s v="MXN"/>
    <n v="1930"/>
    <n v="700.65"/>
    <n v="1352254.5"/>
    <n v="774.49088082901551"/>
    <n v="-142512.9"/>
    <n v="0"/>
    <n v="0"/>
    <n v="0"/>
    <n v="0"/>
    <n v="1930"/>
    <n v="1352254.5"/>
    <s v="EPER"/>
    <n v="7414000005"/>
  </r>
  <r>
    <x v="264"/>
    <s v="BANCO SANTANDER (MEXICO) FIDEICOMISO F/2000711-1"/>
    <x v="19"/>
    <s v="NORMAL"/>
    <s v="MXN"/>
    <n v="2670"/>
    <n v="1151"/>
    <n v="3073170"/>
    <n v="1073.7219101123596"/>
    <n v="206332.5"/>
    <n v="0"/>
    <n v="0"/>
    <n v="0"/>
    <n v="0"/>
    <n v="2670"/>
    <n v="3073170"/>
    <s v="EPER"/>
    <n v="7414000005"/>
  </r>
  <r>
    <x v="264"/>
    <s v="BANCO SANTANDER (MEXICO) FIDEICOMISO F/2000711-1"/>
    <x v="20"/>
    <s v="NORMAL"/>
    <s v="MXN"/>
    <n v="48800"/>
    <n v="207.81"/>
    <n v="10141128"/>
    <n v="164.2448868852459"/>
    <n v="2125977.52"/>
    <n v="0"/>
    <n v="0"/>
    <n v="0"/>
    <n v="0"/>
    <n v="48800"/>
    <n v="10141128"/>
    <s v="EPER"/>
    <n v="7414000005"/>
  </r>
  <r>
    <x v="264"/>
    <s v="BANCO SANTANDER (MEXICO) FIDEICOMISO F/2000711-1"/>
    <x v="223"/>
    <s v="NORMAL"/>
    <s v="MXN"/>
    <n v="2790"/>
    <n v="838.1"/>
    <n v="2338299"/>
    <n v="632.7621505376344"/>
    <n v="572892.6"/>
    <n v="0"/>
    <n v="0"/>
    <n v="0"/>
    <n v="0"/>
    <n v="2790"/>
    <n v="2338299"/>
    <s v="EPER"/>
    <n v="7414000005"/>
  </r>
  <r>
    <x v="264"/>
    <s v="BANCO SANTANDER (MEXICO) FIDEICOMISO F/2000711-1"/>
    <x v="224"/>
    <s v="NORMAL"/>
    <s v="MXN"/>
    <n v="21901"/>
    <n v="293.147626"/>
    <n v="6420226.1570260003"/>
    <n v="575.54750000000001"/>
    <n v="-6184839.640474"/>
    <n v="0"/>
    <n v="0"/>
    <n v="0"/>
    <n v="0"/>
    <n v="21901"/>
    <n v="6420226.1570260003"/>
    <s v="EPER"/>
    <n v="7414000005"/>
  </r>
  <r>
    <x v="264"/>
    <s v="BANCO SANTANDER (MEXICO) FIDEICOMISO F/2000711-1"/>
    <x v="194"/>
    <s v="NORMAL"/>
    <s v="MXN"/>
    <n v="223079"/>
    <n v="30.9"/>
    <n v="6893141.0999999996"/>
    <n v="22.913386511056622"/>
    <n v="1781645.7505000001"/>
    <n v="0"/>
    <n v="0"/>
    <n v="0"/>
    <n v="0"/>
    <n v="223079"/>
    <n v="6893141.0999999996"/>
    <s v="EPER"/>
    <n v="7414000005"/>
  </r>
  <r>
    <x v="264"/>
    <s v="BANCO SANTANDER (MEXICO) FIDEICOMISO F/2000711-1"/>
    <x v="195"/>
    <s v="NORMAL"/>
    <s v="MXN"/>
    <n v="151410"/>
    <n v="68.83"/>
    <n v="10421550.300000001"/>
    <n v="44.799007720758205"/>
    <n v="3638532.5410000002"/>
    <n v="0"/>
    <n v="0"/>
    <n v="0"/>
    <n v="0"/>
    <n v="151410"/>
    <n v="10421550.300000001"/>
    <s v="EPER"/>
    <n v="7414000005"/>
  </r>
  <r>
    <x v="264"/>
    <s v="BANCO SANTANDER (MEXICO) FIDEICOMISO F/2000711-1"/>
    <x v="225"/>
    <s v="NORMAL"/>
    <s v="MXN"/>
    <n v="2648"/>
    <n v="958"/>
    <n v="2536784"/>
    <n v="1000"/>
    <n v="-111216"/>
    <n v="0"/>
    <n v="0"/>
    <n v="0"/>
    <n v="0"/>
    <n v="2648"/>
    <n v="2536784"/>
    <s v="EPER"/>
    <n v="7414000005"/>
  </r>
  <r>
    <x v="264"/>
    <s v="BANCO SANTANDER (MEXICO) FIDEICOMISO F/2000711-1"/>
    <x v="226"/>
    <s v="NORMAL"/>
    <s v="MXN"/>
    <n v="350000"/>
    <n v="26.59"/>
    <n v="9306500"/>
    <n v="24.139288028571428"/>
    <n v="857749.19"/>
    <n v="0"/>
    <n v="0"/>
    <n v="0"/>
    <n v="0"/>
    <n v="350000"/>
    <n v="9306500"/>
    <s v="EPER"/>
    <n v="7414000005"/>
  </r>
  <r>
    <x v="264"/>
    <s v="BANCO SANTANDER (MEXICO) FIDEICOMISO F/2000711-1"/>
    <x v="227"/>
    <s v="NORMAL"/>
    <s v="MXN"/>
    <n v="126663"/>
    <n v="24.456977999999999"/>
    <n v="3097794.2044139998"/>
    <n v="0"/>
    <n v="3097794.2044139998"/>
    <n v="0"/>
    <n v="0"/>
    <n v="0"/>
    <n v="0"/>
    <n v="126663"/>
    <n v="3097794.2044139998"/>
    <s v="EPER"/>
    <n v="7414000005"/>
  </r>
  <r>
    <x v="264"/>
    <s v="BANCO SANTANDER (MEXICO) FIDEICOMISO F/2000711-1"/>
    <x v="21"/>
    <s v="NORMAL"/>
    <s v="MXN"/>
    <n v="3200"/>
    <n v="271.94"/>
    <n v="870208"/>
    <n v="298.36692812500002"/>
    <n v="-84566.17"/>
    <n v="0"/>
    <n v="0"/>
    <n v="0"/>
    <n v="0"/>
    <n v="3200"/>
    <n v="870208"/>
    <s v="EPER"/>
    <n v="7414000005"/>
  </r>
  <r>
    <x v="264"/>
    <s v="BANCO SANTANDER (MEXICO) FIDEICOMISO F/2000711-1"/>
    <x v="22"/>
    <s v="NORMAL"/>
    <s v="MXN"/>
    <n v="15600"/>
    <n v="193.15"/>
    <n v="3013140"/>
    <n v="162.74262371794873"/>
    <n v="474355.07"/>
    <n v="0"/>
    <n v="0"/>
    <n v="0"/>
    <n v="0"/>
    <n v="15600"/>
    <n v="3013140"/>
    <s v="EPER"/>
    <n v="7414000005"/>
  </r>
  <r>
    <x v="264"/>
    <s v="BANCO SANTANDER (MEXICO) FIDEICOMISO F/2000711-1"/>
    <x v="23"/>
    <s v="NORMAL"/>
    <s v="MXN"/>
    <n v="105000"/>
    <n v="27.12"/>
    <n v="2847600"/>
    <n v="22.78933"/>
    <n v="454720.35"/>
    <n v="0"/>
    <n v="0"/>
    <n v="0"/>
    <n v="0"/>
    <n v="105000"/>
    <n v="2847600"/>
    <s v="EPER"/>
    <n v="7414000005"/>
  </r>
  <r>
    <x v="264"/>
    <s v="BANCO SANTANDER (MEXICO) FIDEICOMISO F/2000711-1"/>
    <x v="24"/>
    <s v="NORMAL"/>
    <s v="MXN"/>
    <n v="79700"/>
    <n v="176.44"/>
    <n v="14062268"/>
    <n v="148.7169486825596"/>
    <n v="2209527.19"/>
    <n v="0"/>
    <n v="0"/>
    <n v="0"/>
    <n v="0"/>
    <n v="79700"/>
    <n v="14062268"/>
    <s v="EPER"/>
    <n v="7414000005"/>
  </r>
  <r>
    <x v="264"/>
    <s v="BANCO SANTANDER (MEXICO) FIDEICOMISO F/2000711-1"/>
    <x v="25"/>
    <s v="NORMAL"/>
    <s v="MXN"/>
    <n v="90000"/>
    <n v="104.12"/>
    <n v="9370800"/>
    <n v="84.655938000000006"/>
    <n v="1751765.58"/>
    <n v="0"/>
    <n v="0"/>
    <n v="0"/>
    <n v="0"/>
    <n v="90000"/>
    <n v="9370800"/>
    <s v="EPER"/>
    <n v="7414000005"/>
  </r>
  <r>
    <x v="264"/>
    <s v="BANCO SANTANDER (MEXICO) FIDEICOMISO F/2000711-1"/>
    <x v="35"/>
    <s v="NORMAL"/>
    <s v="MXN"/>
    <n v="3631"/>
    <n v="86.197128000000006"/>
    <n v="312981.77176799998"/>
    <n v="90.513099729999993"/>
    <n v="-15671.29335163"/>
    <n v="0"/>
    <n v="0"/>
    <n v="0"/>
    <n v="0"/>
    <n v="3631"/>
    <n v="312981.77176799998"/>
    <s v="EPER"/>
    <n v="7414000005"/>
  </r>
  <r>
    <x v="264"/>
    <s v="BANCO SANTANDER (MEXICO) FIDEICOMISO F/2000711-1"/>
    <x v="36"/>
    <s v="NORMAL"/>
    <s v="MXN"/>
    <n v="1043412"/>
    <n v="86.469353999999996"/>
    <n v="90223161.595847994"/>
    <n v="93.062941122302945"/>
    <n v="-6879827.9264563601"/>
    <n v="0"/>
    <n v="0"/>
    <n v="0"/>
    <n v="0"/>
    <n v="1043412"/>
    <n v="90223161.595847994"/>
    <s v="EPER"/>
    <n v="7414000005"/>
  </r>
  <r>
    <x v="264"/>
    <s v="BANCO SANTANDER (MEXICO) FIDEICOMISO F/2000711-1"/>
    <x v="81"/>
    <s v="NORMAL"/>
    <s v="MXN"/>
    <n v="604560"/>
    <n v="101.45096599999999"/>
    <n v="61333196.004960001"/>
    <n v="106.69030219649861"/>
    <n v="-3167493.0909552001"/>
    <n v="0"/>
    <n v="0"/>
    <n v="0"/>
    <n v="0"/>
    <n v="604560"/>
    <n v="61333196.004960001"/>
    <s v="EPER"/>
    <n v="7414000005"/>
  </r>
  <r>
    <x v="264"/>
    <s v="BANCO SANTANDER (MEXICO) FIDEICOMISO F/2000711-1"/>
    <x v="68"/>
    <s v="NORMAL"/>
    <s v="MXN"/>
    <n v="1454000"/>
    <n v="89.643172000000007"/>
    <n v="130341172.088"/>
    <n v="104.54384082464924"/>
    <n v="-21665572.471039999"/>
    <n v="0"/>
    <n v="0"/>
    <n v="0"/>
    <n v="0"/>
    <n v="1454000"/>
    <n v="130341172.088"/>
    <s v="EPER"/>
    <n v="7414000005"/>
  </r>
  <r>
    <x v="264"/>
    <s v="BANCO SANTANDER (MEXICO) FIDEICOMISO F/2000711-1"/>
    <x v="37"/>
    <s v="NORMAL"/>
    <s v="MXN"/>
    <n v="2471689"/>
    <n v="81.738860000000003"/>
    <n v="202033041.13453999"/>
    <n v="84.445428765634105"/>
    <n v="-6689796.2457614001"/>
    <n v="0"/>
    <n v="0"/>
    <n v="0"/>
    <n v="0"/>
    <n v="2471689"/>
    <n v="202033041.13453999"/>
    <s v="EPER"/>
    <n v="7414000005"/>
  </r>
  <r>
    <x v="264"/>
    <s v="BANCO SANTANDER (MEXICO) FIDEICOMISO F/2000711-1"/>
    <x v="39"/>
    <s v="NORMAL"/>
    <s v="MXN"/>
    <n v="150000"/>
    <n v="82.159907000000004"/>
    <n v="12323986.050000001"/>
    <n v="84.282532649999993"/>
    <n v="-318393.84749999997"/>
    <n v="0"/>
    <n v="0"/>
    <n v="0"/>
    <n v="0"/>
    <n v="150000"/>
    <n v="12323986.050000001"/>
    <s v="EPER"/>
    <n v="7414000005"/>
  </r>
  <r>
    <x v="264"/>
    <s v="BANCO SANTANDER (MEXICO) FIDEICOMISO F/2000711-1"/>
    <x v="40"/>
    <s v="NORMAL"/>
    <s v="MXN"/>
    <n v="10700"/>
    <n v="314.42"/>
    <n v="3364294"/>
    <n v="282.21611121495329"/>
    <n v="344581.61"/>
    <n v="0"/>
    <n v="0"/>
    <n v="0"/>
    <n v="0"/>
    <n v="10700"/>
    <n v="3364294"/>
    <s v="EPER"/>
    <n v="7414000005"/>
  </r>
  <r>
    <x v="264"/>
    <s v="BANCO SANTANDER (MEXICO) FIDEICOMISO F/2000711-1"/>
    <x v="41"/>
    <s v="NORMAL"/>
    <s v="MXN"/>
    <n v="24998"/>
    <n v="43.85"/>
    <n v="1096162.3"/>
    <n v="47.334181134490763"/>
    <n v="-87097.56"/>
    <n v="0"/>
    <n v="0"/>
    <n v="0"/>
    <n v="0"/>
    <n v="24998"/>
    <n v="1096162.3"/>
    <s v="EPER"/>
    <n v="7414000005"/>
  </r>
  <r>
    <x v="264"/>
    <s v="BANCO SANTANDER (MEXICO) FIDEICOMISO F/2000711-1"/>
    <x v="228"/>
    <s v="NORMAL"/>
    <s v="MXN"/>
    <n v="1486193"/>
    <n v="100"/>
    <n v="148619300"/>
    <n v="100"/>
    <n v="0"/>
    <n v="0"/>
    <n v="0"/>
    <n v="0"/>
    <n v="0"/>
    <n v="1486193"/>
    <n v="148619300"/>
    <s v="EPER"/>
    <n v="7414000005"/>
  </r>
  <r>
    <x v="264"/>
    <s v="BANCO SANTANDER (MEXICO) FIDEICOMISO F/2000711-1"/>
    <x v="229"/>
    <s v="NORMAL"/>
    <s v="MXN"/>
    <n v="0"/>
    <n v="0"/>
    <n v="0"/>
    <n v="0"/>
    <n v="0"/>
    <n v="0"/>
    <n v="0"/>
    <n v="0"/>
    <n v="0"/>
    <n v="0"/>
    <n v="0"/>
    <s v="EPER"/>
    <n v="7414000005"/>
  </r>
  <r>
    <x v="264"/>
    <s v="BANCO SANTANDER (MEXICO) FIDEICOMISO F/2000711-1"/>
    <x v="82"/>
    <s v="NORMAL"/>
    <s v="MXN"/>
    <n v="0"/>
    <n v="0"/>
    <n v="0"/>
    <n v="0"/>
    <n v="0"/>
    <n v="0"/>
    <n v="0"/>
    <n v="0"/>
    <n v="0"/>
    <n v="0"/>
    <n v="0"/>
    <s v="EPER"/>
    <n v="7414000005"/>
  </r>
  <r>
    <x v="264"/>
    <s v="BANCO SANTANDER (MEXICO) FIDEICOMISO F/2000711-1"/>
    <x v="42"/>
    <s v="NORMAL"/>
    <s v="MXN"/>
    <n v="2560"/>
    <n v="8532.5"/>
    <n v="21843200"/>
    <n v="5139.7662109374996"/>
    <n v="8685398.5"/>
    <n v="0"/>
    <n v="0"/>
    <n v="0"/>
    <n v="0"/>
    <n v="2560"/>
    <n v="21843200"/>
    <s v="EPER"/>
    <n v="7414000005"/>
  </r>
  <r>
    <x v="264"/>
    <s v="BANCO SANTANDER (MEXICO) FIDEICOMISO F/2000711-1"/>
    <x v="43"/>
    <s v="NORMAL"/>
    <s v="MXN"/>
    <n v="6700"/>
    <n v="158.63"/>
    <n v="1062821"/>
    <n v="139.50334029850745"/>
    <n v="128148.62"/>
    <n v="0"/>
    <n v="0"/>
    <n v="0"/>
    <n v="0"/>
    <n v="6700"/>
    <n v="1062821"/>
    <s v="EPER"/>
    <n v="7414000005"/>
  </r>
  <r>
    <x v="264"/>
    <s v="BANCO SANTANDER (MEXICO) FIDEICOMISO F/2000711-1"/>
    <x v="44"/>
    <s v="NORMAL"/>
    <s v="MXN"/>
    <n v="37000"/>
    <n v="36.28"/>
    <n v="1342360"/>
    <n v="37"/>
    <n v="-26640"/>
    <n v="0"/>
    <n v="0"/>
    <n v="0"/>
    <n v="0"/>
    <n v="37000"/>
    <n v="1342360"/>
    <s v="EPER"/>
    <n v="7414000005"/>
  </r>
  <r>
    <x v="264"/>
    <s v="BANCO SANTANDER (MEXICO) FIDEICOMISO F/2000711-1"/>
    <x v="230"/>
    <s v="NORMAL"/>
    <s v="MXN"/>
    <n v="178000"/>
    <n v="5.34"/>
    <n v="950520"/>
    <n v="6.4192768539325842"/>
    <n v="-192111.28"/>
    <n v="0"/>
    <n v="0"/>
    <n v="0"/>
    <n v="0"/>
    <n v="178000"/>
    <n v="950520"/>
    <s v="EPER"/>
    <n v="7414000005"/>
  </r>
  <r>
    <x v="264"/>
    <s v="BANCO SANTANDER (MEXICO) FIDEICOMISO F/2000711-1"/>
    <x v="45"/>
    <s v="NORMAL"/>
    <s v="MXN"/>
    <n v="2000"/>
    <n v="136.35"/>
    <n v="272700"/>
    <n v="148.16526999999999"/>
    <n v="-23630.54"/>
    <n v="0"/>
    <n v="0"/>
    <n v="0"/>
    <n v="0"/>
    <n v="2000"/>
    <n v="272700"/>
    <s v="EPER"/>
    <n v="7414000005"/>
  </r>
  <r>
    <x v="264"/>
    <s v="BANCO SANTANDER (MEXICO) FIDEICOMISO F/2000711-1"/>
    <x v="48"/>
    <s v="NORMAL"/>
    <s v="MXN"/>
    <n v="11100"/>
    <n v="156"/>
    <n v="1731600"/>
    <n v="136.72613963963963"/>
    <n v="213939.85"/>
    <n v="0"/>
    <n v="0"/>
    <n v="0"/>
    <n v="0"/>
    <n v="11100"/>
    <n v="1731600"/>
    <s v="EPER"/>
    <n v="7414000005"/>
  </r>
  <r>
    <x v="264"/>
    <s v="BANCO SANTANDER (MEXICO) FIDEICOMISO F/2000711-1"/>
    <x v="231"/>
    <s v="NORMAL"/>
    <s v="MXN"/>
    <n v="1749360"/>
    <n v="293.77"/>
    <n v="513909487.19999999"/>
    <n v="157.51250899757625"/>
    <n v="238363404.46000001"/>
    <n v="0"/>
    <n v="0"/>
    <n v="0"/>
    <n v="0"/>
    <n v="1749360"/>
    <n v="513909487.19999999"/>
    <s v="EPER"/>
    <n v="7414000005"/>
  </r>
  <r>
    <x v="264"/>
    <s v="BANCO SANTANDER (MEXICO) FIDEICOMISO F/2000711-1"/>
    <x v="49"/>
    <s v="NORMAL"/>
    <s v="MXN"/>
    <n v="12480"/>
    <n v="682.55"/>
    <n v="8518224"/>
    <n v="862.97045833333334"/>
    <n v="-2251647.3199999998"/>
    <n v="0"/>
    <n v="0"/>
    <n v="0"/>
    <n v="0"/>
    <n v="12480"/>
    <n v="8518224"/>
    <s v="EPER"/>
    <n v="7414000005"/>
  </r>
  <r>
    <x v="264"/>
    <s v="BANCO SANTANDER (MEXICO) FIDEICOMISO F/2000711-1"/>
    <x v="232"/>
    <s v="NORMAL"/>
    <s v="MXN"/>
    <n v="530"/>
    <n v="8579.5"/>
    <n v="4547135"/>
    <n v="8683.8103773584899"/>
    <n v="-55284.5"/>
    <n v="0"/>
    <n v="0"/>
    <n v="0"/>
    <n v="0"/>
    <n v="530"/>
    <n v="4547135"/>
    <s v="EPER"/>
    <n v="7414000005"/>
  </r>
  <r>
    <x v="264"/>
    <s v="BANCO SANTANDER (MEXICO) FIDEICOMISO F/2000711-1"/>
    <x v="200"/>
    <s v="NORMAL"/>
    <s v="MXN"/>
    <n v="222000"/>
    <n v="42.3"/>
    <n v="9390600"/>
    <n v="28.120373513513513"/>
    <n v="3147877.08"/>
    <n v="0"/>
    <n v="0"/>
    <n v="0"/>
    <n v="0"/>
    <n v="222000"/>
    <n v="9390600"/>
    <s v="EPER"/>
    <n v="7414000005"/>
  </r>
  <r>
    <x v="264"/>
    <s v="BANCO SANTANDER (MEXICO) FIDEICOMISO F/2000711-1"/>
    <x v="233"/>
    <s v="NORMAL"/>
    <s v="MXN"/>
    <n v="37784"/>
    <n v="322.02000700000002"/>
    <n v="12167203.944488"/>
    <n v="503.09936198999998"/>
    <n v="-6841902.3489421597"/>
    <n v="0"/>
    <n v="0"/>
    <n v="0"/>
    <n v="0"/>
    <n v="37784"/>
    <n v="12167203.944488"/>
    <s v="EPER"/>
    <n v="7414000005"/>
  </r>
  <r>
    <x v="264"/>
    <s v="BANCO SANTANDER (MEXICO) FIDEICOMISO F/2000711-1"/>
    <x v="141"/>
    <s v="NORMAL"/>
    <s v="MXN"/>
    <n v="31420"/>
    <n v="256.05011500000001"/>
    <n v="8045094.6133000003"/>
    <n v="487.32003911999999"/>
    <n v="-7266501.0158503996"/>
    <n v="0"/>
    <n v="0"/>
    <n v="0"/>
    <n v="0"/>
    <n v="31420"/>
    <n v="8045094.6133000003"/>
    <s v="EPER"/>
    <n v="7414000005"/>
  </r>
  <r>
    <x v="264"/>
    <s v="BANCO SANTANDER (MEXICO) FIDEICOMISO F/2000711-1"/>
    <x v="128"/>
    <s v="NORMAL"/>
    <s v="MXN"/>
    <n v="36517"/>
    <n v="267.07593400000002"/>
    <n v="9752811.8818779998"/>
    <n v="538.83652969000002"/>
    <n v="-9923881.6728117298"/>
    <n v="0"/>
    <n v="0"/>
    <n v="0"/>
    <n v="0"/>
    <n v="36517"/>
    <n v="9752811.8818779998"/>
    <s v="EPER"/>
    <n v="7414000005"/>
  </r>
  <r>
    <x v="264"/>
    <s v="BANCO SANTANDER (MEXICO) FIDEICOMISO F/2000711-1"/>
    <x v="50"/>
    <s v="NORMAL"/>
    <s v="MXN"/>
    <n v="72000"/>
    <n v="31.41"/>
    <n v="2261520"/>
    <n v="32.375"/>
    <n v="-69480"/>
    <n v="0"/>
    <n v="0"/>
    <n v="0"/>
    <n v="0"/>
    <n v="72000"/>
    <n v="2261520"/>
    <s v="EPER"/>
    <n v="7414000005"/>
  </r>
  <r>
    <x v="264"/>
    <s v="BANCO SANTANDER (MEXICO) FIDEICOMISO F/2000711-1"/>
    <x v="53"/>
    <s v="NORMAL"/>
    <s v="MXN"/>
    <n v="43483"/>
    <n v="765.92388300000005"/>
    <n v="33304668.204489"/>
    <n v="717.65496547383918"/>
    <n v="2098877.3407900501"/>
    <n v="0"/>
    <n v="0"/>
    <n v="0"/>
    <n v="0"/>
    <n v="43483"/>
    <n v="33304668.204489"/>
    <s v="EPER"/>
    <n v="7414000005"/>
  </r>
  <r>
    <x v="264"/>
    <s v="BANCO SANTANDER (MEXICO) FIDEICOMISO F/2000711-1"/>
    <x v="54"/>
    <s v="NORMAL"/>
    <s v="MXN"/>
    <n v="95054"/>
    <n v="684.88915799999995"/>
    <n v="65101454.024531998"/>
    <n v="678.43247460614805"/>
    <n v="613733.58331919997"/>
    <n v="0"/>
    <n v="0"/>
    <n v="0"/>
    <n v="0"/>
    <n v="95054"/>
    <n v="65101454.024531998"/>
    <s v="EPER"/>
    <n v="7414000005"/>
  </r>
  <r>
    <x v="264"/>
    <s v="BANCO SANTANDER (MEXICO) FIDEICOMISO F/2000711-1"/>
    <x v="55"/>
    <s v="NORMAL"/>
    <s v="MXN"/>
    <n v="65179"/>
    <n v="772.926965"/>
    <n v="50378606.651735"/>
    <n v="764.76295260999996"/>
    <n v="532122.16356780997"/>
    <n v="0"/>
    <n v="0"/>
    <n v="0"/>
    <n v="0"/>
    <n v="65179"/>
    <n v="50378606.651735"/>
    <s v="EPER"/>
    <n v="7414000005"/>
  </r>
  <r>
    <x v="264"/>
    <s v="BANCO SANTANDER (MEXICO) FIDEICOMISO F/2000711-1"/>
    <x v="56"/>
    <s v="NORMAL"/>
    <s v="MXN"/>
    <n v="50524"/>
    <n v="721.59464000000003"/>
    <n v="36457847.591360003"/>
    <n v="708.66255697999998"/>
    <n v="653380.56250248"/>
    <n v="0"/>
    <n v="0"/>
    <n v="0"/>
    <n v="0"/>
    <n v="50524"/>
    <n v="36457847.591360003"/>
    <s v="EPER"/>
    <n v="7414000005"/>
  </r>
  <r>
    <x v="264"/>
    <s v="BANCO SANTANDER (MEXICO) FIDEICOMISO F/2000711-1"/>
    <x v="57"/>
    <s v="NORMAL"/>
    <s v="MXN"/>
    <n v="4491"/>
    <n v="635.96311900000001"/>
    <n v="2856110.3674289999"/>
    <n v="661.54398465999998"/>
    <n v="-114883.66767906"/>
    <n v="0"/>
    <n v="0"/>
    <n v="0"/>
    <n v="0"/>
    <n v="4491"/>
    <n v="2856110.3674289999"/>
    <s v="EPER"/>
    <n v="7414000005"/>
  </r>
  <r>
    <x v="264"/>
    <s v="BANCO SANTANDER (MEXICO) FIDEICOMISO F/2000711-1"/>
    <x v="58"/>
    <s v="NORMAL"/>
    <s v="MXN"/>
    <n v="62831"/>
    <n v="709.36974099999998"/>
    <n v="44570410.196771003"/>
    <n v="725.66912242720969"/>
    <n v="-1024106.43445301"/>
    <n v="0"/>
    <n v="0"/>
    <n v="0"/>
    <n v="0"/>
    <n v="62831"/>
    <n v="44570410.196771003"/>
    <s v="EPER"/>
    <n v="7414000005"/>
  </r>
  <r>
    <x v="264"/>
    <s v="BANCO SANTANDER (MEXICO) FIDEICOMISO F/2000711-1"/>
    <x v="59"/>
    <s v="NORMAL"/>
    <s v="MXN"/>
    <n v="83974"/>
    <n v="694.41118700000004"/>
    <n v="58312485.017137997"/>
    <n v="743.07193466345302"/>
    <n v="-4086237.6242908002"/>
    <n v="0"/>
    <n v="0"/>
    <n v="0"/>
    <n v="0"/>
    <n v="83974"/>
    <n v="58312485.017137997"/>
    <s v="EPER"/>
    <n v="7414000005"/>
  </r>
  <r>
    <x v="264"/>
    <s v="BANCO SANTANDER (MEXICO) FIDEICOMISO F/2000711-1"/>
    <x v="60"/>
    <s v="NORMAL"/>
    <s v="MXN"/>
    <n v="65000"/>
    <n v="58.67"/>
    <n v="3813550"/>
    <n v="44.735909076923079"/>
    <n v="905715.91"/>
    <n v="0"/>
    <n v="0"/>
    <n v="0"/>
    <n v="0"/>
    <n v="65000"/>
    <n v="3813550"/>
    <s v="EPER"/>
    <n v="7414000005"/>
  </r>
  <r>
    <x v="264"/>
    <s v="BANCO SANTANDER (MEXICO) FIDEICOMISO F/2000711-1"/>
    <x v="61"/>
    <s v="NORMAL"/>
    <s v="MXN"/>
    <n v="5130"/>
    <n v="1090"/>
    <n v="5591700"/>
    <n v="1094.6110136452241"/>
    <n v="-23654.5"/>
    <n v="0"/>
    <n v="0"/>
    <n v="0"/>
    <n v="0"/>
    <n v="5130"/>
    <n v="5591700"/>
    <s v="EPER"/>
    <n v="7414000005"/>
  </r>
  <r>
    <x v="264"/>
    <s v="BANCO SANTANDER (MEXICO) FIDEICOMISO F/2000711-1"/>
    <x v="215"/>
    <s v="NORMAL"/>
    <s v="MXN"/>
    <n v="4000"/>
    <n v="9.9999999999999995E-7"/>
    <n v="4.0000000000000001E-3"/>
    <n v="0.8"/>
    <n v="-3199.9960000000001"/>
    <n v="0"/>
    <n v="0"/>
    <n v="0"/>
    <n v="0"/>
    <n v="4000"/>
    <n v="4.0000000000000001E-3"/>
    <s v="EPER"/>
    <n v="7414000005"/>
  </r>
  <r>
    <x v="264"/>
    <s v="BANCO SANTANDER (MEXICO) FIDEICOMISO F/2000711-1"/>
    <x v="234"/>
    <s v="NORMAL"/>
    <s v="MXN"/>
    <n v="80000"/>
    <n v="12.09"/>
    <n v="967200"/>
    <n v="12.679009375"/>
    <n v="-47120.75"/>
    <n v="0"/>
    <n v="0"/>
    <n v="0"/>
    <n v="0"/>
    <n v="80000"/>
    <n v="967200"/>
    <s v="EPER"/>
    <n v="7414000005"/>
  </r>
  <r>
    <x v="264"/>
    <s v="BANCO SANTANDER (MEXICO) FIDEICOMISO F/2000711-1"/>
    <x v="63"/>
    <s v="NORMAL"/>
    <s v="MXN"/>
    <n v="144000"/>
    <n v="65.260000000000005"/>
    <n v="9397440"/>
    <n v="71.07415965277778"/>
    <n v="-837238.99"/>
    <n v="0"/>
    <n v="0"/>
    <n v="0"/>
    <n v="0"/>
    <n v="144000"/>
    <n v="9397440"/>
    <s v="EPER"/>
    <n v="7414000005"/>
  </r>
  <r>
    <x v="265"/>
    <s v="BANCO SANTANDER (MEXICO) FIDEICOMISO F/2000797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65"/>
    <s v="BANCO SANTANDER (MEXICO) FIDEICOMISO F/2000797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65"/>
    <s v="BANCO SANTANDER (MEXICO) FIDEICOMISO F/2000797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66"/>
    <s v="BANCO SANTANDER (MEXICO) FIDEICOMISO F/2000798-1"/>
    <x v="219"/>
    <s v="NORMAL"/>
    <s v="MXN"/>
    <n v="0"/>
    <n v="0"/>
    <n v="0"/>
    <n v="0"/>
    <n v="0"/>
    <n v="0"/>
    <n v="0"/>
    <n v="0"/>
    <n v="0"/>
    <n v="0"/>
    <n v="0"/>
    <s v="EPER"/>
    <n v="7414000005"/>
  </r>
  <r>
    <x v="266"/>
    <s v="BANCO SANTANDER (MEXICO) FIDEICOMISO F/2000798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66"/>
    <s v="BANCO SANTANDER (MEXICO) FIDEICOMISO F/2000798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66"/>
    <s v="BANCO SANTANDER (MEXICO) FIDEICOMISO F/2000798-1"/>
    <x v="68"/>
    <s v="NORMAL"/>
    <s v="MXN"/>
    <n v="0"/>
    <n v="0"/>
    <n v="0"/>
    <n v="0"/>
    <n v="0"/>
    <n v="0"/>
    <n v="0"/>
    <n v="0"/>
    <n v="0"/>
    <n v="0"/>
    <n v="0"/>
    <s v="EPER"/>
    <n v="7414000005"/>
  </r>
  <r>
    <x v="266"/>
    <s v="BANCO SANTANDER (MEXICO) FIDEICOMISO F/2000798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67"/>
    <s v="BANCO SANTANDER (MEXICO) FIDEICOMISO F/2000799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67"/>
    <s v="BANCO SANTANDER (MEXICO) FIDEICOMISO F/2000799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67"/>
    <s v="BANCO SANTANDER (MEXICO) FIDEICOMISO F/2000799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68"/>
    <s v="BANCO SANTANDER (MEXICO) FIDEICOMISO F/2000800-1"/>
    <x v="219"/>
    <s v="NORMAL"/>
    <s v="MXN"/>
    <n v="0"/>
    <n v="0"/>
    <n v="0"/>
    <n v="0"/>
    <n v="0"/>
    <n v="0"/>
    <n v="0"/>
    <n v="0"/>
    <n v="0"/>
    <n v="0"/>
    <n v="0"/>
    <s v="EPER"/>
    <n v="7414000005"/>
  </r>
  <r>
    <x v="268"/>
    <s v="BANCO SANTANDER (MEXICO) FIDEICOMISO F/2000800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68"/>
    <s v="BANCO SANTANDER (MEXICO) FIDEICOMISO F/2000800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68"/>
    <s v="BANCO SANTANDER (MEXICO) FIDEICOMISO F/2000800-1"/>
    <x v="68"/>
    <s v="NORMAL"/>
    <s v="MXN"/>
    <n v="0"/>
    <n v="0"/>
    <n v="0"/>
    <n v="0"/>
    <n v="0"/>
    <n v="0"/>
    <n v="0"/>
    <n v="0"/>
    <n v="0"/>
    <n v="0"/>
    <n v="0"/>
    <s v="EPER"/>
    <n v="7414000005"/>
  </r>
  <r>
    <x v="268"/>
    <s v="BANCO SANTANDER (MEXICO) FIDEICOMISO F/2000800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69"/>
    <s v="BANCO SANTANDER (MEXICO) FIDEICOMISO F/2000801-1"/>
    <x v="26"/>
    <s v="NORMAL"/>
    <s v="MXN"/>
    <n v="8910"/>
    <n v="98.730349000000004"/>
    <n v="879687.40959000005"/>
    <n v="111.89286593999999"/>
    <n v="-117278.0259354"/>
    <n v="0"/>
    <n v="0"/>
    <n v="0"/>
    <n v="0"/>
    <n v="8910"/>
    <n v="879687.40959000005"/>
    <s v="EPER"/>
    <n v="7414000005"/>
  </r>
  <r>
    <x v="269"/>
    <s v="BANCO SANTANDER (MEXICO) FIDEICOMISO F/2000801-1"/>
    <x v="67"/>
    <s v="NORMAL"/>
    <s v="MXN"/>
    <n v="13346"/>
    <n v="99.247497999999993"/>
    <n v="1324557.108308"/>
    <n v="95.22286979362805"/>
    <n v="53712.688042239999"/>
    <n v="0"/>
    <n v="0"/>
    <n v="0"/>
    <n v="0"/>
    <n v="13346"/>
    <n v="1324557.108308"/>
    <s v="EPER"/>
    <n v="7414000005"/>
  </r>
  <r>
    <x v="269"/>
    <s v="BANCO SANTANDER (MEXICO) FIDEICOMISO F/2000801-1"/>
    <x v="27"/>
    <s v="NORMAL"/>
    <s v="MXN"/>
    <n v="4700"/>
    <n v="94.973146999999997"/>
    <n v="446373.79090000002"/>
    <n v="89.85155469"/>
    <n v="24071.483856999999"/>
    <n v="0"/>
    <n v="0"/>
    <n v="0"/>
    <n v="0"/>
    <n v="4700"/>
    <n v="446373.79090000002"/>
    <s v="EPER"/>
    <n v="7414000005"/>
  </r>
  <r>
    <x v="269"/>
    <s v="BANCO SANTANDER (MEXICO) FIDEICOMISO F/2000801-1"/>
    <x v="28"/>
    <s v="NORMAL"/>
    <s v="MXN"/>
    <n v="4675"/>
    <n v="91.911821000000003"/>
    <n v="429687.76317499997"/>
    <n v="93.2088459"/>
    <n v="-6063.5914075000001"/>
    <n v="0"/>
    <n v="0"/>
    <n v="0"/>
    <n v="0"/>
    <n v="4675"/>
    <n v="429687.76317499997"/>
    <s v="EPER"/>
    <n v="7414000005"/>
  </r>
  <r>
    <x v="269"/>
    <s v="BANCO SANTANDER (MEXICO) FIDEICOMISO F/2000801-1"/>
    <x v="30"/>
    <s v="NORMAL"/>
    <s v="MXN"/>
    <n v="20034"/>
    <n v="88.698122999999995"/>
    <n v="1776978.196182"/>
    <n v="87.92799465467904"/>
    <n v="15428.751270160001"/>
    <n v="0"/>
    <n v="0"/>
    <n v="0"/>
    <n v="0"/>
    <n v="20034"/>
    <n v="1776978.196182"/>
    <s v="EPER"/>
    <n v="7414000005"/>
  </r>
  <r>
    <x v="269"/>
    <s v="BANCO SANTANDER (MEXICO) FIDEICOMISO F/2000801-1"/>
    <x v="31"/>
    <s v="NORMAL"/>
    <s v="MXN"/>
    <n v="27662"/>
    <n v="93.314192000000006"/>
    <n v="2581257.1791039999"/>
    <n v="91.833820967580067"/>
    <n v="40950.023498800001"/>
    <n v="0"/>
    <n v="0"/>
    <n v="0"/>
    <n v="0"/>
    <n v="27662"/>
    <n v="2581257.1791039999"/>
    <s v="EPER"/>
    <n v="7414000005"/>
  </r>
  <r>
    <x v="269"/>
    <s v="BANCO SANTANDER (MEXICO) FIDEICOMISO F/2000801-1"/>
    <x v="33"/>
    <s v="NORMAL"/>
    <s v="MXN"/>
    <n v="27986"/>
    <n v="94.870157000000006"/>
    <n v="2655036.213802"/>
    <n v="96.442151479397552"/>
    <n v="-43993.837500419999"/>
    <n v="0"/>
    <n v="0"/>
    <n v="0"/>
    <n v="0"/>
    <n v="27986"/>
    <n v="2655036.213802"/>
    <s v="EPER"/>
    <n v="7414000005"/>
  </r>
  <r>
    <x v="269"/>
    <s v="BANCO SANTANDER (MEXICO) FIDEICOMISO F/2000801-1"/>
    <x v="34"/>
    <s v="NORMAL"/>
    <s v="MXN"/>
    <n v="24133"/>
    <n v="89.489464999999996"/>
    <n v="2159649.2588450001"/>
    <n v="87.13566842186674"/>
    <n v="56804.172820090003"/>
    <n v="0"/>
    <n v="0"/>
    <n v="0"/>
    <n v="0"/>
    <n v="24133"/>
    <n v="2159649.2588450001"/>
    <s v="EPER"/>
    <n v="7414000005"/>
  </r>
  <r>
    <x v="269"/>
    <s v="BANCO SANTANDER (MEXICO) FIDEICOMISO F/2000801-1"/>
    <x v="35"/>
    <s v="NORMAL"/>
    <s v="MXN"/>
    <n v="32013"/>
    <n v="86.197128000000006"/>
    <n v="2759428.6586640002"/>
    <n v="88.945763563934022"/>
    <n v="-87992.070308220005"/>
    <n v="0"/>
    <n v="0"/>
    <n v="0"/>
    <n v="0"/>
    <n v="32013"/>
    <n v="2759428.6586640002"/>
    <s v="EPER"/>
    <n v="7414000005"/>
  </r>
  <r>
    <x v="269"/>
    <s v="BANCO SANTANDER (MEXICO) FIDEICOMISO F/2000801-1"/>
    <x v="36"/>
    <s v="NORMAL"/>
    <s v="MXN"/>
    <n v="19806"/>
    <n v="86.469353999999996"/>
    <n v="1712612.025324"/>
    <n v="91.07811500887307"/>
    <n v="-91281.120541740005"/>
    <n v="0"/>
    <n v="0"/>
    <n v="0"/>
    <n v="0"/>
    <n v="19806"/>
    <n v="1712612.025324"/>
    <s v="EPER"/>
    <n v="7414000005"/>
  </r>
  <r>
    <x v="269"/>
    <s v="BANCO SANTANDER (MEXICO) FIDEICOMISO F/2000801-1"/>
    <x v="81"/>
    <s v="NORMAL"/>
    <s v="MXN"/>
    <n v="1346"/>
    <n v="101.45096599999999"/>
    <n v="136553.00023599999"/>
    <n v="112.51809989"/>
    <n v="-14896.36221594"/>
    <n v="0"/>
    <n v="0"/>
    <n v="0"/>
    <n v="0"/>
    <n v="1346"/>
    <n v="136553.00023599999"/>
    <s v="EPER"/>
    <n v="7414000005"/>
  </r>
  <r>
    <x v="269"/>
    <s v="BANCO SANTANDER (MEXICO) FIDEICOMISO F/2000801-1"/>
    <x v="68"/>
    <s v="NORMAL"/>
    <s v="MXN"/>
    <n v="2349"/>
    <n v="89.643172000000007"/>
    <n v="210571.811028"/>
    <n v="108.47711812999999"/>
    <n v="-44240.939459369998"/>
    <n v="0"/>
    <n v="0"/>
    <n v="0"/>
    <n v="0"/>
    <n v="2349"/>
    <n v="210571.811028"/>
    <s v="EPER"/>
    <n v="7414000005"/>
  </r>
  <r>
    <x v="269"/>
    <s v="BANCO SANTANDER (MEXICO) FIDEICOMISO F/2000801-1"/>
    <x v="37"/>
    <s v="NORMAL"/>
    <s v="MXN"/>
    <n v="35416"/>
    <n v="81.738860000000003"/>
    <n v="2894863.4657600001"/>
    <n v="86.036916747858598"/>
    <n v="-152219.97778215999"/>
    <n v="0"/>
    <n v="0"/>
    <n v="0"/>
    <n v="0"/>
    <n v="35416"/>
    <n v="2894863.4657600001"/>
    <s v="EPER"/>
    <n v="7414000005"/>
  </r>
  <r>
    <x v="269"/>
    <s v="BANCO SANTANDER (MEXICO) FIDEICOMISO F/2000801-1"/>
    <x v="38"/>
    <s v="NORMAL"/>
    <s v="MXN"/>
    <n v="4925"/>
    <n v="83.200761"/>
    <n v="409763.74792499997"/>
    <n v="94.413862603664981"/>
    <n v="-55224.525398049998"/>
    <n v="0"/>
    <n v="0"/>
    <n v="0"/>
    <n v="0"/>
    <n v="4925"/>
    <n v="409763.74792499997"/>
    <s v="EPER"/>
    <n v="7414000005"/>
  </r>
  <r>
    <x v="269"/>
    <s v="BANCO SANTANDER (MEXICO) FIDEICOMISO F/2000801-1"/>
    <x v="39"/>
    <s v="NORMAL"/>
    <s v="MXN"/>
    <n v="15299"/>
    <n v="82.159907000000004"/>
    <n v="1256964.417193"/>
    <n v="83.901439880585656"/>
    <n v="-26643.711540079999"/>
    <n v="0"/>
    <n v="0"/>
    <n v="0"/>
    <n v="0"/>
    <n v="15299"/>
    <n v="1256964.417193"/>
    <s v="EPER"/>
    <n v="7414000005"/>
  </r>
  <r>
    <x v="269"/>
    <s v="BANCO SANTANDER (MEXICO) FIDEICOMISO F/2000801-1"/>
    <x v="88"/>
    <s v="NORMAL"/>
    <s v="MXN"/>
    <n v="39"/>
    <n v="98.007834000000003"/>
    <n v="3822.3055260000001"/>
    <n v="93.280048030000003"/>
    <n v="184.38365282999999"/>
    <n v="0"/>
    <n v="0"/>
    <n v="0"/>
    <n v="0"/>
    <n v="39"/>
    <n v="3822.3055260000001"/>
    <s v="EPER"/>
    <n v="7414000005"/>
  </r>
  <r>
    <x v="269"/>
    <s v="BANCO SANTANDER (MEXICO) FIDEICOMISO F/2000801-1"/>
    <x v="0"/>
    <s v="NORMAL"/>
    <s v="MXN"/>
    <n v="183266"/>
    <n v="3.3967719999999999"/>
    <n v="622512.81735200004"/>
    <n v="3.3772509903637338"/>
    <n v="3577.5373519999998"/>
    <n v="0"/>
    <n v="0"/>
    <n v="0"/>
    <n v="0"/>
    <n v="183266"/>
    <n v="622512.81735200004"/>
    <s v="EPER"/>
    <n v="7414000005"/>
  </r>
  <r>
    <x v="269"/>
    <s v="BANCO SANTANDER (MEXICO) FIDEICOMISO F/2000801-1"/>
    <x v="51"/>
    <s v="NORMAL"/>
    <s v="MXN"/>
    <n v="355"/>
    <n v="775.69178699999998"/>
    <n v="275370.58438499999"/>
    <n v="766.69784126000002"/>
    <n v="3192.8507377000001"/>
    <n v="0"/>
    <n v="0"/>
    <n v="0"/>
    <n v="0"/>
    <n v="355"/>
    <n v="275370.58438499999"/>
    <s v="EPER"/>
    <n v="7414000005"/>
  </r>
  <r>
    <x v="269"/>
    <s v="BANCO SANTANDER (MEXICO) FIDEICOMISO F/2000801-1"/>
    <x v="52"/>
    <s v="NORMAL"/>
    <s v="MXN"/>
    <n v="2720"/>
    <n v="747.17843200000004"/>
    <n v="2032325.33504"/>
    <n v="730.88430605281246"/>
    <n v="44320.022576349998"/>
    <n v="0"/>
    <n v="0"/>
    <n v="0"/>
    <n v="0"/>
    <n v="2720"/>
    <n v="2032325.33504"/>
    <s v="EPER"/>
    <n v="7414000005"/>
  </r>
  <r>
    <x v="269"/>
    <s v="BANCO SANTANDER (MEXICO) FIDEICOMISO F/2000801-1"/>
    <x v="53"/>
    <s v="NORMAL"/>
    <s v="MXN"/>
    <n v="2426"/>
    <n v="765.92388300000005"/>
    <n v="1858131.3401579999"/>
    <n v="748.91547549314919"/>
    <n v="41262.396611620003"/>
    <n v="0"/>
    <n v="0"/>
    <n v="0"/>
    <n v="0"/>
    <n v="2426"/>
    <n v="1858131.3401579999"/>
    <s v="EPER"/>
    <n v="7414000005"/>
  </r>
  <r>
    <x v="269"/>
    <s v="BANCO SANTANDER (MEXICO) FIDEICOMISO F/2000801-1"/>
    <x v="54"/>
    <s v="NORMAL"/>
    <s v="MXN"/>
    <n v="5019"/>
    <n v="684.88915799999995"/>
    <n v="3437458.6840019999"/>
    <n v="677.58278405570832"/>
    <n v="36670.690826400001"/>
    <n v="0"/>
    <n v="0"/>
    <n v="0"/>
    <n v="0"/>
    <n v="5019"/>
    <n v="3437458.6840019999"/>
    <s v="EPER"/>
    <n v="7414000005"/>
  </r>
  <r>
    <x v="269"/>
    <s v="BANCO SANTANDER (MEXICO) FIDEICOMISO F/2000801-1"/>
    <x v="55"/>
    <s v="NORMAL"/>
    <s v="MXN"/>
    <n v="2824"/>
    <n v="772.926965"/>
    <n v="2182745.7491600001"/>
    <n v="780.99044725911119"/>
    <n v="-22771.27389973"/>
    <n v="0"/>
    <n v="0"/>
    <n v="0"/>
    <n v="0"/>
    <n v="2824"/>
    <n v="2182745.7491600001"/>
    <s v="EPER"/>
    <n v="7414000005"/>
  </r>
  <r>
    <x v="269"/>
    <s v="BANCO SANTANDER (MEXICO) FIDEICOMISO F/2000801-1"/>
    <x v="56"/>
    <s v="NORMAL"/>
    <s v="MXN"/>
    <n v="3330"/>
    <n v="721.59464000000003"/>
    <n v="2402910.1512000002"/>
    <n v="766.83795300300903"/>
    <n v="-150660.23230002"/>
    <n v="0"/>
    <n v="0"/>
    <n v="0"/>
    <n v="0"/>
    <n v="3330"/>
    <n v="2402910.1512000002"/>
    <s v="EPER"/>
    <n v="7414000005"/>
  </r>
  <r>
    <x v="269"/>
    <s v="BANCO SANTANDER (MEXICO) FIDEICOMISO F/2000801-1"/>
    <x v="57"/>
    <s v="NORMAL"/>
    <s v="MXN"/>
    <n v="1182"/>
    <n v="635.96311900000001"/>
    <n v="751708.40665799996"/>
    <n v="647.93802047999998"/>
    <n v="-14154.333549360001"/>
    <n v="0"/>
    <n v="0"/>
    <n v="0"/>
    <n v="0"/>
    <n v="1182"/>
    <n v="751708.40665799996"/>
    <s v="EPER"/>
    <n v="7414000005"/>
  </r>
  <r>
    <x v="269"/>
    <s v="BANCO SANTANDER (MEXICO) FIDEICOMISO F/2000801-1"/>
    <x v="58"/>
    <s v="NORMAL"/>
    <s v="MXN"/>
    <n v="1011"/>
    <n v="709.36974099999998"/>
    <n v="717172.80815099995"/>
    <n v="760.47954784557862"/>
    <n v="-51672.014720879997"/>
    <n v="0"/>
    <n v="0"/>
    <n v="0"/>
    <n v="0"/>
    <n v="1011"/>
    <n v="717172.80815099995"/>
    <s v="EPER"/>
    <n v="7414000005"/>
  </r>
  <r>
    <x v="269"/>
    <s v="BANCO SANTANDER (MEXICO) FIDEICOMISO F/2000801-1"/>
    <x v="59"/>
    <s v="NORMAL"/>
    <s v="MXN"/>
    <n v="5255"/>
    <n v="694.41118700000004"/>
    <n v="3649130.7876849999"/>
    <n v="745.80046417109804"/>
    <n v="-270050.65153412003"/>
    <n v="0"/>
    <n v="0"/>
    <n v="0"/>
    <n v="0"/>
    <n v="5255"/>
    <n v="3649130.7876849999"/>
    <s v="EPER"/>
    <n v="7414000005"/>
  </r>
  <r>
    <x v="270"/>
    <s v="BANCO SANTANDER (MEXICO) FIDEICOMISO F/2000803-1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70"/>
    <s v="BANCO SANTANDER (MEXICO) FIDEICOMISO F/2000803-1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70"/>
    <s v="BANCO SANTANDER (MEXICO) FIDEICOMISO F/2000803-1"/>
    <x v="56"/>
    <s v="NORMAL"/>
    <s v="MXN"/>
    <n v="0"/>
    <n v="0"/>
    <n v="0"/>
    <n v="0"/>
    <n v="0"/>
    <n v="0"/>
    <n v="0"/>
    <n v="0"/>
    <n v="0"/>
    <n v="0"/>
    <n v="0"/>
    <s v="EPER"/>
    <n v="7414000005"/>
  </r>
  <r>
    <x v="271"/>
    <s v="BANCO SANTANDER (MEXICO) FIDEICOMISO F/2001213-2"/>
    <x v="188"/>
    <s v="NORMAL"/>
    <s v="MXN"/>
    <n v="4500000"/>
    <n v="9.6141520000000007"/>
    <n v="43263684"/>
    <n v="9.0305956599999995"/>
    <n v="2626003.5299999998"/>
    <n v="0"/>
    <n v="0"/>
    <n v="0"/>
    <n v="0"/>
    <n v="4500000"/>
    <n v="43263684"/>
    <s v="EPER"/>
    <n v="7414000005"/>
  </r>
  <r>
    <x v="271"/>
    <s v="BANCO SANTANDER (MEXICO) FIDEICOMISO F/2001213-2"/>
    <x v="86"/>
    <s v="NORMAL"/>
    <s v="MXN"/>
    <n v="85065"/>
    <n v="9.4935880000000008"/>
    <n v="807572.06322000001"/>
    <n v="8.2405490399999994"/>
    <n v="106589.75913239999"/>
    <n v="0"/>
    <n v="0"/>
    <n v="0"/>
    <n v="0"/>
    <n v="85065"/>
    <n v="807572.06322000001"/>
    <s v="EPER"/>
    <n v="7414000005"/>
  </r>
  <r>
    <x v="271"/>
    <s v="BANCO SANTANDER (MEXICO) FIDEICOMISO F/2001213-2"/>
    <x v="72"/>
    <s v="NORMAL"/>
    <s v="MXN"/>
    <n v="339672"/>
    <n v="9.3381629999999998"/>
    <n v="3171912.5025360002"/>
    <n v="8.3163347003177179"/>
    <n v="347086.46220968"/>
    <n v="0"/>
    <n v="0"/>
    <n v="0"/>
    <n v="0"/>
    <n v="339672"/>
    <n v="3171912.5025360002"/>
    <s v="EPER"/>
    <n v="7414000005"/>
  </r>
  <r>
    <x v="271"/>
    <s v="BANCO SANTANDER (MEXICO) FIDEICOMISO F/2001213-2"/>
    <x v="15"/>
    <s v="NORMAL"/>
    <s v="MXN"/>
    <n v="396010"/>
    <n v="9.190137"/>
    <n v="3639386.15337"/>
    <n v="8.2169445233590057"/>
    <n v="385393.9526746"/>
    <n v="0"/>
    <n v="0"/>
    <n v="0"/>
    <n v="0"/>
    <n v="396010"/>
    <n v="3639386.15337"/>
    <s v="EPER"/>
    <n v="7414000005"/>
  </r>
  <r>
    <x v="271"/>
    <s v="BANCO SANTANDER (MEXICO) FIDEICOMISO F/2001213-2"/>
    <x v="70"/>
    <s v="NORMAL"/>
    <s v="MXN"/>
    <n v="95990"/>
    <n v="9.0112480000000001"/>
    <n v="864989.69551999995"/>
    <n v="8.9969798000000001"/>
    <n v="1369.6045180000001"/>
    <n v="0"/>
    <n v="0"/>
    <n v="0"/>
    <n v="0"/>
    <n v="95990"/>
    <n v="864989.69551999995"/>
    <s v="EPER"/>
    <n v="7414000005"/>
  </r>
  <r>
    <x v="271"/>
    <s v="BANCO SANTANDER (MEXICO) FIDEICOMISO F/2001213-2"/>
    <x v="16"/>
    <s v="NORMAL"/>
    <s v="MXN"/>
    <n v="178190"/>
    <n v="8.2580650000000002"/>
    <n v="1471504.6023500001"/>
    <n v="8.2501711100000001"/>
    <n v="1406.6122591000001"/>
    <n v="0"/>
    <n v="0"/>
    <n v="0"/>
    <n v="0"/>
    <n v="178190"/>
    <n v="1471504.6023500001"/>
    <s v="EPER"/>
    <n v="7414000005"/>
  </r>
  <r>
    <x v="271"/>
    <s v="BANCO SANTANDER (MEXICO) FIDEICOMISO F/2001213-2"/>
    <x v="0"/>
    <s v="NORMAL"/>
    <s v="MXN"/>
    <n v="3475671"/>
    <n v="3.3967719999999999"/>
    <n v="11806061.934012"/>
    <n v="3.3610751650544599"/>
    <n v="124070.454012"/>
    <n v="0"/>
    <n v="0"/>
    <n v="0"/>
    <n v="0"/>
    <n v="3475671"/>
    <n v="11806061.934012"/>
    <s v="EPER"/>
    <n v="741400000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4" indent="0" outline="1" outlineData="1" multipleFieldFilters="0">
  <location ref="L5:M52" firstHeaderRow="1" firstDataRow="1" firstDataCol="1"/>
  <pivotFields count="8">
    <pivotField showAll="0"/>
    <pivotField showAll="0"/>
    <pivotField axis="axisRow" dataField="1" showAll="0">
      <items count="253">
        <item m="1" x="222"/>
        <item m="1" x="188"/>
        <item m="1" x="209"/>
        <item m="1" x="202"/>
        <item m="1" x="200"/>
        <item m="1" x="80"/>
        <item m="1" x="88"/>
        <item m="1" x="91"/>
        <item m="1" x="57"/>
        <item m="1" x="104"/>
        <item m="1" x="82"/>
        <item m="1" x="206"/>
        <item m="1" x="118"/>
        <item m="1" x="240"/>
        <item m="1" x="115"/>
        <item m="1" x="189"/>
        <item m="1" x="187"/>
        <item m="1" x="165"/>
        <item m="1" x="201"/>
        <item m="1" x="116"/>
        <item x="19"/>
        <item x="20"/>
        <item m="1" x="235"/>
        <item x="23"/>
        <item x="24"/>
        <item x="5"/>
        <item x="6"/>
        <item m="1" x="219"/>
        <item m="1" x="220"/>
        <item m="1" x="226"/>
        <item m="1" x="227"/>
        <item m="1" x="242"/>
        <item m="1" x="251"/>
        <item m="1" x="87"/>
        <item m="1" x="89"/>
        <item m="1" x="90"/>
        <item m="1" x="92"/>
        <item m="1" x="94"/>
        <item m="1" x="142"/>
        <item m="1" x="53"/>
        <item m="1" x="109"/>
        <item m="1" x="207"/>
        <item x="1"/>
        <item m="1" x="247"/>
        <item x="14"/>
        <item x="15"/>
        <item x="16"/>
        <item m="1" x="230"/>
        <item x="12"/>
        <item x="21"/>
        <item x="22"/>
        <item m="1" x="245"/>
        <item m="1" x="246"/>
        <item m="1" x="83"/>
        <item m="1" x="52"/>
        <item m="1" x="124"/>
        <item m="1" x="121"/>
        <item x="4"/>
        <item m="1" x="133"/>
        <item m="1" x="130"/>
        <item m="1" x="224"/>
        <item m="1" x="100"/>
        <item x="7"/>
        <item m="1" x="205"/>
        <item m="1" x="169"/>
        <item m="1" x="215"/>
        <item m="1" x="84"/>
        <item m="1" x="85"/>
        <item m="1" x="128"/>
        <item m="1" x="139"/>
        <item m="1" x="166"/>
        <item m="1" x="167"/>
        <item m="1" x="168"/>
        <item m="1" x="170"/>
        <item m="1" x="162"/>
        <item m="1" x="132"/>
        <item m="1" x="161"/>
        <item m="1" x="127"/>
        <item m="1" x="51"/>
        <item m="1" x="151"/>
        <item m="1" x="192"/>
        <item m="1" x="134"/>
        <item m="1" x="48"/>
        <item x="3"/>
        <item m="1" x="125"/>
        <item m="1" x="176"/>
        <item m="1" x="194"/>
        <item m="1" x="141"/>
        <item m="1" x="186"/>
        <item m="1" x="103"/>
        <item m="1" x="126"/>
        <item m="1" x="50"/>
        <item m="1" x="179"/>
        <item m="1" x="243"/>
        <item m="1" x="244"/>
        <item m="1" x="208"/>
        <item m="1" x="112"/>
        <item m="1" x="210"/>
        <item m="1" x="120"/>
        <item m="1" x="180"/>
        <item m="1" x="63"/>
        <item x="13"/>
        <item x="35"/>
        <item m="1" x="101"/>
        <item m="1" x="81"/>
        <item m="1" x="55"/>
        <item m="1" x="56"/>
        <item m="1" x="54"/>
        <item m="1" x="191"/>
        <item m="1" x="135"/>
        <item x="36"/>
        <item m="1" x="232"/>
        <item m="1" x="228"/>
        <item m="1" x="159"/>
        <item m="1" x="122"/>
        <item m="1" x="158"/>
        <item m="1" x="66"/>
        <item m="1" x="67"/>
        <item m="1" x="68"/>
        <item m="1" x="69"/>
        <item m="1" x="70"/>
        <item m="1" x="71"/>
        <item m="1" x="86"/>
        <item m="1" x="93"/>
        <item m="1" x="95"/>
        <item m="1" x="96"/>
        <item m="1" x="97"/>
        <item m="1" x="102"/>
        <item m="1" x="157"/>
        <item m="1" x="107"/>
        <item m="1" x="190"/>
        <item m="1" x="111"/>
        <item m="1" x="113"/>
        <item m="1" x="117"/>
        <item m="1" x="237"/>
        <item m="1" x="105"/>
        <item m="1" x="214"/>
        <item m="1" x="143"/>
        <item m="1" x="106"/>
        <item m="1" x="78"/>
        <item m="1" x="221"/>
        <item m="1" x="183"/>
        <item m="1" x="213"/>
        <item m="1" x="160"/>
        <item m="1" x="108"/>
        <item x="8"/>
        <item x="37"/>
        <item m="1" x="196"/>
        <item x="25"/>
        <item x="26"/>
        <item m="1" x="138"/>
        <item m="1" x="203"/>
        <item m="1" x="110"/>
        <item m="1" x="155"/>
        <item m="1" x="236"/>
        <item m="1" x="145"/>
        <item m="1" x="147"/>
        <item m="1" x="148"/>
        <item m="1" x="149"/>
        <item m="1" x="150"/>
        <item m="1" x="152"/>
        <item m="1" x="153"/>
        <item m="1" x="156"/>
        <item m="1" x="98"/>
        <item m="1" x="198"/>
        <item m="1" x="199"/>
        <item m="1" x="137"/>
        <item m="1" x="217"/>
        <item m="1" x="218"/>
        <item m="1" x="238"/>
        <item m="1" x="163"/>
        <item m="1" x="140"/>
        <item m="1" x="241"/>
        <item m="1" x="119"/>
        <item m="1" x="211"/>
        <item m="1" x="154"/>
        <item m="1" x="223"/>
        <item m="1" x="225"/>
        <item m="1" x="229"/>
        <item m="1" x="231"/>
        <item m="1" x="233"/>
        <item m="1" x="131"/>
        <item x="0"/>
        <item m="1" x="239"/>
        <item m="1" x="184"/>
        <item m="1" x="173"/>
        <item m="1" x="177"/>
        <item x="17"/>
        <item x="18"/>
        <item m="1" x="129"/>
        <item m="1" x="99"/>
        <item x="2"/>
        <item x="9"/>
        <item x="10"/>
        <item x="11"/>
        <item m="1" x="212"/>
        <item m="1" x="204"/>
        <item m="1" x="234"/>
        <item m="1" x="72"/>
        <item m="1" x="123"/>
        <item m="1" x="249"/>
        <item m="1" x="216"/>
        <item m="1" x="181"/>
        <item m="1" x="144"/>
        <item m="1" x="248"/>
        <item m="1" x="175"/>
        <item x="31"/>
        <item m="1" x="171"/>
        <item m="1" x="172"/>
        <item m="1" x="174"/>
        <item m="1" x="178"/>
        <item m="1" x="182"/>
        <item m="1" x="185"/>
        <item m="1" x="47"/>
        <item m="1" x="76"/>
        <item m="1" x="197"/>
        <item x="28"/>
        <item m="1" x="164"/>
        <item m="1" x="136"/>
        <item x="29"/>
        <item x="33"/>
        <item x="30"/>
        <item x="32"/>
        <item x="34"/>
        <item m="1" x="195"/>
        <item m="1" x="77"/>
        <item m="1" x="58"/>
        <item m="1" x="75"/>
        <item m="1" x="46"/>
        <item m="1" x="59"/>
        <item m="1" x="146"/>
        <item m="1" x="114"/>
        <item m="1" x="250"/>
        <item m="1" x="193"/>
        <item x="39"/>
        <item m="1" x="49"/>
        <item x="42"/>
        <item x="43"/>
        <item m="1" x="60"/>
        <item m="1" x="61"/>
        <item x="45"/>
        <item m="1" x="74"/>
        <item m="1" x="79"/>
        <item x="40"/>
        <item m="1" x="64"/>
        <item m="1" x="65"/>
        <item x="38"/>
        <item m="1" x="73"/>
        <item x="44"/>
        <item m="1" x="62"/>
        <item x="41"/>
        <item x="27"/>
        <item t="default"/>
      </items>
    </pivotField>
    <pivotField showAll="0"/>
    <pivotField showAll="0"/>
    <pivotField showAll="0"/>
    <pivotField showAll="0"/>
    <pivotField showAll="0"/>
  </pivotFields>
  <rowFields count="1">
    <field x="2"/>
  </rowFields>
  <rowItems count="47">
    <i>
      <x v="20"/>
    </i>
    <i>
      <x v="21"/>
    </i>
    <i>
      <x v="23"/>
    </i>
    <i>
      <x v="24"/>
    </i>
    <i>
      <x v="25"/>
    </i>
    <i>
      <x v="26"/>
    </i>
    <i>
      <x v="42"/>
    </i>
    <i>
      <x v="44"/>
    </i>
    <i>
      <x v="45"/>
    </i>
    <i>
      <x v="46"/>
    </i>
    <i>
      <x v="48"/>
    </i>
    <i>
      <x v="49"/>
    </i>
    <i>
      <x v="50"/>
    </i>
    <i>
      <x v="57"/>
    </i>
    <i>
      <x v="62"/>
    </i>
    <i>
      <x v="83"/>
    </i>
    <i>
      <x v="101"/>
    </i>
    <i>
      <x v="102"/>
    </i>
    <i>
      <x v="110"/>
    </i>
    <i>
      <x v="145"/>
    </i>
    <i>
      <x v="146"/>
    </i>
    <i>
      <x v="148"/>
    </i>
    <i>
      <x v="149"/>
    </i>
    <i>
      <x v="182"/>
    </i>
    <i>
      <x v="187"/>
    </i>
    <i>
      <x v="188"/>
    </i>
    <i>
      <x v="191"/>
    </i>
    <i>
      <x v="192"/>
    </i>
    <i>
      <x v="193"/>
    </i>
    <i>
      <x v="194"/>
    </i>
    <i>
      <x v="206"/>
    </i>
    <i>
      <x v="216"/>
    </i>
    <i>
      <x v="219"/>
    </i>
    <i>
      <x v="220"/>
    </i>
    <i>
      <x v="221"/>
    </i>
    <i>
      <x v="222"/>
    </i>
    <i>
      <x v="223"/>
    </i>
    <i>
      <x v="234"/>
    </i>
    <i>
      <x v="236"/>
    </i>
    <i>
      <x v="237"/>
    </i>
    <i>
      <x v="240"/>
    </i>
    <i>
      <x v="243"/>
    </i>
    <i>
      <x v="246"/>
    </i>
    <i>
      <x v="248"/>
    </i>
    <i>
      <x v="250"/>
    </i>
    <i>
      <x v="251"/>
    </i>
    <i t="grand">
      <x/>
    </i>
  </rowItems>
  <colItems count="1">
    <i/>
  </colItems>
  <dataFields count="1">
    <dataField name="Cuenta de Contrato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2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4" indent="0" outline="1" outlineData="1" multipleFieldFilters="0">
  <location ref="AA5:AC9" firstHeaderRow="0" firstDataRow="1" firstDataCol="1" rowPageCount="1" colPageCount="1"/>
  <pivotFields count="18">
    <pivotField axis="axisPage" showAll="0">
      <items count="434">
        <item m="1" x="317"/>
        <item x="23"/>
        <item x="24"/>
        <item x="25"/>
        <item x="26"/>
        <item x="27"/>
        <item x="28"/>
        <item x="29"/>
        <item x="30"/>
        <item m="1" x="301"/>
        <item x="31"/>
        <item x="32"/>
        <item x="33"/>
        <item m="1" x="377"/>
        <item x="35"/>
        <item x="36"/>
        <item m="1" x="300"/>
        <item x="37"/>
        <item x="38"/>
        <item x="39"/>
        <item x="40"/>
        <item m="1" x="402"/>
        <item m="1" x="418"/>
        <item m="1" x="423"/>
        <item x="41"/>
        <item x="42"/>
        <item x="43"/>
        <item m="1" x="353"/>
        <item x="44"/>
        <item x="45"/>
        <item m="1" x="391"/>
        <item m="1" x="274"/>
        <item m="1" x="389"/>
        <item x="46"/>
        <item x="47"/>
        <item x="102"/>
        <item x="103"/>
        <item x="104"/>
        <item x="105"/>
        <item x="106"/>
        <item x="107"/>
        <item x="108"/>
        <item x="109"/>
        <item x="110"/>
        <item x="112"/>
        <item x="113"/>
        <item x="114"/>
        <item x="115"/>
        <item x="116"/>
        <item x="117"/>
        <item x="118"/>
        <item m="1" x="275"/>
        <item m="1" x="310"/>
        <item m="1" x="361"/>
        <item m="1" x="376"/>
        <item x="119"/>
        <item x="120"/>
        <item x="121"/>
        <item x="122"/>
        <item x="124"/>
        <item x="125"/>
        <item x="130"/>
        <item x="133"/>
        <item x="134"/>
        <item m="1" x="307"/>
        <item m="1" x="399"/>
        <item x="137"/>
        <item x="138"/>
        <item m="1" x="360"/>
        <item m="1" x="272"/>
        <item m="1" x="285"/>
        <item m="1" x="372"/>
        <item x="139"/>
        <item m="1" x="382"/>
        <item m="1" x="420"/>
        <item m="1" x="282"/>
        <item m="1" x="309"/>
        <item x="140"/>
        <item m="1" x="400"/>
        <item m="1" x="413"/>
        <item m="1" x="277"/>
        <item m="1" x="331"/>
        <item m="1" x="425"/>
        <item x="141"/>
        <item m="1" x="367"/>
        <item m="1" x="273"/>
        <item m="1" x="332"/>
        <item x="142"/>
        <item m="1" x="340"/>
        <item x="143"/>
        <item m="1" x="351"/>
        <item x="175"/>
        <item x="176"/>
        <item x="182"/>
        <item x="183"/>
        <item m="1" x="369"/>
        <item x="184"/>
        <item x="185"/>
        <item m="1" x="334"/>
        <item m="1" x="337"/>
        <item x="186"/>
        <item x="187"/>
        <item x="188"/>
        <item x="189"/>
        <item x="190"/>
        <item x="191"/>
        <item m="1" x="403"/>
        <item m="1" x="406"/>
        <item m="1" x="409"/>
        <item m="1" x="414"/>
        <item x="192"/>
        <item x="193"/>
        <item x="194"/>
        <item x="195"/>
        <item x="196"/>
        <item x="197"/>
        <item m="1" x="276"/>
        <item x="198"/>
        <item m="1" x="284"/>
        <item m="1" x="287"/>
        <item m="1" x="289"/>
        <item m="1" x="304"/>
        <item m="1" x="306"/>
        <item m="1" x="320"/>
        <item m="1" x="325"/>
        <item m="1" x="328"/>
        <item x="199"/>
        <item m="1" x="404"/>
        <item x="200"/>
        <item x="201"/>
        <item x="202"/>
        <item m="1" x="355"/>
        <item m="1" x="358"/>
        <item m="1" x="363"/>
        <item m="1" x="364"/>
        <item x="203"/>
        <item x="204"/>
        <item x="205"/>
        <item x="206"/>
        <item m="1" x="370"/>
        <item x="207"/>
        <item x="208"/>
        <item x="209"/>
        <item m="1" x="356"/>
        <item m="1" x="359"/>
        <item x="210"/>
        <item x="211"/>
        <item x="212"/>
        <item x="213"/>
        <item x="214"/>
        <item x="215"/>
        <item x="216"/>
        <item x="217"/>
        <item m="1" x="346"/>
        <item m="1" x="347"/>
        <item x="218"/>
        <item x="219"/>
        <item m="1" x="393"/>
        <item m="1" x="341"/>
        <item m="1" x="344"/>
        <item m="1" x="374"/>
        <item x="220"/>
        <item m="1" x="352"/>
        <item m="1" x="357"/>
        <item x="221"/>
        <item x="222"/>
        <item x="223"/>
        <item x="234"/>
        <item x="235"/>
        <item x="236"/>
        <item x="237"/>
        <item m="1" x="311"/>
        <item x="238"/>
        <item x="239"/>
        <item x="240"/>
        <item m="1" x="385"/>
        <item x="241"/>
        <item m="1" x="329"/>
        <item x="242"/>
        <item m="1" x="303"/>
        <item x="243"/>
        <item m="1" x="343"/>
        <item m="1" x="378"/>
        <item m="1" x="327"/>
        <item m="1" x="279"/>
        <item m="1" x="315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m="1" x="387"/>
        <item m="1" x="426"/>
        <item x="262"/>
        <item x="263"/>
        <item x="264"/>
        <item x="265"/>
        <item x="266"/>
        <item x="267"/>
        <item x="268"/>
        <item x="269"/>
        <item x="270"/>
        <item m="1" x="417"/>
        <item m="1" x="294"/>
        <item m="1" x="381"/>
        <item x="271"/>
        <item x="22"/>
        <item m="1" x="292"/>
        <item x="111"/>
        <item m="1" x="299"/>
        <item x="174"/>
        <item x="177"/>
        <item x="178"/>
        <item x="179"/>
        <item x="180"/>
        <item x="181"/>
        <item m="1" x="394"/>
        <item m="1" x="288"/>
        <item m="1" x="297"/>
        <item x="129"/>
        <item x="132"/>
        <item m="1" x="379"/>
        <item m="1" x="336"/>
        <item m="1" x="421"/>
        <item m="1" x="318"/>
        <item m="1" x="321"/>
        <item m="1" x="392"/>
        <item m="1" x="396"/>
        <item m="1" x="407"/>
        <item m="1" x="296"/>
        <item m="1" x="278"/>
        <item m="1" x="312"/>
        <item m="1" x="348"/>
        <item m="1" x="333"/>
        <item m="1" x="322"/>
        <item m="1" x="375"/>
        <item m="1" x="323"/>
        <item m="1" x="383"/>
        <item m="1" x="388"/>
        <item m="1" x="405"/>
        <item m="1" x="280"/>
        <item m="1" x="349"/>
        <item m="1" x="390"/>
        <item m="1" x="316"/>
        <item m="1" x="314"/>
        <item m="1" x="338"/>
        <item m="1" x="410"/>
        <item m="1" x="415"/>
        <item m="1" x="419"/>
        <item m="1" x="422"/>
        <item m="1" x="424"/>
        <item x="144"/>
        <item x="224"/>
        <item x="225"/>
        <item m="1" x="431"/>
        <item m="1" x="397"/>
        <item m="1" x="412"/>
        <item m="1" x="373"/>
        <item m="1" x="368"/>
        <item m="1" x="380"/>
        <item m="1" x="429"/>
        <item m="1" x="371"/>
        <item m="1" x="335"/>
        <item m="1" x="386"/>
        <item x="227"/>
        <item x="228"/>
        <item x="229"/>
        <item x="230"/>
        <item m="1" x="411"/>
        <item m="1" x="416"/>
        <item x="48"/>
        <item m="1" x="330"/>
        <item m="1" x="342"/>
        <item x="226"/>
        <item m="1" x="290"/>
        <item x="136"/>
        <item m="1" x="286"/>
        <item m="1" x="398"/>
        <item m="1" x="319"/>
        <item m="1" x="324"/>
        <item m="1" x="401"/>
        <item m="1" x="384"/>
        <item m="1" x="428"/>
        <item m="1" x="432"/>
        <item x="135"/>
        <item m="1" x="281"/>
        <item m="1" x="308"/>
        <item m="1" x="326"/>
        <item m="1" x="295"/>
        <item m="1" x="339"/>
        <item x="145"/>
        <item x="146"/>
        <item x="147"/>
        <item x="151"/>
        <item x="51"/>
        <item x="52"/>
        <item x="231"/>
        <item x="232"/>
        <item x="233"/>
        <item m="1" x="366"/>
        <item m="1" x="313"/>
        <item m="1" x="430"/>
        <item m="1" x="345"/>
        <item m="1" x="350"/>
        <item m="1" x="354"/>
        <item m="1" x="362"/>
        <item m="1" x="365"/>
        <item x="127"/>
        <item m="1" x="395"/>
        <item x="66"/>
        <item x="67"/>
        <item x="153"/>
        <item x="68"/>
        <item x="69"/>
        <item x="50"/>
        <item x="63"/>
        <item x="64"/>
        <item m="1" x="293"/>
        <item m="1" x="291"/>
        <item x="128"/>
        <item m="1" x="298"/>
        <item x="154"/>
        <item x="155"/>
        <item x="156"/>
        <item x="157"/>
        <item x="158"/>
        <item m="1" x="427"/>
        <item x="70"/>
        <item x="71"/>
        <item m="1" x="408"/>
        <item m="1" x="302"/>
        <item x="65"/>
        <item x="74"/>
        <item x="159"/>
        <item x="152"/>
        <item x="49"/>
        <item x="160"/>
        <item x="81"/>
        <item x="82"/>
        <item x="148"/>
        <item x="149"/>
        <item x="150"/>
        <item x="72"/>
        <item x="88"/>
        <item x="89"/>
        <item x="92"/>
        <item x="93"/>
        <item x="94"/>
        <item x="95"/>
        <item x="126"/>
        <item x="131"/>
        <item x="75"/>
        <item x="76"/>
        <item x="77"/>
        <item x="78"/>
        <item x="79"/>
        <item x="80"/>
        <item x="123"/>
        <item x="73"/>
        <item x="86"/>
        <item x="87"/>
        <item x="96"/>
        <item x="97"/>
        <item x="84"/>
        <item m="1" x="305"/>
        <item x="165"/>
        <item x="99"/>
        <item m="1" x="283"/>
        <item x="100"/>
        <item x="98"/>
        <item x="161"/>
        <item x="83"/>
        <item x="1"/>
        <item x="3"/>
        <item x="34"/>
        <item x="53"/>
        <item x="54"/>
        <item x="55"/>
        <item x="56"/>
        <item x="57"/>
        <item x="58"/>
        <item x="59"/>
        <item x="60"/>
        <item x="61"/>
        <item x="62"/>
        <item x="85"/>
        <item x="90"/>
        <item x="91"/>
        <item x="101"/>
        <item x="166"/>
        <item x="167"/>
        <item x="168"/>
        <item x="169"/>
        <item x="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62"/>
        <item x="163"/>
        <item x="164"/>
        <item x="170"/>
        <item x="171"/>
        <item x="172"/>
        <item x="173"/>
        <item x="0"/>
        <item x="4"/>
        <item x="19"/>
        <item x="21"/>
        <item x="20"/>
        <item t="default"/>
      </items>
    </pivotField>
    <pivotField showAll="0"/>
    <pivotField axis="axisRow" showAll="0">
      <items count="685">
        <item m="1" x="299"/>
        <item m="1" x="261"/>
        <item x="66"/>
        <item x="107"/>
        <item m="1" x="338"/>
        <item x="108"/>
        <item x="181"/>
        <item x="109"/>
        <item x="110"/>
        <item x="111"/>
        <item x="112"/>
        <item x="113"/>
        <item x="67"/>
        <item x="28"/>
        <item x="31"/>
        <item x="34"/>
        <item x="36"/>
        <item x="81"/>
        <item x="68"/>
        <item x="37"/>
        <item x="129"/>
        <item x="154"/>
        <item x="75"/>
        <item x="0"/>
        <item x="84"/>
        <item x="76"/>
        <item x="77"/>
        <item x="78"/>
        <item x="116"/>
        <item x="117"/>
        <item x="118"/>
        <item x="51"/>
        <item x="55"/>
        <item x="56"/>
        <item x="58"/>
        <item x="4"/>
        <item m="1" x="558"/>
        <item x="6"/>
        <item x="187"/>
        <item x="7"/>
        <item m="1" x="282"/>
        <item x="11"/>
        <item x="12"/>
        <item x="14"/>
        <item m="1" x="552"/>
        <item x="20"/>
        <item x="21"/>
        <item m="1" x="356"/>
        <item x="23"/>
        <item x="24"/>
        <item x="210"/>
        <item x="25"/>
        <item x="40"/>
        <item x="82"/>
        <item x="198"/>
        <item m="1" x="605"/>
        <item x="45"/>
        <item m="1" x="362"/>
        <item m="1" x="386"/>
        <item m="1" x="245"/>
        <item x="47"/>
        <item m="1" x="248"/>
        <item m="1" x="663"/>
        <item m="1" x="664"/>
        <item x="91"/>
        <item m="1" x="329"/>
        <item x="60"/>
        <item x="234"/>
        <item x="63"/>
        <item x="90"/>
        <item x="83"/>
        <item m="1" x="313"/>
        <item x="5"/>
        <item m="1" x="523"/>
        <item x="17"/>
        <item x="18"/>
        <item x="19"/>
        <item m="1" x="613"/>
        <item x="33"/>
        <item x="42"/>
        <item x="89"/>
        <item x="61"/>
        <item x="115"/>
        <item m="1" x="342"/>
        <item x="221"/>
        <item m="1" x="662"/>
        <item x="194"/>
        <item m="1" x="526"/>
        <item m="1" x="380"/>
        <item x="44"/>
        <item m="1" x="436"/>
        <item m="1" x="441"/>
        <item x="141"/>
        <item m="1" x="513"/>
        <item m="1" x="323"/>
        <item m="1" x="324"/>
        <item m="1" x="568"/>
        <item m="1" x="570"/>
        <item m="1" x="571"/>
        <item m="1" x="516"/>
        <item m="1" x="263"/>
        <item m="1" x="387"/>
        <item m="1" x="630"/>
        <item m="1" x="364"/>
        <item m="1" x="573"/>
        <item m="1" x="399"/>
        <item m="1" x="400"/>
        <item m="1" x="442"/>
        <item x="104"/>
        <item x="105"/>
        <item x="106"/>
        <item x="114"/>
        <item m="1" x="512"/>
        <item m="1" x="529"/>
        <item m="1" x="389"/>
        <item m="1" x="631"/>
        <item m="1" x="466"/>
        <item x="232"/>
        <item x="143"/>
        <item m="1" x="346"/>
        <item x="144"/>
        <item x="145"/>
        <item x="146"/>
        <item x="148"/>
        <item x="149"/>
        <item x="150"/>
        <item x="152"/>
        <item m="1" x="463"/>
        <item x="74"/>
        <item x="153"/>
        <item m="1" x="514"/>
        <item m="1" x="574"/>
        <item x="195"/>
        <item m="1" x="437"/>
        <item x="156"/>
        <item m="1" x="271"/>
        <item x="184"/>
        <item x="157"/>
        <item m="1" x="269"/>
        <item m="1" x="293"/>
        <item m="1" x="242"/>
        <item x="175"/>
        <item x="176"/>
        <item x="177"/>
        <item x="178"/>
        <item x="179"/>
        <item x="180"/>
        <item x="182"/>
        <item x="130"/>
        <item x="79"/>
        <item m="1" x="321"/>
        <item x="172"/>
        <item x="223"/>
        <item m="1" x="307"/>
        <item m="1" x="283"/>
        <item x="226"/>
        <item x="200"/>
        <item m="1" x="388"/>
        <item m="1" x="467"/>
        <item x="185"/>
        <item m="1" x="502"/>
        <item m="1" x="509"/>
        <item m="1" x="575"/>
        <item x="208"/>
        <item x="209"/>
        <item x="201"/>
        <item m="1" x="555"/>
        <item m="1" x="579"/>
        <item x="211"/>
        <item m="1" x="318"/>
        <item m="1" x="464"/>
        <item m="1" x="665"/>
        <item x="212"/>
        <item x="213"/>
        <item x="214"/>
        <item m="1" x="648"/>
        <item m="1" x="649"/>
        <item x="215"/>
        <item x="216"/>
        <item x="218"/>
        <item m="1" x="272"/>
        <item m="1" x="600"/>
        <item m="1" x="624"/>
        <item m="1" x="446"/>
        <item m="1" x="524"/>
        <item m="1" x="277"/>
        <item x="227"/>
        <item x="228"/>
        <item x="229"/>
        <item x="231"/>
        <item m="1" x="563"/>
        <item x="233"/>
        <item x="128"/>
        <item x="155"/>
        <item m="1" x="504"/>
        <item m="1" x="503"/>
        <item m="1" x="507"/>
        <item m="1" x="505"/>
        <item m="1" x="235"/>
        <item m="1" x="262"/>
        <item x="53"/>
        <item x="41"/>
        <item m="1" x="481"/>
        <item m="1" x="422"/>
        <item m="1" x="429"/>
        <item m="1" x="431"/>
        <item m="1" x="274"/>
        <item m="1" x="276"/>
        <item m="1" x="659"/>
        <item x="205"/>
        <item m="1" x="594"/>
        <item m="1" x="557"/>
        <item m="1" x="286"/>
        <item m="1" x="651"/>
        <item m="1" x="657"/>
        <item m="1" x="661"/>
        <item m="1" x="403"/>
        <item m="1" x="255"/>
        <item m="1" x="643"/>
        <item m="1" x="584"/>
        <item m="1" x="518"/>
        <item m="1" x="653"/>
        <item m="1" x="301"/>
        <item m="1" x="302"/>
        <item m="1" x="309"/>
        <item m="1" x="423"/>
        <item m="1" x="254"/>
        <item m="1" x="381"/>
        <item m="1" x="420"/>
        <item x="124"/>
        <item m="1" x="296"/>
        <item m="1" x="273"/>
        <item m="1" x="275"/>
        <item m="1" x="358"/>
        <item m="1" x="671"/>
        <item m="1" x="572"/>
        <item m="1" x="398"/>
        <item m="1" x="371"/>
        <item m="1" x="372"/>
        <item m="1" x="315"/>
        <item m="1" x="550"/>
        <item m="1" x="615"/>
        <item m="1" x="616"/>
        <item m="1" x="355"/>
        <item m="1" x="450"/>
        <item m="1" x="367"/>
        <item m="1" x="576"/>
        <item m="1" x="577"/>
        <item m="1" x="604"/>
        <item m="1" x="561"/>
        <item m="1" x="614"/>
        <item m="1" x="658"/>
        <item m="1" x="660"/>
        <item m="1" x="644"/>
        <item m="1" x="327"/>
        <item m="1" x="328"/>
        <item m="1" x="595"/>
        <item m="1" x="674"/>
        <item m="1" x="621"/>
        <item m="1" x="305"/>
        <item x="38"/>
        <item m="1" x="569"/>
        <item m="1" x="425"/>
        <item x="186"/>
        <item x="224"/>
        <item m="1" x="650"/>
        <item m="1" x="448"/>
        <item m="1" x="468"/>
        <item m="1" x="432"/>
        <item x="80"/>
        <item x="126"/>
        <item m="1" x="508"/>
        <item x="217"/>
        <item m="1" x="253"/>
        <item m="1" x="347"/>
        <item m="1" x="250"/>
        <item m="1" x="404"/>
        <item m="1" x="266"/>
        <item x="50"/>
        <item m="1" x="676"/>
        <item m="1" x="517"/>
        <item m="1" x="560"/>
        <item m="1" x="642"/>
        <item m="1" x="465"/>
        <item m="1" x="609"/>
        <item m="1" x="369"/>
        <item m="1" x="500"/>
        <item m="1" x="598"/>
        <item m="1" x="343"/>
        <item m="1" x="611"/>
        <item m="1" x="268"/>
        <item m="1" x="656"/>
        <item m="1" x="583"/>
        <item m="1" x="675"/>
        <item m="1" x="617"/>
        <item m="1" x="486"/>
        <item m="1" x="627"/>
        <item m="1" x="287"/>
        <item m="1" x="525"/>
        <item m="1" x="348"/>
        <item m="1" x="585"/>
        <item m="1" x="405"/>
        <item m="1" x="408"/>
        <item m="1" x="314"/>
        <item m="1" x="670"/>
        <item m="1" x="311"/>
        <item m="1" x="312"/>
        <item m="1" x="434"/>
        <item m="1" x="610"/>
        <item x="48"/>
        <item m="1" x="240"/>
        <item m="1" x="530"/>
        <item m="1" x="515"/>
        <item m="1" x="482"/>
        <item m="1" x="629"/>
        <item m="1" x="528"/>
        <item m="1" x="556"/>
        <item m="1" x="340"/>
        <item m="1" x="567"/>
        <item m="1" x="256"/>
        <item m="1" x="622"/>
        <item m="1" x="546"/>
        <item m="1" x="547"/>
        <item m="1" x="647"/>
        <item m="1" x="333"/>
        <item m="1" x="334"/>
        <item m="1" x="597"/>
        <item m="1" x="335"/>
        <item m="1" x="625"/>
        <item m="1" x="281"/>
        <item m="1" x="626"/>
        <item m="1" x="377"/>
        <item m="1" x="484"/>
        <item m="1" x="485"/>
        <item m="1" x="294"/>
        <item m="1" x="285"/>
        <item m="1" x="666"/>
        <item m="1" x="623"/>
        <item m="1" x="379"/>
        <item m="1" x="284"/>
        <item m="1" x="385"/>
        <item m="1" x="344"/>
        <item m="1" x="599"/>
        <item m="1" x="451"/>
        <item m="1" x="258"/>
        <item m="1" x="341"/>
        <item m="1" x="259"/>
        <item m="1" x="612"/>
        <item m="1" x="672"/>
        <item m="1" x="673"/>
        <item m="1" x="279"/>
        <item m="1" x="366"/>
        <item m="1" x="554"/>
        <item m="1" x="607"/>
        <item m="1" x="549"/>
        <item m="1" x="374"/>
        <item m="1" x="495"/>
        <item m="1" x="264"/>
        <item m="1" x="316"/>
        <item m="1" x="368"/>
        <item m="1" x="453"/>
        <item m="1" x="462"/>
        <item m="1" x="297"/>
        <item m="1" x="454"/>
        <item m="1" x="455"/>
        <item m="1" x="456"/>
        <item m="1" x="457"/>
        <item m="1" x="458"/>
        <item m="1" x="375"/>
        <item m="1" x="443"/>
        <item m="1" x="267"/>
        <item m="1" x="498"/>
        <item m="1" x="426"/>
        <item m="1" x="319"/>
        <item m="1" x="440"/>
        <item m="1" x="459"/>
        <item m="1" x="460"/>
        <item m="1" x="461"/>
        <item m="1" x="326"/>
        <item m="1" x="421"/>
        <item m="1" x="487"/>
        <item m="1" x="390"/>
        <item m="1" x="359"/>
        <item x="222"/>
        <item x="64"/>
        <item m="1" x="406"/>
        <item m="1" x="439"/>
        <item m="1" x="409"/>
        <item m="1" x="677"/>
        <item m="1" x="531"/>
        <item m="1" x="336"/>
        <item m="1" x="424"/>
        <item m="1" x="654"/>
        <item m="1" x="578"/>
        <item m="1" x="407"/>
        <item m="1" x="628"/>
        <item m="1" x="582"/>
        <item m="1" x="501"/>
        <item m="1" x="506"/>
        <item m="1" x="532"/>
        <item m="1" x="278"/>
        <item m="1" x="566"/>
        <item m="1" x="601"/>
        <item x="22"/>
        <item m="1" x="618"/>
        <item m="1" x="632"/>
        <item m="1" x="349"/>
        <item m="1" x="469"/>
        <item m="1" x="383"/>
        <item m="1" x="382"/>
        <item m="1" x="470"/>
        <item m="1" x="533"/>
        <item m="1" x="510"/>
        <item m="1" x="488"/>
        <item m="1" x="586"/>
        <item m="1" x="678"/>
        <item m="1" x="619"/>
        <item x="26"/>
        <item m="1" x="237"/>
        <item m="1" x="384"/>
        <item m="1" x="350"/>
        <item x="158"/>
        <item m="1" x="559"/>
        <item x="159"/>
        <item m="1" x="308"/>
        <item x="160"/>
        <item m="1" x="499"/>
        <item m="1" x="428"/>
        <item x="161"/>
        <item x="162"/>
        <item x="163"/>
        <item x="164"/>
        <item x="165"/>
        <item m="1" x="562"/>
        <item m="1" x="553"/>
        <item x="166"/>
        <item x="167"/>
        <item m="1" x="596"/>
        <item m="1" x="337"/>
        <item x="43"/>
        <item m="1" x="633"/>
        <item m="1" x="471"/>
        <item m="1" x="588"/>
        <item m="1" x="472"/>
        <item m="1" x="580"/>
        <item m="1" x="280"/>
        <item m="1" x="411"/>
        <item m="1" x="288"/>
        <item m="1" x="391"/>
        <item m="1" x="449"/>
        <item x="59"/>
        <item x="88"/>
        <item m="1" x="401"/>
        <item m="1" x="447"/>
        <item m="1" x="581"/>
        <item m="1" x="534"/>
        <item m="1" x="589"/>
        <item m="1" x="330"/>
        <item m="1" x="298"/>
        <item m="1" x="435"/>
        <item m="1" x="410"/>
        <item x="87"/>
        <item m="1" x="587"/>
        <item x="168"/>
        <item x="219"/>
        <item m="1" x="270"/>
        <item m="1" x="535"/>
        <item m="1" x="634"/>
        <item m="1" x="412"/>
        <item m="1" x="606"/>
        <item m="1" x="246"/>
        <item m="1" x="392"/>
        <item m="1" x="393"/>
        <item x="62"/>
        <item m="1" x="322"/>
        <item m="1" x="511"/>
        <item x="3"/>
        <item m="1" x="304"/>
        <item m="1" x="620"/>
        <item m="1" x="494"/>
        <item m="1" x="602"/>
        <item x="94"/>
        <item m="1" x="413"/>
        <item m="1" x="351"/>
        <item m="1" x="473"/>
        <item m="1" x="265"/>
        <item m="1" x="536"/>
        <item m="1" x="320"/>
        <item m="1" x="520"/>
        <item x="73"/>
        <item m="1" x="433"/>
        <item m="1" x="352"/>
        <item m="1" x="603"/>
        <item m="1" x="667"/>
        <item m="1" x="474"/>
        <item m="1" x="476"/>
        <item m="1" x="475"/>
        <item m="1" x="310"/>
        <item x="206"/>
        <item m="1" x="489"/>
        <item m="1" x="289"/>
        <item x="1"/>
        <item x="2"/>
        <item x="225"/>
        <item m="1" x="537"/>
        <item m="1" x="290"/>
        <item m="1" x="477"/>
        <item m="1" x="430"/>
        <item m="1" x="394"/>
        <item x="202"/>
        <item m="1" x="565"/>
        <item m="1" x="353"/>
        <item m="1" x="538"/>
        <item m="1" x="414"/>
        <item m="1" x="679"/>
        <item m="1" x="415"/>
        <item m="1" x="291"/>
        <item m="1" x="590"/>
        <item m="1" x="519"/>
        <item m="1" x="395"/>
        <item x="54"/>
        <item m="1" x="396"/>
        <item x="183"/>
        <item m="1" x="444"/>
        <item x="102"/>
        <item m="1" x="325"/>
        <item m="1" x="332"/>
        <item x="123"/>
        <item m="1" x="452"/>
        <item x="98"/>
        <item m="1" x="540"/>
        <item m="1" x="363"/>
        <item m="1" x="669"/>
        <item m="1" x="300"/>
        <item m="1" x="668"/>
        <item m="1" x="543"/>
        <item m="1" x="317"/>
        <item m="1" x="331"/>
        <item m="1" x="345"/>
        <item m="1" x="539"/>
        <item m="1" x="418"/>
        <item m="1" x="635"/>
        <item m="1" x="681"/>
        <item m="1" x="378"/>
        <item m="1" x="416"/>
        <item m="1" x="427"/>
        <item x="132"/>
        <item x="133"/>
        <item m="1" x="238"/>
        <item x="135"/>
        <item x="136"/>
        <item x="30"/>
        <item x="97"/>
        <item m="1" x="295"/>
        <item m="1" x="479"/>
        <item m="1" x="680"/>
        <item x="169"/>
        <item x="170"/>
        <item x="171"/>
        <item m="1" x="490"/>
        <item m="1" x="354"/>
        <item m="1" x="655"/>
        <item x="119"/>
        <item x="127"/>
        <item x="203"/>
        <item m="1" x="478"/>
        <item m="1" x="249"/>
        <item m="1" x="591"/>
        <item m="1" x="637"/>
        <item m="1" x="417"/>
        <item m="1" x="542"/>
        <item m="1" x="636"/>
        <item m="1" x="491"/>
        <item m="1" x="239"/>
        <item m="1" x="492"/>
        <item x="27"/>
        <item m="1" x="541"/>
        <item x="85"/>
        <item x="52"/>
        <item m="1" x="682"/>
        <item m="1" x="638"/>
        <item m="1" x="236"/>
        <item x="134"/>
        <item x="147"/>
        <item m="1" x="493"/>
        <item x="92"/>
        <item x="39"/>
        <item m="1" x="548"/>
        <item x="140"/>
        <item m="1" x="292"/>
        <item x="100"/>
        <item m="1" x="592"/>
        <item m="1" x="639"/>
        <item m="1" x="593"/>
        <item m="1" x="480"/>
        <item x="101"/>
        <item x="230"/>
        <item x="120"/>
        <item m="1" x="397"/>
        <item x="86"/>
        <item x="103"/>
        <item m="1" x="360"/>
        <item x="72"/>
        <item m="1" x="641"/>
        <item x="35"/>
        <item m="1" x="243"/>
        <item m="1" x="445"/>
        <item m="1" x="241"/>
        <item m="1" x="521"/>
        <item m="1" x="564"/>
        <item m="1" x="365"/>
        <item m="1" x="251"/>
        <item m="1" x="357"/>
        <item m="1" x="260"/>
        <item m="1" x="522"/>
        <item m="1" x="527"/>
        <item m="1" x="645"/>
        <item m="1" x="544"/>
        <item m="1" x="497"/>
        <item m="1" x="652"/>
        <item m="1" x="438"/>
        <item m="1" x="608"/>
        <item m="1" x="551"/>
        <item m="1" x="373"/>
        <item m="1" x="376"/>
        <item m="1" x="646"/>
        <item m="1" x="252"/>
        <item m="1" x="339"/>
        <item m="1" x="483"/>
        <item m="1" x="402"/>
        <item m="1" x="370"/>
        <item m="1" x="496"/>
        <item x="220"/>
        <item x="173"/>
        <item x="174"/>
        <item x="10"/>
        <item x="15"/>
        <item x="57"/>
        <item m="1" x="419"/>
        <item x="142"/>
        <item m="1" x="247"/>
        <item m="1" x="545"/>
        <item m="1" x="257"/>
        <item x="204"/>
        <item m="1" x="683"/>
        <item x="29"/>
        <item x="49"/>
        <item x="9"/>
        <item m="1" x="640"/>
        <item x="138"/>
        <item x="139"/>
        <item m="1" x="303"/>
        <item x="189"/>
        <item x="190"/>
        <item x="191"/>
        <item x="192"/>
        <item x="193"/>
        <item x="196"/>
        <item x="197"/>
        <item x="199"/>
        <item x="32"/>
        <item x="125"/>
        <item x="69"/>
        <item m="1" x="244"/>
        <item x="93"/>
        <item x="122"/>
        <item x="188"/>
        <item m="1" x="361"/>
        <item m="1" x="306"/>
        <item x="137"/>
        <item x="95"/>
        <item x="13"/>
        <item x="71"/>
        <item x="96"/>
        <item x="131"/>
        <item x="151"/>
        <item x="121"/>
        <item x="16"/>
        <item x="65"/>
        <item x="99"/>
        <item x="207"/>
        <item x="8"/>
        <item x="46"/>
        <item x="70"/>
        <item t="default"/>
      </items>
    </pivotField>
    <pivotField showAll="0"/>
    <pivotField showAll="0"/>
    <pivotField numFmtId="37" showAll="0"/>
    <pivotField numFmtId="164" showAll="0"/>
    <pivotField dataField="1" numFmtId="7" showAll="0"/>
    <pivotField numFmtId="164" showAll="0"/>
    <pivotField numFmtId="7" showAll="0"/>
    <pivotField numFmtId="37" showAll="0"/>
    <pivotField numFmtId="7" showAll="0"/>
    <pivotField numFmtId="37" showAll="0"/>
    <pivotField numFmtId="7" showAll="0"/>
    <pivotField numFmtId="37" showAll="0"/>
    <pivotField dataField="1" numFmtId="7" showAll="0"/>
    <pivotField showAll="0"/>
    <pivotField showAll="0"/>
  </pivotFields>
  <rowFields count="1">
    <field x="2"/>
  </rowFields>
  <rowItems count="4">
    <i>
      <x v="23"/>
    </i>
    <i>
      <x v="476"/>
    </i>
    <i>
      <x v="502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429" hier="-1"/>
  </pageFields>
  <dataFields count="2">
    <dataField name="Suma de Monto" fld="7" baseField="0" baseItem="0" numFmtId="43"/>
    <dataField name="Suma de Monto Total" fld="15" baseField="0" baseItem="0"/>
  </dataFields>
  <formats count="94">
    <format dxfId="99">
      <pivotArea collapsedLevelsAreSubtotals="1" fieldPosition="0">
        <references count="2">
          <reference field="0" count="1" selected="0">
            <x v="41"/>
          </reference>
          <reference field="2" count="2">
            <x v="307"/>
            <x v="417"/>
          </reference>
        </references>
      </pivotArea>
    </format>
    <format dxfId="98">
      <pivotArea dataOnly="0" labelOnly="1" fieldPosition="0">
        <references count="2">
          <reference field="0" count="1" selected="0">
            <x v="41"/>
          </reference>
          <reference field="2" count="2">
            <x v="307"/>
            <x v="417"/>
          </reference>
        </references>
      </pivotArea>
    </format>
    <format dxfId="97">
      <pivotArea type="all" dataOnly="0" outline="0" fieldPosition="0"/>
    </format>
    <format dxfId="96">
      <pivotArea outline="0" collapsedLevelsAreSubtotals="1" fieldPosition="0"/>
    </format>
    <format dxfId="95">
      <pivotArea field="0" type="button" dataOnly="0" labelOnly="1" outline="0" axis="axisPage" fieldPosition="0"/>
    </format>
    <format dxfId="94">
      <pivotArea dataOnly="0" labelOnly="1" fieldPosition="0">
        <references count="1">
          <reference field="0" count="50">
            <x v="5"/>
            <x v="6"/>
            <x v="7"/>
            <x v="8"/>
            <x v="10"/>
            <x v="11"/>
            <x v="12"/>
            <x v="14"/>
            <x v="15"/>
            <x v="17"/>
            <x v="18"/>
            <x v="20"/>
            <x v="21"/>
            <x v="22"/>
            <x v="23"/>
            <x v="24"/>
            <x v="25"/>
            <x v="26"/>
            <x v="28"/>
            <x v="29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</reference>
        </references>
      </pivotArea>
    </format>
    <format dxfId="93">
      <pivotArea dataOnly="0" labelOnly="1" fieldPosition="0">
        <references count="1">
          <reference field="0" count="50">
            <x v="61"/>
            <x v="62"/>
            <x v="63"/>
            <x v="64"/>
            <x v="66"/>
            <x v="67"/>
            <x v="68"/>
            <x v="69"/>
            <x v="72"/>
            <x v="77"/>
            <x v="79"/>
            <x v="82"/>
            <x v="83"/>
            <x v="84"/>
            <x v="85"/>
            <x v="86"/>
            <x v="87"/>
            <x v="88"/>
            <x v="89"/>
            <x v="91"/>
            <x v="92"/>
            <x v="93"/>
            <x v="94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5"/>
            <x v="116"/>
            <x v="117"/>
            <x v="118"/>
            <x v="119"/>
            <x v="121"/>
            <x v="122"/>
            <x v="124"/>
            <x v="126"/>
            <x v="128"/>
          </reference>
        </references>
      </pivotArea>
    </format>
    <format dxfId="92">
      <pivotArea dataOnly="0" labelOnly="1" fieldPosition="0">
        <references count="1">
          <reference field="0" count="50"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2"/>
            <x v="173"/>
            <x v="174"/>
            <x v="176"/>
            <x v="177"/>
            <x v="178"/>
            <x v="179"/>
            <x v="180"/>
            <x v="181"/>
            <x v="182"/>
          </reference>
        </references>
      </pivotArea>
    </format>
    <format dxfId="91">
      <pivotArea dataOnly="0" labelOnly="1" fieldPosition="0">
        <references count="1">
          <reference field="0" count="50">
            <x v="183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7"/>
            <x v="218"/>
            <x v="219"/>
            <x v="220"/>
            <x v="221"/>
            <x v="223"/>
            <x v="224"/>
            <x v="225"/>
            <x v="226"/>
            <x v="227"/>
            <x v="228"/>
            <x v="232"/>
            <x v="233"/>
            <x v="235"/>
            <x v="241"/>
            <x v="243"/>
            <x v="245"/>
            <x v="247"/>
            <x v="248"/>
            <x v="249"/>
          </reference>
        </references>
      </pivotArea>
    </format>
    <format dxfId="90">
      <pivotArea dataOnly="0" labelOnly="1" fieldPosition="0">
        <references count="1">
          <reference field="0" count="5">
            <x v="252"/>
            <x v="253"/>
            <x v="254"/>
            <x v="255"/>
            <x v="257"/>
          </reference>
        </references>
      </pivotArea>
    </format>
    <format dxfId="89">
      <pivotArea dataOnly="0" labelOnly="1" grandRow="1" outline="0" fieldPosition="0"/>
    </format>
    <format dxfId="88">
      <pivotArea dataOnly="0" labelOnly="1" fieldPosition="0">
        <references count="2">
          <reference field="0" count="1" selected="0">
            <x v="5"/>
          </reference>
          <reference field="2" count="41">
            <x v="2"/>
            <x v="8"/>
            <x v="9"/>
            <x v="10"/>
            <x v="11"/>
            <x v="12"/>
            <x v="13"/>
            <x v="14"/>
            <x v="15"/>
            <x v="17"/>
            <x v="18"/>
            <x v="19"/>
            <x v="20"/>
            <x v="21"/>
            <x v="23"/>
            <x v="25"/>
            <x v="26"/>
            <x v="27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269"/>
          </reference>
        </references>
      </pivotArea>
    </format>
    <format dxfId="87">
      <pivotArea dataOnly="0" labelOnly="1" fieldPosition="0">
        <references count="2">
          <reference field="0" count="1" selected="0">
            <x v="11"/>
          </reference>
          <reference field="2" count="48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54"/>
            <x v="56"/>
            <x v="57"/>
            <x v="59"/>
            <x v="61"/>
            <x v="62"/>
            <x v="63"/>
            <x v="65"/>
            <x v="66"/>
            <x v="68"/>
            <x v="70"/>
            <x v="72"/>
            <x v="73"/>
            <x v="74"/>
            <x v="75"/>
            <x v="76"/>
            <x v="78"/>
            <x v="162"/>
            <x v="169"/>
            <x v="200"/>
            <x v="260"/>
            <x v="309"/>
            <x v="401"/>
            <x v="417"/>
            <x v="438"/>
            <x v="450"/>
            <x v="454"/>
            <x v="457"/>
          </reference>
        </references>
      </pivotArea>
    </format>
    <format dxfId="86">
      <pivotArea dataOnly="0" labelOnly="1" fieldPosition="0">
        <references count="2">
          <reference field="0" count="1" selected="0">
            <x v="14"/>
          </reference>
          <reference field="2" count="42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2"/>
            <x v="73"/>
            <x v="74"/>
            <x v="75"/>
            <x v="76"/>
            <x v="78"/>
            <x v="79"/>
            <x v="80"/>
            <x v="81"/>
            <x v="82"/>
            <x v="200"/>
            <x v="260"/>
            <x v="307"/>
            <x v="417"/>
            <x v="418"/>
            <x v="438"/>
            <x v="450"/>
            <x v="451"/>
            <x v="457"/>
            <x v="459"/>
            <x v="461"/>
            <x v="464"/>
          </reference>
        </references>
      </pivotArea>
    </format>
    <format dxfId="85">
      <pivotArea dataOnly="0" labelOnly="1" fieldPosition="0">
        <references count="2">
          <reference field="0" count="1" selected="0">
            <x v="15"/>
          </reference>
          <reference field="2" count="50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418"/>
            <x v="438"/>
            <x v="450"/>
            <x v="451"/>
            <x v="457"/>
            <x v="459"/>
            <x v="461"/>
            <x v="464"/>
          </reference>
        </references>
      </pivotArea>
    </format>
    <format dxfId="84">
      <pivotArea dataOnly="0" labelOnly="1" fieldPosition="0">
        <references count="2">
          <reference field="0" count="1" selected="0">
            <x v="17"/>
          </reference>
          <reference field="2" count="50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65"/>
            <x v="66"/>
            <x v="68"/>
            <x v="72"/>
            <x v="73"/>
            <x v="74"/>
            <x v="75"/>
            <x v="76"/>
            <x v="78"/>
            <x v="79"/>
            <x v="81"/>
            <x v="83"/>
            <x v="84"/>
            <x v="88"/>
            <x v="162"/>
            <x v="169"/>
            <x v="200"/>
            <x v="260"/>
            <x v="296"/>
            <x v="307"/>
            <x v="309"/>
            <x v="401"/>
            <x v="417"/>
            <x v="418"/>
            <x v="438"/>
            <x v="450"/>
            <x v="451"/>
            <x v="454"/>
            <x v="457"/>
            <x v="459"/>
            <x v="461"/>
            <x v="464"/>
          </reference>
        </references>
      </pivotArea>
    </format>
    <format dxfId="83">
      <pivotArea dataOnly="0" labelOnly="1" fieldPosition="0">
        <references count="2">
          <reference field="0" count="1" selected="0">
            <x v="18"/>
          </reference>
          <reference field="2" count="45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40"/>
            <x v="64"/>
            <x v="73"/>
            <x v="74"/>
            <x v="75"/>
            <x v="76"/>
            <x v="78"/>
            <x v="79"/>
            <x v="80"/>
            <x v="81"/>
            <x v="92"/>
            <x v="200"/>
            <x v="214"/>
            <x v="260"/>
            <x v="307"/>
            <x v="308"/>
            <x v="417"/>
            <x v="418"/>
            <x v="438"/>
            <x v="450"/>
            <x v="451"/>
            <x v="457"/>
            <x v="459"/>
            <x v="461"/>
            <x v="464"/>
          </reference>
        </references>
      </pivotArea>
    </format>
    <format dxfId="82">
      <pivotArea dataOnly="0" labelOnly="1" fieldPosition="0">
        <references count="2">
          <reference field="0" count="1" selected="0">
            <x v="21"/>
          </reference>
          <reference field="2" count="32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92"/>
            <x v="200"/>
            <x v="214"/>
            <x v="260"/>
            <x v="291"/>
            <x v="307"/>
            <x v="417"/>
            <x v="450"/>
            <x v="457"/>
            <x v="459"/>
            <x v="461"/>
          </reference>
        </references>
      </pivotArea>
    </format>
    <format dxfId="81">
      <pivotArea dataOnly="0" labelOnly="1" fieldPosition="0">
        <references count="2">
          <reference field="0" count="1" selected="0">
            <x v="23"/>
          </reference>
          <reference field="2" count="49">
            <x v="2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3"/>
            <x v="65"/>
            <x v="66"/>
            <x v="68"/>
            <x v="78"/>
            <x v="92"/>
            <x v="200"/>
            <x v="214"/>
            <x v="260"/>
            <x v="291"/>
            <x v="307"/>
            <x v="417"/>
            <x v="450"/>
            <x v="457"/>
            <x v="459"/>
            <x v="461"/>
          </reference>
        </references>
      </pivotArea>
    </format>
    <format dxfId="80">
      <pivotArea dataOnly="0" labelOnly="1" fieldPosition="0">
        <references count="2">
          <reference field="0" count="1" selected="0">
            <x v="24"/>
          </reference>
          <reference field="2" count="35">
            <x v="2"/>
            <x v="23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3"/>
            <x v="65"/>
            <x v="66"/>
            <x v="68"/>
            <x v="72"/>
            <x v="162"/>
            <x v="169"/>
            <x v="296"/>
            <x v="309"/>
            <x v="401"/>
            <x v="454"/>
          </reference>
        </references>
      </pivotArea>
    </format>
    <format dxfId="79">
      <pivotArea dataOnly="0" labelOnly="1" fieldPosition="0">
        <references count="2">
          <reference field="0" count="1" selected="0">
            <x v="26"/>
          </reference>
          <reference field="2" count="50">
            <x v="2"/>
            <x v="10"/>
            <x v="11"/>
            <x v="12"/>
            <x v="13"/>
            <x v="14"/>
            <x v="29"/>
            <x v="30"/>
            <x v="3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3"/>
            <x v="65"/>
            <x v="66"/>
            <x v="68"/>
            <x v="72"/>
            <x v="78"/>
            <x v="104"/>
            <x v="162"/>
            <x v="169"/>
            <x v="200"/>
            <x v="209"/>
            <x v="214"/>
            <x v="239"/>
            <x v="253"/>
            <x v="291"/>
            <x v="296"/>
            <x v="307"/>
            <x v="309"/>
            <x v="392"/>
            <x v="393"/>
            <x v="400"/>
            <x v="401"/>
            <x v="402"/>
            <x v="408"/>
            <x v="454"/>
          </reference>
        </references>
      </pivotArea>
    </format>
    <format dxfId="78">
      <pivotArea dataOnly="0" labelOnly="1" fieldPosition="0">
        <references count="2">
          <reference field="0" count="1" selected="0">
            <x v="28"/>
          </reference>
          <reference field="2" count="43">
            <x v="2"/>
            <x v="3"/>
            <x v="5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8"/>
            <x v="29"/>
            <x v="30"/>
            <x v="31"/>
            <x v="33"/>
            <x v="34"/>
            <x v="40"/>
            <x v="42"/>
            <x v="44"/>
            <x v="64"/>
            <x v="82"/>
            <x v="108"/>
            <x v="109"/>
            <x v="110"/>
            <x v="111"/>
            <x v="112"/>
            <x v="308"/>
            <x v="416"/>
            <x v="417"/>
            <x v="418"/>
            <x v="420"/>
            <x v="438"/>
            <x v="447"/>
            <x v="448"/>
            <x v="452"/>
            <x v="457"/>
            <x v="458"/>
            <x v="460"/>
          </reference>
        </references>
      </pivotArea>
    </format>
    <format dxfId="77">
      <pivotArea dataOnly="0" labelOnly="1" fieldPosition="0">
        <references count="2">
          <reference field="0" count="1" selected="0">
            <x v="32"/>
          </reference>
          <reference field="2" count="46">
            <x v="2"/>
            <x v="6"/>
            <x v="8"/>
            <x v="9"/>
            <x v="10"/>
            <x v="11"/>
            <x v="12"/>
            <x v="14"/>
            <x v="17"/>
            <x v="18"/>
            <x v="19"/>
            <x v="23"/>
            <x v="29"/>
            <x v="30"/>
            <x v="31"/>
            <x v="32"/>
            <x v="33"/>
            <x v="34"/>
            <x v="59"/>
            <x v="72"/>
            <x v="74"/>
            <x v="75"/>
            <x v="76"/>
            <x v="78"/>
            <x v="81"/>
            <x v="117"/>
            <x v="118"/>
            <x v="119"/>
            <x v="192"/>
            <x v="200"/>
            <x v="260"/>
            <x v="291"/>
            <x v="307"/>
            <x v="416"/>
            <x v="417"/>
            <x v="418"/>
            <x v="438"/>
            <x v="442"/>
            <x v="450"/>
            <x v="451"/>
            <x v="455"/>
            <x v="456"/>
            <x v="457"/>
            <x v="458"/>
            <x v="459"/>
            <x v="461"/>
          </reference>
        </references>
      </pivotArea>
    </format>
    <format dxfId="76">
      <pivotArea dataOnly="0" labelOnly="1" fieldPosition="0">
        <references count="2">
          <reference field="0" count="1" selected="0">
            <x v="33"/>
          </reference>
          <reference field="2" count="35">
            <x v="2"/>
            <x v="9"/>
            <x v="10"/>
            <x v="11"/>
            <x v="15"/>
            <x v="30"/>
            <x v="120"/>
            <x v="121"/>
            <x v="122"/>
            <x v="123"/>
            <x v="214"/>
            <x v="229"/>
            <x v="253"/>
            <x v="260"/>
            <x v="264"/>
            <x v="270"/>
            <x v="287"/>
            <x v="288"/>
            <x v="289"/>
            <x v="291"/>
            <x v="293"/>
            <x v="307"/>
            <x v="396"/>
            <x v="402"/>
            <x v="416"/>
            <x v="417"/>
            <x v="418"/>
            <x v="419"/>
            <x v="438"/>
            <x v="442"/>
            <x v="447"/>
            <x v="450"/>
            <x v="457"/>
            <x v="458"/>
            <x v="460"/>
          </reference>
        </references>
      </pivotArea>
    </format>
    <format dxfId="75">
      <pivotArea dataOnly="0" labelOnly="1" fieldPosition="0">
        <references count="2">
          <reference field="0" count="1" selected="0">
            <x v="37"/>
          </reference>
          <reference field="2" count="19">
            <x v="2"/>
            <x v="9"/>
            <x v="10"/>
            <x v="11"/>
            <x v="12"/>
            <x v="13"/>
            <x v="14"/>
            <x v="15"/>
            <x v="30"/>
            <x v="78"/>
            <x v="123"/>
            <x v="148"/>
            <x v="214"/>
            <x v="291"/>
            <x v="307"/>
            <x v="417"/>
            <x v="418"/>
            <x v="438"/>
            <x v="457"/>
          </reference>
        </references>
      </pivotArea>
    </format>
    <format dxfId="74">
      <pivotArea dataOnly="0" labelOnly="1" fieldPosition="0">
        <references count="2">
          <reference field="0" count="1" selected="0">
            <x v="41"/>
          </reference>
          <reference field="2" count="41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3"/>
            <x v="29"/>
            <x v="30"/>
            <x v="31"/>
            <x v="32"/>
            <x v="33"/>
            <x v="34"/>
            <x v="78"/>
            <x v="82"/>
            <x v="92"/>
            <x v="122"/>
            <x v="123"/>
            <x v="124"/>
            <x v="125"/>
            <x v="128"/>
            <x v="200"/>
            <x v="214"/>
            <x v="260"/>
            <x v="291"/>
            <x v="307"/>
            <x v="417"/>
            <x v="418"/>
            <x v="438"/>
            <x v="450"/>
            <x v="457"/>
            <x v="459"/>
            <x v="461"/>
          </reference>
        </references>
      </pivotArea>
    </format>
    <format dxfId="73">
      <pivotArea dataOnly="0" labelOnly="1" fieldPosition="0">
        <references count="2">
          <reference field="0" count="1" selected="0">
            <x v="45"/>
          </reference>
          <reference field="2" count="49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78"/>
            <x v="82"/>
            <x v="92"/>
            <x v="200"/>
            <x v="214"/>
            <x v="260"/>
            <x v="291"/>
            <x v="307"/>
            <x v="417"/>
            <x v="450"/>
            <x v="457"/>
            <x v="459"/>
            <x v="461"/>
          </reference>
        </references>
      </pivotArea>
    </format>
    <format dxfId="72">
      <pivotArea dataOnly="0" labelOnly="1" fieldPosition="0">
        <references count="2">
          <reference field="0" count="1" selected="0">
            <x v="46"/>
          </reference>
          <reference field="2" count="35">
            <x v="2"/>
            <x v="23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3"/>
            <x v="65"/>
            <x v="66"/>
            <x v="68"/>
            <x v="72"/>
            <x v="162"/>
            <x v="169"/>
            <x v="296"/>
            <x v="309"/>
            <x v="401"/>
            <x v="454"/>
          </reference>
        </references>
      </pivotArea>
    </format>
    <format dxfId="71">
      <pivotArea dataOnly="0" labelOnly="1" fieldPosition="0">
        <references count="2">
          <reference field="0" count="1" selected="0">
            <x v="47"/>
          </reference>
          <reference field="2" count="48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78"/>
            <x v="82"/>
            <x v="92"/>
            <x v="122"/>
            <x v="200"/>
            <x v="214"/>
            <x v="260"/>
            <x v="269"/>
            <x v="291"/>
            <x v="307"/>
            <x v="401"/>
            <x v="417"/>
            <x v="450"/>
            <x v="454"/>
            <x v="457"/>
            <x v="459"/>
            <x v="461"/>
          </reference>
        </references>
      </pivotArea>
    </format>
    <format dxfId="70">
      <pivotArea dataOnly="0" labelOnly="1" fieldPosition="0">
        <references count="2">
          <reference field="0" count="1" selected="0">
            <x v="49"/>
          </reference>
          <reference field="2" count="40">
            <x v="2"/>
            <x v="9"/>
            <x v="10"/>
            <x v="12"/>
            <x v="16"/>
            <x v="17"/>
            <x v="18"/>
            <x v="19"/>
            <x v="29"/>
            <x v="31"/>
            <x v="33"/>
            <x v="34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3"/>
            <x v="65"/>
            <x v="66"/>
            <x v="68"/>
            <x v="72"/>
            <x v="78"/>
            <x v="126"/>
            <x v="162"/>
            <x v="169"/>
            <x v="200"/>
            <x v="296"/>
            <x v="309"/>
            <x v="401"/>
            <x v="417"/>
            <x v="450"/>
            <x v="454"/>
            <x v="459"/>
          </reference>
        </references>
      </pivotArea>
    </format>
    <format dxfId="69">
      <pivotArea dataOnly="0" labelOnly="1" fieldPosition="0">
        <references count="2">
          <reference field="0" count="1" selected="0">
            <x v="52"/>
          </reference>
          <reference field="2" count="34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3"/>
            <x v="29"/>
            <x v="30"/>
            <x v="31"/>
            <x v="32"/>
            <x v="33"/>
            <x v="34"/>
            <x v="70"/>
            <x v="78"/>
            <x v="120"/>
            <x v="121"/>
            <x v="128"/>
            <x v="129"/>
            <x v="200"/>
            <x v="260"/>
            <x v="269"/>
            <x v="417"/>
            <x v="450"/>
            <x v="459"/>
          </reference>
        </references>
      </pivotArea>
    </format>
    <format dxfId="68">
      <pivotArea dataOnly="0" labelOnly="1" fieldPosition="0">
        <references count="2">
          <reference field="0" count="1" selected="0">
            <x v="61"/>
          </reference>
          <reference field="2" count="37">
            <x v="2"/>
            <x v="7"/>
            <x v="8"/>
            <x v="10"/>
            <x v="11"/>
            <x v="12"/>
            <x v="13"/>
            <x v="14"/>
            <x v="15"/>
            <x v="29"/>
            <x v="30"/>
            <x v="31"/>
            <x v="72"/>
            <x v="78"/>
            <x v="200"/>
            <x v="214"/>
            <x v="239"/>
            <x v="291"/>
            <x v="307"/>
            <x v="310"/>
            <x v="392"/>
            <x v="393"/>
            <x v="400"/>
            <x v="402"/>
            <x v="408"/>
            <x v="416"/>
            <x v="417"/>
            <x v="418"/>
            <x v="420"/>
            <x v="438"/>
            <x v="447"/>
            <x v="450"/>
            <x v="457"/>
            <x v="458"/>
            <x v="459"/>
            <x v="460"/>
            <x v="461"/>
          </reference>
        </references>
      </pivotArea>
    </format>
    <format dxfId="67">
      <pivotArea dataOnly="0" labelOnly="1" fieldPosition="0">
        <references count="2">
          <reference field="0" count="1" selected="0">
            <x v="63"/>
          </reference>
          <reference field="2" count="35">
            <x v="2"/>
            <x v="10"/>
            <x v="12"/>
            <x v="14"/>
            <x v="20"/>
            <x v="22"/>
            <x v="23"/>
            <x v="24"/>
            <x v="38"/>
            <x v="39"/>
            <x v="40"/>
            <x v="41"/>
            <x v="43"/>
            <x v="45"/>
            <x v="46"/>
            <x v="48"/>
            <x v="49"/>
            <x v="51"/>
            <x v="69"/>
            <x v="93"/>
            <x v="134"/>
            <x v="135"/>
            <x v="416"/>
            <x v="417"/>
            <x v="420"/>
            <x v="438"/>
            <x v="442"/>
            <x v="447"/>
            <x v="448"/>
            <x v="450"/>
            <x v="452"/>
            <x v="455"/>
            <x v="456"/>
            <x v="457"/>
            <x v="460"/>
          </reference>
        </references>
      </pivotArea>
    </format>
    <format dxfId="66">
      <pivotArea dataOnly="0" labelOnly="1" fieldPosition="0">
        <references count="2">
          <reference field="0" count="1" selected="0">
            <x v="83"/>
          </reference>
          <reference field="2" count="40">
            <x v="2"/>
            <x v="5"/>
            <x v="6"/>
            <x v="8"/>
            <x v="12"/>
            <x v="15"/>
            <x v="20"/>
            <x v="23"/>
            <x v="28"/>
            <x v="29"/>
            <x v="31"/>
            <x v="33"/>
            <x v="53"/>
            <x v="56"/>
            <x v="61"/>
            <x v="63"/>
            <x v="66"/>
            <x v="68"/>
            <x v="70"/>
            <x v="72"/>
            <x v="78"/>
            <x v="88"/>
            <x v="111"/>
            <x v="117"/>
            <x v="130"/>
            <x v="137"/>
            <x v="141"/>
            <x v="142"/>
            <x v="143"/>
            <x v="144"/>
            <x v="145"/>
            <x v="146"/>
            <x v="147"/>
            <x v="169"/>
            <x v="217"/>
            <x v="260"/>
            <x v="278"/>
            <x v="296"/>
            <x v="401"/>
            <x v="454"/>
          </reference>
        </references>
      </pivotArea>
    </format>
    <format dxfId="65">
      <pivotArea dataOnly="0" labelOnly="1" fieldPosition="0">
        <references count="2">
          <reference field="0" count="1" selected="0">
            <x v="94"/>
          </reference>
          <reference field="2" count="11">
            <x v="2"/>
            <x v="15"/>
            <x v="20"/>
            <x v="21"/>
            <x v="25"/>
            <x v="26"/>
            <x v="27"/>
            <x v="33"/>
            <x v="80"/>
            <x v="149"/>
            <x v="272"/>
          </reference>
        </references>
      </pivotArea>
    </format>
    <format dxfId="64">
      <pivotArea dataOnly="0" labelOnly="1" fieldPosition="0">
        <references count="2">
          <reference field="0" count="1" selected="0">
            <x v="111"/>
          </reference>
          <reference field="2" count="17">
            <x v="2"/>
            <x v="10"/>
            <x v="12"/>
            <x v="15"/>
            <x v="20"/>
            <x v="21"/>
            <x v="22"/>
            <x v="23"/>
            <x v="32"/>
            <x v="33"/>
            <x v="69"/>
            <x v="70"/>
            <x v="129"/>
            <x v="136"/>
            <x v="151"/>
            <x v="269"/>
            <x v="457"/>
          </reference>
        </references>
      </pivotArea>
    </format>
    <format dxfId="63">
      <pivotArea dataOnly="0" labelOnly="1" fieldPosition="0">
        <references count="2">
          <reference field="0" count="1" selected="0">
            <x v="134"/>
          </reference>
          <reference field="2" count="34">
            <x v="2"/>
            <x v="23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3"/>
            <x v="65"/>
            <x v="70"/>
            <x v="72"/>
            <x v="80"/>
            <x v="129"/>
            <x v="134"/>
            <x v="136"/>
            <x v="137"/>
            <x v="269"/>
          </reference>
        </references>
      </pivotArea>
    </format>
    <format dxfId="62">
      <pivotArea dataOnly="0" labelOnly="1" fieldPosition="0">
        <references count="2">
          <reference field="0" count="1" selected="0">
            <x v="141"/>
          </reference>
          <reference field="2" count="26">
            <x v="2"/>
            <x v="20"/>
            <x v="21"/>
            <x v="22"/>
            <x v="23"/>
            <x v="25"/>
            <x v="26"/>
            <x v="27"/>
            <x v="35"/>
            <x v="37"/>
            <x v="38"/>
            <x v="39"/>
            <x v="66"/>
            <x v="68"/>
            <x v="72"/>
            <x v="83"/>
            <x v="137"/>
            <x v="148"/>
            <x v="159"/>
            <x v="162"/>
            <x v="169"/>
            <x v="263"/>
            <x v="296"/>
            <x v="309"/>
            <x v="401"/>
            <x v="454"/>
          </reference>
        </references>
      </pivotArea>
    </format>
    <format dxfId="61">
      <pivotArea dataOnly="0" labelOnly="1" fieldPosition="0">
        <references count="2">
          <reference field="0" count="1" selected="0">
            <x v="155"/>
          </reference>
          <reference field="2" count="35">
            <x v="2"/>
            <x v="23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61"/>
            <x v="62"/>
            <x v="63"/>
            <x v="65"/>
            <x v="66"/>
            <x v="68"/>
            <x v="72"/>
            <x v="83"/>
            <x v="137"/>
            <x v="162"/>
            <x v="169"/>
            <x v="296"/>
            <x v="401"/>
            <x v="454"/>
          </reference>
        </references>
      </pivotArea>
    </format>
    <format dxfId="60">
      <pivotArea dataOnly="0" labelOnly="1" fieldPosition="0">
        <references count="2">
          <reference field="0" count="1" selected="0">
            <x v="156"/>
          </reference>
          <reference field="2" count="30">
            <x v="2"/>
            <x v="20"/>
            <x v="21"/>
            <x v="23"/>
            <x v="59"/>
            <x v="61"/>
            <x v="62"/>
            <x v="63"/>
            <x v="65"/>
            <x v="66"/>
            <x v="68"/>
            <x v="69"/>
            <x v="72"/>
            <x v="159"/>
            <x v="160"/>
            <x v="161"/>
            <x v="162"/>
            <x v="169"/>
            <x v="296"/>
            <x v="309"/>
            <x v="317"/>
            <x v="401"/>
            <x v="411"/>
            <x v="420"/>
            <x v="438"/>
            <x v="442"/>
            <x v="454"/>
            <x v="455"/>
            <x v="456"/>
            <x v="457"/>
          </reference>
        </references>
      </pivotArea>
    </format>
    <format dxfId="59">
      <pivotArea dataOnly="0" labelOnly="1" fieldPosition="0">
        <references count="2">
          <reference field="0" count="1" selected="0">
            <x v="167"/>
          </reference>
          <reference field="2" count="41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2"/>
            <x v="73"/>
            <x v="74"/>
            <x v="75"/>
            <x v="76"/>
            <x v="78"/>
            <x v="79"/>
            <x v="80"/>
            <x v="81"/>
            <x v="200"/>
            <x v="260"/>
            <x v="307"/>
            <x v="417"/>
            <x v="418"/>
            <x v="438"/>
            <x v="450"/>
            <x v="451"/>
            <x v="457"/>
            <x v="459"/>
            <x v="461"/>
            <x v="464"/>
          </reference>
        </references>
      </pivotArea>
    </format>
    <format dxfId="58">
      <pivotArea dataOnly="0" labelOnly="1" fieldPosition="0">
        <references count="2">
          <reference field="0" count="1" selected="0">
            <x v="168"/>
          </reference>
          <reference field="2" count="50"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0"/>
            <x v="51"/>
            <x v="52"/>
            <x v="53"/>
            <x v="54"/>
            <x v="56"/>
            <x v="57"/>
            <x v="59"/>
            <x v="61"/>
            <x v="62"/>
            <x v="65"/>
            <x v="66"/>
            <x v="68"/>
            <x v="72"/>
            <x v="73"/>
            <x v="74"/>
            <x v="75"/>
            <x v="76"/>
            <x v="78"/>
            <x v="79"/>
            <x v="81"/>
            <x v="83"/>
            <x v="84"/>
            <x v="88"/>
            <x v="162"/>
            <x v="163"/>
            <x v="164"/>
          </reference>
        </references>
      </pivotArea>
    </format>
    <format dxfId="57">
      <pivotArea dataOnly="0" labelOnly="1" fieldPosition="0">
        <references count="2">
          <reference field="0" count="1" selected="0">
            <x v="168"/>
          </reference>
          <reference field="2" count="48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2"/>
            <x v="73"/>
            <x v="74"/>
            <x v="75"/>
            <x v="76"/>
            <x v="78"/>
            <x v="79"/>
            <x v="80"/>
            <x v="81"/>
            <x v="167"/>
            <x v="168"/>
            <x v="169"/>
            <x v="200"/>
            <x v="260"/>
            <x v="269"/>
            <x v="296"/>
            <x v="307"/>
            <x v="401"/>
            <x v="417"/>
            <x v="418"/>
            <x v="438"/>
            <x v="450"/>
            <x v="451"/>
            <x v="454"/>
            <x v="457"/>
            <x v="459"/>
            <x v="461"/>
            <x v="464"/>
          </reference>
        </references>
      </pivotArea>
    </format>
    <format dxfId="56">
      <pivotArea dataOnly="0" labelOnly="1" fieldPosition="0">
        <references count="2">
          <reference field="0" count="1" selected="0">
            <x v="169"/>
          </reference>
          <reference field="2" count="50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1"/>
            <x v="52"/>
            <x v="53"/>
            <x v="54"/>
            <x v="56"/>
            <x v="57"/>
            <x v="307"/>
            <x v="417"/>
            <x v="418"/>
            <x v="438"/>
            <x v="450"/>
            <x v="451"/>
            <x v="457"/>
            <x v="459"/>
            <x v="461"/>
            <x v="464"/>
          </reference>
        </references>
      </pivotArea>
    </format>
    <format dxfId="55">
      <pivotArea dataOnly="0" labelOnly="1" fieldPosition="0">
        <references count="2">
          <reference field="0" count="1" selected="0">
            <x v="170"/>
          </reference>
          <reference field="2" count="50">
            <x v="2"/>
            <x v="2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59"/>
            <x v="61"/>
            <x v="62"/>
            <x v="65"/>
            <x v="66"/>
            <x v="68"/>
            <x v="72"/>
            <x v="73"/>
            <x v="74"/>
            <x v="75"/>
            <x v="76"/>
            <x v="78"/>
            <x v="79"/>
            <x v="81"/>
            <x v="83"/>
            <x v="84"/>
            <x v="88"/>
            <x v="162"/>
            <x v="169"/>
            <x v="200"/>
            <x v="260"/>
            <x v="296"/>
            <x v="307"/>
            <x v="309"/>
            <x v="401"/>
            <x v="417"/>
            <x v="418"/>
            <x v="438"/>
            <x v="450"/>
            <x v="451"/>
            <x v="454"/>
            <x v="457"/>
            <x v="459"/>
            <x v="461"/>
            <x v="464"/>
          </reference>
        </references>
      </pivotArea>
    </format>
    <format dxfId="54">
      <pivotArea dataOnly="0" labelOnly="1" fieldPosition="0">
        <references count="2">
          <reference field="0" count="1" selected="0">
            <x v="172"/>
          </reference>
          <reference field="2" count="49">
            <x v="2"/>
            <x v="10"/>
            <x v="22"/>
            <x v="24"/>
            <x v="35"/>
            <x v="38"/>
            <x v="39"/>
            <x v="40"/>
            <x v="41"/>
            <x v="42"/>
            <x v="43"/>
            <x v="44"/>
            <x v="45"/>
            <x v="46"/>
            <x v="49"/>
            <x v="51"/>
            <x v="52"/>
            <x v="53"/>
            <x v="54"/>
            <x v="56"/>
            <x v="57"/>
            <x v="59"/>
            <x v="61"/>
            <x v="62"/>
            <x v="63"/>
            <x v="65"/>
            <x v="66"/>
            <x v="68"/>
            <x v="83"/>
            <x v="88"/>
            <x v="162"/>
            <x v="169"/>
            <x v="172"/>
            <x v="173"/>
            <x v="174"/>
            <x v="177"/>
            <x v="291"/>
            <x v="296"/>
            <x v="309"/>
            <x v="401"/>
            <x v="411"/>
            <x v="438"/>
            <x v="446"/>
            <x v="448"/>
            <x v="454"/>
            <x v="455"/>
            <x v="456"/>
            <x v="457"/>
            <x v="462"/>
          </reference>
        </references>
      </pivotArea>
    </format>
    <format dxfId="53">
      <pivotArea dataOnly="0" labelOnly="1" fieldPosition="0">
        <references count="2">
          <reference field="0" count="1" selected="0">
            <x v="174"/>
          </reference>
          <reference field="2" count="45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48"/>
            <x v="49"/>
            <x v="51"/>
            <x v="52"/>
            <x v="53"/>
            <x v="54"/>
            <x v="56"/>
            <x v="61"/>
            <x v="62"/>
            <x v="63"/>
            <x v="65"/>
            <x v="66"/>
            <x v="68"/>
            <x v="78"/>
            <x v="92"/>
            <x v="129"/>
            <x v="137"/>
            <x v="169"/>
            <x v="178"/>
            <x v="179"/>
            <x v="200"/>
            <x v="269"/>
            <x v="296"/>
            <x v="401"/>
            <x v="454"/>
          </reference>
        </references>
      </pivotArea>
    </format>
    <format dxfId="52">
      <pivotArea dataOnly="0" labelOnly="1" fieldPosition="0">
        <references count="2">
          <reference field="0" count="1" selected="0">
            <x v="178"/>
          </reference>
          <reference field="2" count="38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3"/>
            <x v="29"/>
            <x v="30"/>
            <x v="31"/>
            <x v="32"/>
            <x v="33"/>
            <x v="34"/>
            <x v="78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51">
      <pivotArea dataOnly="0" labelOnly="1" fieldPosition="0">
        <references count="2">
          <reference field="0" count="1" selected="0">
            <x v="183"/>
          </reference>
          <reference field="2" count="43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3"/>
            <x v="29"/>
            <x v="30"/>
            <x v="31"/>
            <x v="32"/>
            <x v="33"/>
            <x v="34"/>
            <x v="78"/>
            <x v="200"/>
            <x v="214"/>
            <x v="260"/>
            <x v="291"/>
            <x v="307"/>
            <x v="411"/>
            <x v="417"/>
            <x v="418"/>
            <x v="438"/>
            <x v="446"/>
            <x v="448"/>
            <x v="450"/>
            <x v="451"/>
            <x v="453"/>
            <x v="455"/>
            <x v="456"/>
            <x v="457"/>
            <x v="459"/>
            <x v="461"/>
            <x v="462"/>
            <x v="464"/>
          </reference>
        </references>
      </pivotArea>
    </format>
    <format dxfId="50">
      <pivotArea dataOnly="0" labelOnly="1" fieldPosition="0">
        <references count="2">
          <reference field="0" count="1" selected="0">
            <x v="187"/>
          </reference>
          <reference field="2" count="35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72"/>
            <x v="78"/>
            <x v="80"/>
            <x v="122"/>
            <x v="200"/>
            <x v="260"/>
            <x v="307"/>
            <x v="417"/>
            <x v="418"/>
            <x v="438"/>
            <x v="450"/>
            <x v="464"/>
          </reference>
        </references>
      </pivotArea>
    </format>
    <format dxfId="49">
      <pivotArea dataOnly="0" labelOnly="1" fieldPosition="0">
        <references count="2">
          <reference field="0" count="1" selected="0">
            <x v="189"/>
          </reference>
          <reference field="2" count="50"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5"/>
            <x v="66"/>
            <x v="68"/>
            <x v="72"/>
            <x v="73"/>
            <x v="74"/>
            <x v="75"/>
            <x v="76"/>
            <x v="78"/>
            <x v="79"/>
            <x v="81"/>
            <x v="83"/>
            <x v="84"/>
            <x v="88"/>
            <x v="162"/>
            <x v="169"/>
            <x v="200"/>
            <x v="260"/>
            <x v="296"/>
            <x v="307"/>
            <x v="309"/>
            <x v="401"/>
            <x v="417"/>
            <x v="418"/>
            <x v="438"/>
            <x v="450"/>
            <x v="451"/>
            <x v="454"/>
            <x v="457"/>
            <x v="459"/>
            <x v="461"/>
          </reference>
        </references>
      </pivotArea>
    </format>
    <format dxfId="48">
      <pivotArea dataOnly="0" labelOnly="1" fieldPosition="0">
        <references count="2">
          <reference field="0" count="1" selected="0">
            <x v="189"/>
          </reference>
          <reference field="2" count="41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2"/>
            <x v="73"/>
            <x v="74"/>
            <x v="75"/>
            <x v="76"/>
            <x v="78"/>
            <x v="79"/>
            <x v="80"/>
            <x v="81"/>
            <x v="200"/>
            <x v="260"/>
            <x v="307"/>
            <x v="417"/>
            <x v="418"/>
            <x v="438"/>
            <x v="450"/>
            <x v="451"/>
            <x v="457"/>
            <x v="459"/>
            <x v="461"/>
            <x v="464"/>
          </reference>
        </references>
      </pivotArea>
    </format>
    <format dxfId="47">
      <pivotArea dataOnly="0" labelOnly="1" fieldPosition="0">
        <references count="2">
          <reference field="0" count="1" selected="0">
            <x v="191"/>
          </reference>
          <reference field="2" count="39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2"/>
            <x v="78"/>
            <x v="80"/>
            <x v="92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46">
      <pivotArea dataOnly="0" labelOnly="1" fieldPosition="0">
        <references count="2">
          <reference field="0" count="1" selected="0">
            <x v="193"/>
          </reference>
          <reference field="2" count="50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5"/>
            <x v="66"/>
            <x v="68"/>
            <x v="78"/>
            <x v="80"/>
            <x v="162"/>
            <x v="169"/>
            <x v="200"/>
            <x v="214"/>
            <x v="260"/>
          </reference>
        </references>
      </pivotArea>
    </format>
    <format dxfId="45">
      <pivotArea dataOnly="0" labelOnly="1" fieldPosition="0">
        <references count="2">
          <reference field="0" count="1" selected="0">
            <x v="193"/>
          </reference>
          <reference field="2" count="50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291"/>
            <x v="296"/>
            <x v="307"/>
            <x v="309"/>
            <x v="401"/>
            <x v="417"/>
            <x v="438"/>
            <x v="450"/>
            <x v="454"/>
            <x v="457"/>
            <x v="459"/>
          </reference>
        </references>
      </pivotArea>
    </format>
    <format dxfId="44">
      <pivotArea dataOnly="0" labelOnly="1" fieldPosition="0">
        <references count="2">
          <reference field="0" count="1" selected="0">
            <x v="194"/>
          </reference>
          <reference field="2" count="45">
            <x v="2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62"/>
            <x v="65"/>
            <x v="66"/>
            <x v="68"/>
            <x v="78"/>
            <x v="80"/>
            <x v="92"/>
            <x v="147"/>
            <x v="162"/>
            <x v="169"/>
            <x v="200"/>
            <x v="214"/>
            <x v="260"/>
            <x v="291"/>
            <x v="296"/>
            <x v="307"/>
            <x v="309"/>
            <x v="401"/>
            <x v="417"/>
            <x v="438"/>
            <x v="450"/>
            <x v="454"/>
            <x v="457"/>
            <x v="459"/>
          </reference>
        </references>
      </pivotArea>
    </format>
    <format dxfId="43">
      <pivotArea dataOnly="0" labelOnly="1" fieldPosition="0">
        <references count="2">
          <reference field="0" count="1" selected="0">
            <x v="195"/>
          </reference>
          <reference field="2" count="37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92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42">
      <pivotArea dataOnly="0" labelOnly="1" fieldPosition="0">
        <references count="2">
          <reference field="0" count="1" selected="0">
            <x v="197"/>
          </reference>
          <reference field="2" count="36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41">
      <pivotArea dataOnly="0" labelOnly="1" fieldPosition="0">
        <references count="2">
          <reference field="0" count="1" selected="0">
            <x v="198"/>
          </reference>
          <reference field="2" count="35">
            <x v="2"/>
            <x v="8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40">
      <pivotArea dataOnly="0" labelOnly="1" fieldPosition="0">
        <references count="2">
          <reference field="0" count="1" selected="0">
            <x v="199"/>
          </reference>
          <reference field="2" count="36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39">
      <pivotArea dataOnly="0" labelOnly="1" fieldPosition="0">
        <references count="2">
          <reference field="0" count="1" selected="0">
            <x v="202"/>
          </reference>
          <reference field="2" count="48">
            <x v="2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78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38">
      <pivotArea dataOnly="0" labelOnly="1" fieldPosition="0">
        <references count="2">
          <reference field="0" count="1" selected="0">
            <x v="205"/>
          </reference>
          <reference field="2" count="46">
            <x v="2"/>
            <x v="15"/>
            <x v="16"/>
            <x v="17"/>
            <x v="18"/>
            <x v="20"/>
            <x v="25"/>
            <x v="31"/>
            <x v="32"/>
            <x v="33"/>
            <x v="34"/>
            <x v="35"/>
            <x v="37"/>
            <x v="38"/>
            <x v="39"/>
            <x v="40"/>
            <x v="41"/>
            <x v="43"/>
            <x v="45"/>
            <x v="46"/>
            <x v="54"/>
            <x v="56"/>
            <x v="57"/>
            <x v="59"/>
            <x v="61"/>
            <x v="62"/>
            <x v="63"/>
            <x v="65"/>
            <x v="66"/>
            <x v="68"/>
            <x v="84"/>
            <x v="86"/>
            <x v="87"/>
            <x v="88"/>
            <x v="132"/>
            <x v="153"/>
            <x v="155"/>
            <x v="156"/>
            <x v="162"/>
            <x v="169"/>
            <x v="181"/>
            <x v="296"/>
            <x v="309"/>
            <x v="383"/>
            <x v="401"/>
            <x v="454"/>
          </reference>
        </references>
      </pivotArea>
    </format>
    <format dxfId="37">
      <pivotArea dataOnly="0" labelOnly="1" fieldPosition="0">
        <references count="2">
          <reference field="0" count="1" selected="0">
            <x v="208"/>
          </reference>
          <reference field="2" count="50">
            <x v="48"/>
            <x v="49"/>
            <x v="51"/>
            <x v="52"/>
            <x v="53"/>
            <x v="56"/>
            <x v="57"/>
            <x v="59"/>
            <x v="61"/>
            <x v="62"/>
            <x v="63"/>
            <x v="66"/>
            <x v="68"/>
            <x v="72"/>
            <x v="73"/>
            <x v="74"/>
            <x v="75"/>
            <x v="76"/>
            <x v="78"/>
            <x v="79"/>
            <x v="81"/>
            <x v="83"/>
            <x v="84"/>
            <x v="85"/>
            <x v="86"/>
            <x v="87"/>
            <x v="88"/>
            <x v="92"/>
            <x v="117"/>
            <x v="132"/>
            <x v="152"/>
            <x v="153"/>
            <x v="155"/>
            <x v="156"/>
            <x v="162"/>
            <x v="169"/>
            <x v="177"/>
            <x v="183"/>
            <x v="185"/>
            <x v="186"/>
            <x v="187"/>
            <x v="188"/>
            <x v="189"/>
            <x v="191"/>
            <x v="192"/>
            <x v="200"/>
            <x v="260"/>
            <x v="264"/>
            <x v="296"/>
            <x v="309"/>
          </reference>
        </references>
      </pivotArea>
    </format>
    <format dxfId="36">
      <pivotArea dataOnly="0" labelOnly="1" fieldPosition="0">
        <references count="2">
          <reference field="0" count="1" selected="0">
            <x v="208"/>
          </reference>
          <reference field="2" count="40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92"/>
            <x v="200"/>
            <x v="214"/>
            <x v="260"/>
            <x v="291"/>
            <x v="307"/>
            <x v="383"/>
            <x v="401"/>
            <x v="417"/>
            <x v="418"/>
            <x v="438"/>
            <x v="450"/>
            <x v="451"/>
            <x v="453"/>
            <x v="454"/>
            <x v="457"/>
            <x v="459"/>
            <x v="461"/>
            <x v="464"/>
          </reference>
        </references>
      </pivotArea>
    </format>
    <format dxfId="35">
      <pivotArea dataOnly="0" labelOnly="1" fieldPosition="0">
        <references count="2">
          <reference field="0" count="1" selected="0">
            <x v="210"/>
          </reference>
          <reference field="2" count="37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92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34">
      <pivotArea dataOnly="0" labelOnly="1" fieldPosition="0">
        <references count="2">
          <reference field="0" count="1" selected="0">
            <x v="211"/>
          </reference>
          <reference field="2" count="35">
            <x v="2"/>
            <x v="8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33">
      <pivotArea dataOnly="0" labelOnly="1" fieldPosition="0">
        <references count="2">
          <reference field="0" count="1" selected="0">
            <x v="213"/>
          </reference>
          <reference field="2" count="36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32">
      <pivotArea dataOnly="0" labelOnly="1" fieldPosition="0">
        <references count="2">
          <reference field="0" count="1" selected="0">
            <x v="214"/>
          </reference>
          <reference field="2" count="32">
            <x v="2"/>
            <x v="20"/>
            <x v="23"/>
            <x v="30"/>
            <x v="31"/>
            <x v="32"/>
            <x v="33"/>
            <x v="34"/>
            <x v="69"/>
            <x v="78"/>
            <x v="128"/>
            <x v="193"/>
            <x v="200"/>
            <x v="214"/>
            <x v="260"/>
            <x v="291"/>
            <x v="307"/>
            <x v="411"/>
            <x v="417"/>
            <x v="418"/>
            <x v="420"/>
            <x v="438"/>
            <x v="442"/>
            <x v="450"/>
            <x v="451"/>
            <x v="453"/>
            <x v="455"/>
            <x v="456"/>
            <x v="457"/>
            <x v="459"/>
            <x v="461"/>
            <x v="464"/>
          </reference>
        </references>
      </pivotArea>
    </format>
    <format dxfId="31">
      <pivotArea dataOnly="0" labelOnly="1" fieldPosition="0">
        <references count="2">
          <reference field="0" count="1" selected="0">
            <x v="241"/>
          </reference>
          <reference field="2" count="9">
            <x v="2"/>
            <x v="20"/>
            <x v="21"/>
            <x v="69"/>
            <x v="141"/>
            <x v="197"/>
            <x v="198"/>
            <x v="271"/>
            <x v="398"/>
          </reference>
        </references>
      </pivotArea>
    </format>
    <format dxfId="3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9">
      <pivotArea collapsedLevelsAreSubtotals="1" fieldPosition="0">
        <references count="1">
          <reference field="0" count="1">
            <x v="42"/>
          </reference>
        </references>
      </pivotArea>
    </format>
    <format dxfId="28">
      <pivotArea dataOnly="0" labelOnly="1" fieldPosition="0">
        <references count="1">
          <reference field="0" count="1">
            <x v="42"/>
          </reference>
        </references>
      </pivotArea>
    </format>
    <format dxfId="27">
      <pivotArea collapsedLevelsAreSubtotals="1" fieldPosition="0">
        <references count="2">
          <reference field="0" count="1" selected="0">
            <x v="168"/>
          </reference>
          <reference field="2" count="2">
            <x v="34"/>
            <x v="35"/>
          </reference>
        </references>
      </pivotArea>
    </format>
    <format dxfId="26">
      <pivotArea dataOnly="0" labelOnly="1" fieldPosition="0">
        <references count="2">
          <reference field="0" count="1" selected="0">
            <x v="168"/>
          </reference>
          <reference field="2" count="2">
            <x v="34"/>
            <x v="35"/>
          </reference>
        </references>
      </pivotArea>
    </format>
    <format dxfId="25">
      <pivotArea collapsedLevelsAreSubtotals="1" fieldPosition="0">
        <references count="2">
          <reference field="0" count="1" selected="0">
            <x v="44"/>
          </reference>
          <reference field="2" count="2">
            <x v="10"/>
            <x v="11"/>
          </reference>
        </references>
      </pivotArea>
    </format>
    <format dxfId="24">
      <pivotArea dataOnly="0" labelOnly="1" fieldPosition="0">
        <references count="2">
          <reference field="0" count="1" selected="0">
            <x v="44"/>
          </reference>
          <reference field="2" count="2">
            <x v="10"/>
            <x v="11"/>
          </reference>
        </references>
      </pivotArea>
    </format>
    <format dxfId="23">
      <pivotArea collapsedLevelsAreSubtotals="1" fieldPosition="0">
        <references count="2">
          <reference field="0" count="1" selected="0">
            <x v="41"/>
          </reference>
          <reference field="2" count="2">
            <x v="438"/>
            <x v="457"/>
          </reference>
        </references>
      </pivotArea>
    </format>
    <format dxfId="22">
      <pivotArea dataOnly="0" labelOnly="1" fieldPosition="0">
        <references count="2">
          <reference field="0" count="1" selected="0">
            <x v="41"/>
          </reference>
          <reference field="2" count="2">
            <x v="438"/>
            <x v="457"/>
          </reference>
        </references>
      </pivotArea>
    </format>
    <format dxfId="21">
      <pivotArea collapsedLevelsAreSubtotals="1" fieldPosition="0">
        <references count="1">
          <reference field="0" count="1">
            <x v="138"/>
          </reference>
        </references>
      </pivotArea>
    </format>
    <format dxfId="20">
      <pivotArea collapsedLevelsAreSubtotals="1" fieldPosition="0">
        <references count="2">
          <reference field="0" count="1" selected="0">
            <x v="138"/>
          </reference>
          <reference field="2" count="1">
            <x v="2"/>
          </reference>
        </references>
      </pivotArea>
    </format>
    <format dxfId="19">
      <pivotArea dataOnly="0" labelOnly="1" fieldPosition="0">
        <references count="1">
          <reference field="0" count="1">
            <x v="138"/>
          </reference>
        </references>
      </pivotArea>
    </format>
    <format dxfId="18">
      <pivotArea dataOnly="0" labelOnly="1" fieldPosition="0">
        <references count="2">
          <reference field="0" count="1" selected="0">
            <x v="138"/>
          </reference>
          <reference field="2" count="1">
            <x v="2"/>
          </reference>
        </references>
      </pivotArea>
    </format>
    <format dxfId="1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6">
      <pivotArea dataOnly="0" labelOnly="1" outline="0" fieldPosition="0">
        <references count="1">
          <reference field="0" count="0"/>
        </references>
      </pivotArea>
    </format>
    <format dxfId="1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3">
      <pivotArea dataOnly="0" labelOnly="1" outline="0" fieldPosition="0">
        <references count="1">
          <reference field="0" count="0"/>
        </references>
      </pivotArea>
    </format>
    <format dxfId="1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0">
      <pivotArea dataOnly="0" labelOnly="1" outline="0" fieldPosition="0">
        <references count="1">
          <reference field="0" count="0"/>
        </references>
      </pivotArea>
    </format>
    <format dxfId="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7">
      <pivotArea dataOnly="0" labelOnly="1" outline="0" fieldPosition="0">
        <references count="1">
          <reference field="0" count="0"/>
        </references>
      </pivotArea>
    </format>
    <format dxfId="6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4" indent="0" outline="1" outlineData="1" multipleFieldFilters="0" rowHeaderCaption="CONTRATO">
  <location ref="W5:X278" firstHeaderRow="1" firstDataRow="1" firstDataCol="1"/>
  <pivotFields count="18">
    <pivotField axis="axisRow" showAll="0">
      <items count="434">
        <item x="121"/>
        <item x="241"/>
        <item m="1" x="329"/>
        <item x="242"/>
        <item m="1" x="303"/>
        <item x="243"/>
        <item m="1" x="343"/>
        <item m="1" x="378"/>
        <item m="1" x="348"/>
        <item m="1" x="333"/>
        <item m="1" x="322"/>
        <item m="1" x="327"/>
        <item m="1" x="279"/>
        <item m="1" x="315"/>
        <item x="244"/>
        <item m="1" x="375"/>
        <item m="1" x="323"/>
        <item x="245"/>
        <item x="246"/>
        <item x="247"/>
        <item m="1" x="383"/>
        <item m="1" x="388"/>
        <item x="248"/>
        <item x="249"/>
        <item m="1" x="405"/>
        <item m="1" x="280"/>
        <item m="1" x="3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m="1" x="390"/>
        <item m="1" x="316"/>
        <item x="261"/>
        <item m="1" x="387"/>
        <item m="1" x="426"/>
        <item x="262"/>
        <item x="263"/>
        <item x="264"/>
        <item x="265"/>
        <item x="266"/>
        <item x="267"/>
        <item x="268"/>
        <item x="269"/>
        <item x="270"/>
        <item m="1" x="314"/>
        <item m="1" x="338"/>
        <item m="1" x="417"/>
        <item m="1" x="294"/>
        <item m="1" x="381"/>
        <item x="271"/>
        <item x="180"/>
        <item x="181"/>
        <item m="1" x="394"/>
        <item x="102"/>
        <item x="103"/>
        <item x="104"/>
        <item x="105"/>
        <item x="106"/>
        <item x="107"/>
        <item x="108"/>
        <item x="109"/>
        <item x="110"/>
        <item m="1" x="288"/>
        <item x="111"/>
        <item x="112"/>
        <item x="113"/>
        <item x="114"/>
        <item x="115"/>
        <item x="116"/>
        <item x="117"/>
        <item x="118"/>
        <item m="1" x="275"/>
        <item m="1" x="310"/>
        <item m="1" x="361"/>
        <item m="1" x="376"/>
        <item m="1" x="299"/>
        <item x="119"/>
        <item x="120"/>
        <item m="1" x="311"/>
        <item x="238"/>
        <item m="1" x="296"/>
        <item x="239"/>
        <item m="1" x="278"/>
        <item x="240"/>
        <item m="1" x="385"/>
        <item m="1" x="312"/>
        <item x="174"/>
        <item x="22"/>
        <item m="1" x="317"/>
        <item x="23"/>
        <item m="1" x="292"/>
        <item x="24"/>
        <item x="25"/>
        <item x="26"/>
        <item x="175"/>
        <item x="176"/>
        <item x="27"/>
        <item x="28"/>
        <item x="29"/>
        <item x="30"/>
        <item m="1" x="301"/>
        <item x="31"/>
        <item x="32"/>
        <item x="33"/>
        <item m="1" x="377"/>
        <item x="35"/>
        <item x="36"/>
        <item m="1" x="300"/>
        <item x="177"/>
        <item x="178"/>
        <item x="179"/>
        <item x="37"/>
        <item x="38"/>
        <item m="1" x="379"/>
        <item x="39"/>
        <item x="40"/>
        <item m="1" x="402"/>
        <item m="1" x="418"/>
        <item m="1" x="423"/>
        <item x="41"/>
        <item x="42"/>
        <item x="43"/>
        <item m="1" x="353"/>
        <item x="44"/>
        <item x="45"/>
        <item m="1" x="391"/>
        <item m="1" x="274"/>
        <item m="1" x="389"/>
        <item x="46"/>
        <item x="47"/>
        <item x="182"/>
        <item m="1" x="336"/>
        <item x="183"/>
        <item m="1" x="369"/>
        <item x="184"/>
        <item x="185"/>
        <item m="1" x="334"/>
        <item m="1" x="337"/>
        <item x="186"/>
        <item x="187"/>
        <item x="188"/>
        <item x="189"/>
        <item x="190"/>
        <item x="191"/>
        <item m="1" x="403"/>
        <item m="1" x="406"/>
        <item m="1" x="409"/>
        <item m="1" x="414"/>
        <item x="192"/>
        <item x="193"/>
        <item m="1" x="421"/>
        <item x="194"/>
        <item x="195"/>
        <item x="196"/>
        <item x="197"/>
        <item m="1" x="276"/>
        <item x="198"/>
        <item m="1" x="284"/>
        <item m="1" x="287"/>
        <item m="1" x="289"/>
        <item m="1" x="304"/>
        <item m="1" x="306"/>
        <item m="1" x="320"/>
        <item m="1" x="325"/>
        <item m="1" x="328"/>
        <item x="199"/>
        <item m="1" x="404"/>
        <item x="200"/>
        <item x="201"/>
        <item x="202"/>
        <item m="1" x="355"/>
        <item m="1" x="358"/>
        <item m="1" x="363"/>
        <item m="1" x="364"/>
        <item x="203"/>
        <item x="204"/>
        <item x="205"/>
        <item x="206"/>
        <item m="1" x="370"/>
        <item x="207"/>
        <item x="208"/>
        <item x="209"/>
        <item m="1" x="356"/>
        <item m="1" x="359"/>
        <item m="1" x="318"/>
        <item m="1" x="321"/>
        <item x="210"/>
        <item x="211"/>
        <item x="212"/>
        <item x="213"/>
        <item m="1" x="392"/>
        <item m="1" x="396"/>
        <item m="1" x="407"/>
        <item x="214"/>
        <item x="215"/>
        <item x="216"/>
        <item x="217"/>
        <item m="1" x="346"/>
        <item m="1" x="347"/>
        <item x="218"/>
        <item x="219"/>
        <item m="1" x="393"/>
        <item m="1" x="341"/>
        <item m="1" x="344"/>
        <item m="1" x="374"/>
        <item x="220"/>
        <item m="1" x="352"/>
        <item m="1" x="357"/>
        <item x="221"/>
        <item x="222"/>
        <item x="223"/>
        <item x="234"/>
        <item x="235"/>
        <item x="236"/>
        <item x="237"/>
        <item m="1" x="351"/>
        <item x="122"/>
        <item x="124"/>
        <item x="125"/>
        <item m="1" x="297"/>
        <item x="129"/>
        <item x="130"/>
        <item x="132"/>
        <item x="133"/>
        <item x="134"/>
        <item m="1" x="307"/>
        <item m="1" x="399"/>
        <item x="137"/>
        <item x="138"/>
        <item m="1" x="360"/>
        <item m="1" x="272"/>
        <item m="1" x="285"/>
        <item m="1" x="372"/>
        <item x="139"/>
        <item m="1" x="382"/>
        <item m="1" x="420"/>
        <item m="1" x="282"/>
        <item m="1" x="309"/>
        <item x="140"/>
        <item m="1" x="400"/>
        <item m="1" x="413"/>
        <item m="1" x="277"/>
        <item m="1" x="331"/>
        <item m="1" x="425"/>
        <item x="141"/>
        <item m="1" x="367"/>
        <item m="1" x="273"/>
        <item m="1" x="332"/>
        <item x="142"/>
        <item m="1" x="340"/>
        <item x="143"/>
        <item m="1" x="410"/>
        <item m="1" x="415"/>
        <item m="1" x="419"/>
        <item m="1" x="422"/>
        <item m="1" x="424"/>
        <item x="144"/>
        <item x="224"/>
        <item x="225"/>
        <item m="1" x="431"/>
        <item m="1" x="397"/>
        <item m="1" x="412"/>
        <item m="1" x="373"/>
        <item m="1" x="368"/>
        <item m="1" x="380"/>
        <item m="1" x="429"/>
        <item m="1" x="371"/>
        <item m="1" x="335"/>
        <item m="1" x="386"/>
        <item x="227"/>
        <item x="228"/>
        <item x="229"/>
        <item x="230"/>
        <item m="1" x="411"/>
        <item m="1" x="416"/>
        <item x="48"/>
        <item m="1" x="330"/>
        <item m="1" x="342"/>
        <item x="226"/>
        <item m="1" x="290"/>
        <item x="136"/>
        <item m="1" x="286"/>
        <item m="1" x="398"/>
        <item m="1" x="319"/>
        <item m="1" x="324"/>
        <item m="1" x="401"/>
        <item m="1" x="384"/>
        <item m="1" x="428"/>
        <item m="1" x="432"/>
        <item x="135"/>
        <item m="1" x="281"/>
        <item m="1" x="308"/>
        <item m="1" x="326"/>
        <item m="1" x="295"/>
        <item m="1" x="339"/>
        <item x="145"/>
        <item x="146"/>
        <item x="147"/>
        <item x="151"/>
        <item x="51"/>
        <item x="52"/>
        <item x="231"/>
        <item x="232"/>
        <item x="233"/>
        <item m="1" x="366"/>
        <item m="1" x="313"/>
        <item m="1" x="430"/>
        <item m="1" x="345"/>
        <item m="1" x="350"/>
        <item m="1" x="354"/>
        <item m="1" x="362"/>
        <item m="1" x="365"/>
        <item x="127"/>
        <item m="1" x="395"/>
        <item x="66"/>
        <item x="67"/>
        <item x="153"/>
        <item x="68"/>
        <item x="69"/>
        <item x="50"/>
        <item x="63"/>
        <item x="64"/>
        <item m="1" x="293"/>
        <item m="1" x="291"/>
        <item x="128"/>
        <item m="1" x="298"/>
        <item x="154"/>
        <item x="155"/>
        <item x="156"/>
        <item x="157"/>
        <item x="158"/>
        <item m="1" x="427"/>
        <item x="70"/>
        <item x="71"/>
        <item m="1" x="408"/>
        <item m="1" x="302"/>
        <item x="65"/>
        <item x="74"/>
        <item x="159"/>
        <item x="152"/>
        <item x="49"/>
        <item x="160"/>
        <item x="81"/>
        <item x="82"/>
        <item x="148"/>
        <item x="149"/>
        <item x="150"/>
        <item x="72"/>
        <item x="88"/>
        <item x="89"/>
        <item x="92"/>
        <item x="93"/>
        <item x="94"/>
        <item x="95"/>
        <item x="126"/>
        <item x="131"/>
        <item x="75"/>
        <item x="76"/>
        <item x="77"/>
        <item x="78"/>
        <item x="79"/>
        <item x="80"/>
        <item x="123"/>
        <item x="73"/>
        <item x="86"/>
        <item x="87"/>
        <item x="96"/>
        <item x="97"/>
        <item x="84"/>
        <item m="1" x="305"/>
        <item x="165"/>
        <item x="99"/>
        <item m="1" x="283"/>
        <item x="100"/>
        <item x="98"/>
        <item x="161"/>
        <item x="83"/>
        <item x="1"/>
        <item x="3"/>
        <item x="34"/>
        <item x="53"/>
        <item x="54"/>
        <item x="55"/>
        <item x="56"/>
        <item x="57"/>
        <item x="58"/>
        <item x="59"/>
        <item x="60"/>
        <item x="61"/>
        <item x="62"/>
        <item x="85"/>
        <item x="90"/>
        <item x="91"/>
        <item x="101"/>
        <item x="166"/>
        <item x="167"/>
        <item x="168"/>
        <item x="169"/>
        <item x="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62"/>
        <item x="163"/>
        <item x="164"/>
        <item x="170"/>
        <item x="171"/>
        <item x="172"/>
        <item x="173"/>
        <item x="0"/>
        <item x="4"/>
        <item x="19"/>
        <item x="21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73">
    <i>
      <x/>
    </i>
    <i>
      <x v="1"/>
    </i>
    <i>
      <x v="3"/>
    </i>
    <i>
      <x v="5"/>
    </i>
    <i>
      <x v="14"/>
    </i>
    <i>
      <x v="17"/>
    </i>
    <i>
      <x v="18"/>
    </i>
    <i>
      <x v="19"/>
    </i>
    <i>
      <x v="22"/>
    </i>
    <i>
      <x v="23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40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7"/>
    </i>
    <i>
      <x v="58"/>
    </i>
    <i>
      <x v="59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84"/>
    </i>
    <i>
      <x v="85"/>
    </i>
    <i>
      <x v="87"/>
    </i>
    <i>
      <x v="89"/>
    </i>
    <i>
      <x v="91"/>
    </i>
    <i>
      <x v="94"/>
    </i>
    <i>
      <x v="95"/>
    </i>
    <i>
      <x v="97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9"/>
    </i>
    <i>
      <x v="110"/>
    </i>
    <i>
      <x v="111"/>
    </i>
    <i>
      <x v="113"/>
    </i>
    <i>
      <x v="114"/>
    </i>
    <i>
      <x v="116"/>
    </i>
    <i>
      <x v="117"/>
    </i>
    <i>
      <x v="118"/>
    </i>
    <i>
      <x v="119"/>
    </i>
    <i>
      <x v="120"/>
    </i>
    <i>
      <x v="122"/>
    </i>
    <i>
      <x v="123"/>
    </i>
    <i>
      <x v="127"/>
    </i>
    <i>
      <x v="128"/>
    </i>
    <i>
      <x v="129"/>
    </i>
    <i>
      <x v="131"/>
    </i>
    <i>
      <x v="132"/>
    </i>
    <i>
      <x v="136"/>
    </i>
    <i>
      <x v="137"/>
    </i>
    <i>
      <x v="138"/>
    </i>
    <i>
      <x v="140"/>
    </i>
    <i>
      <x v="142"/>
    </i>
    <i>
      <x v="143"/>
    </i>
    <i>
      <x v="146"/>
    </i>
    <i>
      <x v="147"/>
    </i>
    <i>
      <x v="148"/>
    </i>
    <i>
      <x v="149"/>
    </i>
    <i>
      <x v="150"/>
    </i>
    <i>
      <x v="151"/>
    </i>
    <i>
      <x v="156"/>
    </i>
    <i>
      <x v="157"/>
    </i>
    <i>
      <x v="159"/>
    </i>
    <i>
      <x v="160"/>
    </i>
    <i>
      <x v="161"/>
    </i>
    <i>
      <x v="162"/>
    </i>
    <i>
      <x v="164"/>
    </i>
    <i>
      <x v="173"/>
    </i>
    <i>
      <x v="175"/>
    </i>
    <i>
      <x v="176"/>
    </i>
    <i>
      <x v="177"/>
    </i>
    <i>
      <x v="182"/>
    </i>
    <i>
      <x v="183"/>
    </i>
    <i>
      <x v="184"/>
    </i>
    <i>
      <x v="185"/>
    </i>
    <i>
      <x v="187"/>
    </i>
    <i>
      <x v="188"/>
    </i>
    <i>
      <x v="189"/>
    </i>
    <i>
      <x v="194"/>
    </i>
    <i>
      <x v="195"/>
    </i>
    <i>
      <x v="196"/>
    </i>
    <i>
      <x v="197"/>
    </i>
    <i>
      <x v="201"/>
    </i>
    <i>
      <x v="202"/>
    </i>
    <i>
      <x v="203"/>
    </i>
    <i>
      <x v="204"/>
    </i>
    <i>
      <x v="207"/>
    </i>
    <i>
      <x v="208"/>
    </i>
    <i>
      <x v="213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4"/>
    </i>
    <i>
      <x v="225"/>
    </i>
    <i>
      <x v="226"/>
    </i>
    <i>
      <x v="228"/>
    </i>
    <i>
      <x v="229"/>
    </i>
    <i>
      <x v="230"/>
    </i>
    <i>
      <x v="231"/>
    </i>
    <i>
      <x v="232"/>
    </i>
    <i>
      <x v="235"/>
    </i>
    <i>
      <x v="236"/>
    </i>
    <i>
      <x v="241"/>
    </i>
    <i>
      <x v="246"/>
    </i>
    <i>
      <x v="252"/>
    </i>
    <i>
      <x v="256"/>
    </i>
    <i>
      <x v="258"/>
    </i>
    <i>
      <x v="264"/>
    </i>
    <i>
      <x v="265"/>
    </i>
    <i>
      <x v="266"/>
    </i>
    <i>
      <x v="277"/>
    </i>
    <i>
      <x v="278"/>
    </i>
    <i>
      <x v="279"/>
    </i>
    <i>
      <x v="280"/>
    </i>
    <i>
      <x v="283"/>
    </i>
    <i>
      <x v="286"/>
    </i>
    <i>
      <x v="288"/>
    </i>
    <i>
      <x v="297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20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2"/>
    </i>
    <i>
      <x v="334"/>
    </i>
    <i>
      <x v="335"/>
    </i>
    <i>
      <x v="336"/>
    </i>
    <i>
      <x v="337"/>
    </i>
    <i>
      <x v="338"/>
    </i>
    <i>
      <x v="340"/>
    </i>
    <i>
      <x v="341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8"/>
    </i>
    <i>
      <x v="379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 t="grand">
      <x/>
    </i>
  </rowItems>
  <colItems count="1">
    <i/>
  </colItems>
  <dataFields count="1">
    <dataField name="TOTAL" fld="7" baseField="0" baseItem="0"/>
  </dataFields>
  <formats count="13">
    <format dxfId="112">
      <pivotArea type="all" dataOnly="0" outline="0" fieldPosition="0"/>
    </format>
    <format dxfId="111">
      <pivotArea outline="0" collapsedLevelsAreSubtotals="1" fieldPosition="0"/>
    </format>
    <format dxfId="110">
      <pivotArea field="0" type="button" dataOnly="0" labelOnly="1" outline="0" axis="axisRow" fieldPosition="0"/>
    </format>
    <format dxfId="109">
      <pivotArea dataOnly="0" labelOnly="1" outline="0" axis="axisValues" fieldPosition="0"/>
    </format>
    <format dxfId="108">
      <pivotArea dataOnly="0" labelOnly="1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10"/>
            <x v="11"/>
            <x v="14"/>
            <x v="15"/>
            <x v="16"/>
            <x v="17"/>
            <x v="18"/>
            <x v="19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40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4"/>
            <x v="56"/>
            <x v="57"/>
            <x v="58"/>
          </reference>
        </references>
      </pivotArea>
    </format>
    <format dxfId="107">
      <pivotArea dataOnly="0" labelOnly="1" fieldPosition="0">
        <references count="1">
          <reference field="0" count="50">
            <x v="59"/>
            <x v="61"/>
            <x v="62"/>
            <x v="63"/>
            <x v="64"/>
            <x v="65"/>
            <x v="66"/>
            <x v="67"/>
            <x v="68"/>
            <x v="69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4"/>
            <x v="85"/>
            <x v="87"/>
            <x v="89"/>
            <x v="90"/>
            <x v="91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9"/>
            <x v="110"/>
            <x v="111"/>
            <x v="113"/>
            <x v="114"/>
            <x v="116"/>
            <x v="117"/>
            <x v="118"/>
          </reference>
        </references>
      </pivotArea>
    </format>
    <format dxfId="106">
      <pivotArea dataOnly="0" labelOnly="1" fieldPosition="0">
        <references count="1">
          <reference field="0" count="50">
            <x v="119"/>
            <x v="120"/>
            <x v="123"/>
            <x v="124"/>
            <x v="125"/>
            <x v="126"/>
            <x v="127"/>
            <x v="128"/>
            <x v="129"/>
            <x v="131"/>
            <x v="132"/>
            <x v="134"/>
            <x v="135"/>
            <x v="136"/>
            <x v="137"/>
            <x v="138"/>
            <x v="139"/>
            <x v="140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9"/>
            <x v="162"/>
            <x v="163"/>
            <x v="164"/>
            <x v="165"/>
            <x v="166"/>
            <x v="168"/>
            <x v="169"/>
            <x v="171"/>
            <x v="173"/>
            <x v="175"/>
            <x v="176"/>
            <x v="177"/>
            <x v="178"/>
            <x v="179"/>
            <x v="180"/>
          </reference>
        </references>
      </pivotArea>
    </format>
    <format dxfId="105">
      <pivotArea dataOnly="0" labelOnly="1" fieldPosition="0">
        <references count="1">
          <reference field="0" count="50">
            <x v="181"/>
            <x v="182"/>
            <x v="183"/>
            <x v="184"/>
            <x v="185"/>
            <x v="186"/>
            <x v="187"/>
            <x v="188"/>
            <x v="189"/>
            <x v="194"/>
            <x v="195"/>
            <x v="196"/>
            <x v="197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4"/>
            <x v="225"/>
            <x v="226"/>
            <x v="228"/>
            <x v="229"/>
            <x v="230"/>
            <x v="231"/>
            <x v="232"/>
            <x v="233"/>
            <x v="235"/>
            <x v="236"/>
            <x v="237"/>
            <x v="238"/>
            <x v="241"/>
          </reference>
        </references>
      </pivotArea>
    </format>
    <format dxfId="104">
      <pivotArea dataOnly="0" labelOnly="1" fieldPosition="0">
        <references count="1">
          <reference field="0" count="49">
            <x v="246"/>
            <x v="248"/>
            <x v="251"/>
            <x v="252"/>
            <x v="253"/>
            <x v="254"/>
            <x v="255"/>
            <x v="256"/>
            <x v="257"/>
            <x v="258"/>
            <x v="264"/>
            <x v="265"/>
            <x v="266"/>
            <x v="269"/>
            <x v="272"/>
            <x v="275"/>
            <x v="277"/>
            <x v="278"/>
            <x v="279"/>
            <x v="280"/>
            <x v="283"/>
            <x v="285"/>
            <x v="286"/>
            <x v="287"/>
            <x v="288"/>
            <x v="290"/>
            <x v="296"/>
            <x v="297"/>
            <x v="298"/>
            <x v="299"/>
            <x v="300"/>
            <x v="301"/>
            <x v="303"/>
            <x v="304"/>
            <x v="305"/>
            <x v="306"/>
            <x v="307"/>
            <x v="308"/>
            <x v="309"/>
            <x v="310"/>
            <x v="311"/>
            <x v="312"/>
            <x v="314"/>
            <x v="315"/>
            <x v="316"/>
            <x v="317"/>
            <x v="318"/>
            <x v="319"/>
            <x v="320"/>
          </reference>
        </references>
      </pivotArea>
    </format>
    <format dxfId="103">
      <pivotArea dataOnly="0" labelOnly="1" fieldPosition="0">
        <references count="1">
          <reference field="0" count="6">
            <x v="321"/>
            <x v="322"/>
            <x v="323"/>
            <x v="324"/>
            <x v="325"/>
            <x v="326"/>
          </reference>
        </references>
      </pivotArea>
    </format>
    <format dxfId="102">
      <pivotArea dataOnly="0" labelOnly="1" grandRow="1" outline="0" fieldPosition="0"/>
    </format>
    <format dxfId="101">
      <pivotArea field="0" type="button" dataOnly="0" labelOnly="1" outline="0" axis="axisRow" fieldPosition="0"/>
    </format>
    <format dxfId="100">
      <pivotArea field="0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file:///\\180.2.159.233\Operaciones\Operativa\CONTRATOS%20DEFINITIVOS.xlsx" TargetMode="External"/><Relationship Id="rId1" Type="http://schemas.openxmlformats.org/officeDocument/2006/relationships/hyperlink" Target="file:///\\180.2.159.233\Operaciones\Operativa\CONTRATOS%20DEFINITIVOS.xlsx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">
    <tabColor theme="6" tint="0.59999389629810485"/>
  </sheetPr>
  <dimension ref="A2:M448"/>
  <sheetViews>
    <sheetView zoomScale="85" zoomScaleNormal="85" workbookViewId="0">
      <selection activeCell="L5" sqref="L5"/>
    </sheetView>
  </sheetViews>
  <sheetFormatPr baseColWidth="10" defaultRowHeight="15" x14ac:dyDescent="0.25"/>
  <cols>
    <col min="1" max="1" width="15.5703125" customWidth="1"/>
    <col min="3" max="3" width="17.42578125" customWidth="1"/>
    <col min="4" max="4" width="59.42578125" customWidth="1"/>
    <col min="5" max="5" width="22.140625" customWidth="1"/>
    <col min="6" max="6" width="13.140625" bestFit="1" customWidth="1"/>
    <col min="7" max="7" width="14.42578125" customWidth="1"/>
    <col min="8" max="8" width="22.85546875" customWidth="1"/>
    <col min="9" max="9" width="13.85546875" customWidth="1"/>
    <col min="12" max="12" width="17.5703125" bestFit="1" customWidth="1"/>
    <col min="13" max="13" width="18.28515625" bestFit="1" customWidth="1"/>
  </cols>
  <sheetData>
    <row r="2" spans="1:13" x14ac:dyDescent="0.25">
      <c r="A2" s="1" t="s">
        <v>26</v>
      </c>
      <c r="B2" s="1" t="s">
        <v>27</v>
      </c>
      <c r="C2" s="1" t="s">
        <v>0</v>
      </c>
      <c r="D2" s="1" t="s">
        <v>28</v>
      </c>
      <c r="E2" s="1" t="s">
        <v>29</v>
      </c>
      <c r="F2" s="1" t="s">
        <v>30</v>
      </c>
      <c r="G2" s="1" t="s">
        <v>31</v>
      </c>
      <c r="H2" s="1" t="s">
        <v>32</v>
      </c>
      <c r="I2" s="1" t="s">
        <v>326</v>
      </c>
    </row>
    <row r="3" spans="1:13" ht="39" x14ac:dyDescent="0.25">
      <c r="A3" s="81" t="s">
        <v>166</v>
      </c>
      <c r="B3" s="80" t="s">
        <v>869</v>
      </c>
      <c r="C3" s="80">
        <v>65501387259</v>
      </c>
      <c r="D3" s="82" t="s">
        <v>42</v>
      </c>
      <c r="E3" s="83">
        <v>31054.78</v>
      </c>
      <c r="F3" s="84">
        <v>0</v>
      </c>
      <c r="G3" s="84">
        <v>31054.78</v>
      </c>
      <c r="H3" s="85" t="s">
        <v>870</v>
      </c>
      <c r="I3" s="79">
        <v>44960.684398148151</v>
      </c>
    </row>
    <row r="4" spans="1:13" x14ac:dyDescent="0.25">
      <c r="A4" s="81"/>
      <c r="B4" s="80"/>
      <c r="C4" s="80"/>
      <c r="D4" s="82"/>
      <c r="E4" s="83"/>
      <c r="F4" s="84"/>
      <c r="G4" s="84"/>
      <c r="H4" s="85"/>
      <c r="I4" s="79"/>
    </row>
    <row r="5" spans="1:13" ht="26.25" x14ac:dyDescent="0.25">
      <c r="A5" s="81" t="s">
        <v>166</v>
      </c>
      <c r="B5" s="80" t="s">
        <v>869</v>
      </c>
      <c r="C5" s="80">
        <v>1033796</v>
      </c>
      <c r="D5" s="82" t="s">
        <v>871</v>
      </c>
      <c r="E5" s="83">
        <v>-647.04999999999995</v>
      </c>
      <c r="F5" s="84">
        <v>0</v>
      </c>
      <c r="G5" s="84">
        <v>-647.04999999999995</v>
      </c>
      <c r="H5" s="85" t="s">
        <v>872</v>
      </c>
      <c r="I5" s="79">
        <v>44970.614108796297</v>
      </c>
      <c r="L5" s="2" t="s">
        <v>19</v>
      </c>
      <c r="M5" t="s">
        <v>143</v>
      </c>
    </row>
    <row r="6" spans="1:13" x14ac:dyDescent="0.25">
      <c r="A6" s="81" t="s">
        <v>166</v>
      </c>
      <c r="B6" s="80" t="s">
        <v>869</v>
      </c>
      <c r="C6" s="80">
        <v>80820</v>
      </c>
      <c r="D6" s="82" t="s">
        <v>211</v>
      </c>
      <c r="E6" s="83">
        <v>-18704512.940000001</v>
      </c>
      <c r="F6" s="84">
        <v>0</v>
      </c>
      <c r="G6" s="84">
        <v>-18704512.940000001</v>
      </c>
      <c r="H6" s="85" t="s">
        <v>873</v>
      </c>
      <c r="I6" s="79">
        <v>45169</v>
      </c>
      <c r="L6" s="3">
        <v>2000182</v>
      </c>
      <c r="M6">
        <v>3</v>
      </c>
    </row>
    <row r="7" spans="1:13" x14ac:dyDescent="0.25">
      <c r="A7" s="81" t="s">
        <v>166</v>
      </c>
      <c r="B7" s="80" t="s">
        <v>869</v>
      </c>
      <c r="C7" s="80">
        <v>154702</v>
      </c>
      <c r="D7" s="82" t="s">
        <v>40</v>
      </c>
      <c r="E7" s="83">
        <v>-103140348.26000001</v>
      </c>
      <c r="F7" s="84">
        <v>0</v>
      </c>
      <c r="G7" s="84">
        <v>-103140348.26000001</v>
      </c>
      <c r="H7" s="85" t="s">
        <v>873</v>
      </c>
      <c r="I7" s="79">
        <v>45169</v>
      </c>
      <c r="L7" s="3">
        <v>2000183</v>
      </c>
      <c r="M7">
        <v>3</v>
      </c>
    </row>
    <row r="8" spans="1:13" ht="39" x14ac:dyDescent="0.25">
      <c r="A8" s="81" t="s">
        <v>198</v>
      </c>
      <c r="B8" s="80" t="s">
        <v>869</v>
      </c>
      <c r="C8" s="80">
        <v>2000569</v>
      </c>
      <c r="D8" s="82" t="s">
        <v>874</v>
      </c>
      <c r="E8" s="83">
        <v>2069057.89</v>
      </c>
      <c r="F8" s="84">
        <v>0</v>
      </c>
      <c r="G8" s="84">
        <v>2069057.89</v>
      </c>
      <c r="H8" s="85" t="s">
        <v>870</v>
      </c>
      <c r="I8" s="79">
        <v>45274.764606481483</v>
      </c>
      <c r="L8" s="3">
        <v>2000423</v>
      </c>
      <c r="M8">
        <v>3</v>
      </c>
    </row>
    <row r="9" spans="1:13" ht="39" x14ac:dyDescent="0.25">
      <c r="A9" s="81" t="s">
        <v>166</v>
      </c>
      <c r="B9" s="80" t="s">
        <v>869</v>
      </c>
      <c r="C9" s="80">
        <v>65501387259</v>
      </c>
      <c r="D9" s="82" t="s">
        <v>42</v>
      </c>
      <c r="E9" s="83">
        <v>-604601.4</v>
      </c>
      <c r="F9" s="84">
        <v>0</v>
      </c>
      <c r="G9" s="84">
        <v>-604601.4</v>
      </c>
      <c r="H9" s="85" t="s">
        <v>870</v>
      </c>
      <c r="I9" s="79">
        <v>45224.769814814812</v>
      </c>
      <c r="L9" s="3">
        <v>2000424</v>
      </c>
      <c r="M9">
        <v>3</v>
      </c>
    </row>
    <row r="10" spans="1:13" ht="45" x14ac:dyDescent="0.25">
      <c r="A10" s="81" t="s">
        <v>198</v>
      </c>
      <c r="B10" s="80" t="s">
        <v>869</v>
      </c>
      <c r="C10" s="77">
        <v>2000569</v>
      </c>
      <c r="D10" s="76" t="s">
        <v>874</v>
      </c>
      <c r="E10" s="75">
        <v>2061277.72</v>
      </c>
      <c r="F10" s="75">
        <v>0</v>
      </c>
      <c r="G10" s="75">
        <v>2061277.72</v>
      </c>
      <c r="H10" s="78" t="s">
        <v>870</v>
      </c>
      <c r="I10" s="79">
        <v>45282.33556712963</v>
      </c>
      <c r="L10" s="3">
        <v>2000569</v>
      </c>
      <c r="M10">
        <v>10</v>
      </c>
    </row>
    <row r="11" spans="1:13" ht="45" x14ac:dyDescent="0.25">
      <c r="A11" s="81" t="s">
        <v>198</v>
      </c>
      <c r="B11" s="80" t="s">
        <v>869</v>
      </c>
      <c r="C11" s="77">
        <v>2000569</v>
      </c>
      <c r="D11" s="76" t="s">
        <v>874</v>
      </c>
      <c r="E11" s="75">
        <v>2038359.8</v>
      </c>
      <c r="F11" s="75">
        <v>0</v>
      </c>
      <c r="G11" s="75">
        <v>2038359.8</v>
      </c>
      <c r="H11" s="78" t="s">
        <v>870</v>
      </c>
      <c r="I11" s="79">
        <v>45294.744791666664</v>
      </c>
      <c r="L11" s="3">
        <v>2000722</v>
      </c>
      <c r="M11">
        <v>32</v>
      </c>
    </row>
    <row r="12" spans="1:13" ht="45" x14ac:dyDescent="0.25">
      <c r="A12" s="81" t="s">
        <v>198</v>
      </c>
      <c r="B12" s="80" t="s">
        <v>869</v>
      </c>
      <c r="C12" s="77">
        <v>2000569</v>
      </c>
      <c r="D12" s="76" t="s">
        <v>874</v>
      </c>
      <c r="E12" s="75">
        <v>1960623.51</v>
      </c>
      <c r="F12" s="75">
        <v>0</v>
      </c>
      <c r="G12" s="75">
        <v>1960623.51</v>
      </c>
      <c r="H12" s="78" t="s">
        <v>870</v>
      </c>
      <c r="I12" s="79">
        <v>45303</v>
      </c>
      <c r="L12" s="3" t="s">
        <v>20</v>
      </c>
    </row>
    <row r="13" spans="1:13" ht="45" x14ac:dyDescent="0.25">
      <c r="A13" s="81" t="s">
        <v>198</v>
      </c>
      <c r="B13" s="80" t="s">
        <v>869</v>
      </c>
      <c r="C13" s="77">
        <v>2000569</v>
      </c>
      <c r="D13" s="76" t="s">
        <v>874</v>
      </c>
      <c r="E13" s="75">
        <v>2170433.7200000002</v>
      </c>
      <c r="F13" s="75">
        <v>0</v>
      </c>
      <c r="G13" s="75">
        <v>2170433.7200000002</v>
      </c>
      <c r="H13" s="78" t="s">
        <v>870</v>
      </c>
      <c r="I13" s="79">
        <v>45313.723194444443</v>
      </c>
      <c r="L13" s="3">
        <v>78665</v>
      </c>
      <c r="M13">
        <v>3</v>
      </c>
    </row>
    <row r="14" spans="1:13" ht="45" x14ac:dyDescent="0.25">
      <c r="A14" s="81" t="s">
        <v>198</v>
      </c>
      <c r="B14" s="80" t="s">
        <v>869</v>
      </c>
      <c r="C14" s="77">
        <v>2000569</v>
      </c>
      <c r="D14" s="76" t="s">
        <v>874</v>
      </c>
      <c r="E14" s="75">
        <v>1942702.82</v>
      </c>
      <c r="F14" s="75">
        <v>0</v>
      </c>
      <c r="G14" s="75">
        <v>1942702.82</v>
      </c>
      <c r="H14" s="78" t="s">
        <v>870</v>
      </c>
      <c r="I14" s="79">
        <v>45324.64267361111</v>
      </c>
      <c r="L14" s="3">
        <v>1012259</v>
      </c>
      <c r="M14">
        <v>3</v>
      </c>
    </row>
    <row r="15" spans="1:13" ht="45" x14ac:dyDescent="0.25">
      <c r="A15" s="81" t="s">
        <v>198</v>
      </c>
      <c r="B15" s="80" t="s">
        <v>869</v>
      </c>
      <c r="C15" s="77">
        <v>2000569</v>
      </c>
      <c r="D15" s="76" t="s">
        <v>874</v>
      </c>
      <c r="E15" s="75">
        <v>-2419615.39</v>
      </c>
      <c r="F15" s="75">
        <v>0</v>
      </c>
      <c r="G15" s="75">
        <v>-2419615.39</v>
      </c>
      <c r="H15" s="78" t="s">
        <v>870</v>
      </c>
      <c r="I15" s="79">
        <v>45335.711076388892</v>
      </c>
      <c r="L15" s="3">
        <v>1012260</v>
      </c>
      <c r="M15">
        <v>3</v>
      </c>
    </row>
    <row r="16" spans="1:13" ht="39" x14ac:dyDescent="0.25">
      <c r="A16" s="81" t="s">
        <v>259</v>
      </c>
      <c r="B16" s="80" t="s">
        <v>869</v>
      </c>
      <c r="C16" s="80">
        <v>2000722</v>
      </c>
      <c r="D16" s="82" t="s">
        <v>875</v>
      </c>
      <c r="E16" s="83">
        <v>55020.52</v>
      </c>
      <c r="F16" s="84">
        <v>0</v>
      </c>
      <c r="G16" s="84">
        <v>55020.52</v>
      </c>
      <c r="H16" s="85" t="s">
        <v>870</v>
      </c>
      <c r="I16" s="79">
        <v>45222.748171296298</v>
      </c>
      <c r="L16" s="3">
        <v>2000216</v>
      </c>
      <c r="M16">
        <v>4</v>
      </c>
    </row>
    <row r="17" spans="1:13" ht="39" x14ac:dyDescent="0.25">
      <c r="A17" s="81" t="s">
        <v>259</v>
      </c>
      <c r="B17" s="80" t="s">
        <v>869</v>
      </c>
      <c r="C17" s="80">
        <v>2000722</v>
      </c>
      <c r="D17" s="82" t="s">
        <v>875</v>
      </c>
      <c r="E17" s="83">
        <v>-661842.36</v>
      </c>
      <c r="F17" s="84">
        <v>0</v>
      </c>
      <c r="G17" s="84">
        <v>-661842.36</v>
      </c>
      <c r="H17" s="85" t="s">
        <v>870</v>
      </c>
      <c r="I17" s="79">
        <v>45239.722141203703</v>
      </c>
      <c r="L17" s="3">
        <v>2000217</v>
      </c>
      <c r="M17">
        <v>4</v>
      </c>
    </row>
    <row r="18" spans="1:13" ht="39" x14ac:dyDescent="0.25">
      <c r="A18" s="81" t="s">
        <v>166</v>
      </c>
      <c r="B18" s="80" t="s">
        <v>869</v>
      </c>
      <c r="C18" s="80">
        <v>65501387259</v>
      </c>
      <c r="D18" s="82" t="s">
        <v>42</v>
      </c>
      <c r="E18" s="83">
        <v>331073.77</v>
      </c>
      <c r="F18" s="84">
        <v>0</v>
      </c>
      <c r="G18" s="84">
        <v>331073.77</v>
      </c>
      <c r="H18" s="85" t="s">
        <v>870</v>
      </c>
      <c r="I18" s="79">
        <v>45268.34815972222</v>
      </c>
      <c r="L18" s="3">
        <v>2000218</v>
      </c>
      <c r="M18">
        <v>4</v>
      </c>
    </row>
    <row r="19" spans="1:13" ht="39" x14ac:dyDescent="0.25">
      <c r="A19" s="81" t="s">
        <v>166</v>
      </c>
      <c r="B19" s="80" t="s">
        <v>869</v>
      </c>
      <c r="C19" s="80">
        <v>65501387259</v>
      </c>
      <c r="D19" s="82" t="s">
        <v>42</v>
      </c>
      <c r="E19" s="83">
        <v>298356.01</v>
      </c>
      <c r="F19" s="84">
        <v>0</v>
      </c>
      <c r="G19" s="84">
        <v>298356.01</v>
      </c>
      <c r="H19" s="85" t="s">
        <v>870</v>
      </c>
      <c r="I19" s="79">
        <v>45273.259189814817</v>
      </c>
      <c r="L19" s="3">
        <v>154702</v>
      </c>
      <c r="M19">
        <v>1</v>
      </c>
    </row>
    <row r="20" spans="1:13" ht="39" x14ac:dyDescent="0.25">
      <c r="A20" s="81" t="s">
        <v>259</v>
      </c>
      <c r="B20" s="80" t="s">
        <v>869</v>
      </c>
      <c r="C20" s="80">
        <v>2000722</v>
      </c>
      <c r="D20" s="82" t="s">
        <v>875</v>
      </c>
      <c r="E20" s="83">
        <v>18000</v>
      </c>
      <c r="F20" s="84">
        <v>0</v>
      </c>
      <c r="G20" s="84">
        <v>18000</v>
      </c>
      <c r="H20" s="85" t="s">
        <v>870</v>
      </c>
      <c r="I20" s="79">
        <v>45243.346273148149</v>
      </c>
      <c r="L20" s="3">
        <v>2000469</v>
      </c>
      <c r="M20">
        <v>1</v>
      </c>
    </row>
    <row r="21" spans="1:13" ht="39" x14ac:dyDescent="0.25">
      <c r="A21" s="81" t="s">
        <v>259</v>
      </c>
      <c r="B21" s="80" t="s">
        <v>869</v>
      </c>
      <c r="C21" s="80">
        <v>2000722</v>
      </c>
      <c r="D21" s="82" t="s">
        <v>875</v>
      </c>
      <c r="E21" s="83">
        <v>66863.91</v>
      </c>
      <c r="F21" s="84">
        <v>0</v>
      </c>
      <c r="G21" s="84">
        <v>66863.91</v>
      </c>
      <c r="H21" s="85" t="s">
        <v>870</v>
      </c>
      <c r="I21" s="79">
        <v>45244.735717592594</v>
      </c>
      <c r="L21" s="3">
        <v>80820</v>
      </c>
      <c r="M21">
        <v>1</v>
      </c>
    </row>
    <row r="22" spans="1:13" ht="39" x14ac:dyDescent="0.25">
      <c r="A22" s="81" t="s">
        <v>259</v>
      </c>
      <c r="B22" s="80" t="s">
        <v>869</v>
      </c>
      <c r="C22" s="80">
        <v>2000722</v>
      </c>
      <c r="D22" s="82" t="s">
        <v>875</v>
      </c>
      <c r="E22" s="83">
        <v>11670</v>
      </c>
      <c r="F22" s="84">
        <v>0</v>
      </c>
      <c r="G22" s="84">
        <v>11670</v>
      </c>
      <c r="H22" s="85" t="s">
        <v>870</v>
      </c>
      <c r="I22" s="79">
        <v>45251.771122685182</v>
      </c>
      <c r="L22" s="3">
        <v>2000219</v>
      </c>
      <c r="M22">
        <v>1</v>
      </c>
    </row>
    <row r="23" spans="1:13" ht="39" x14ac:dyDescent="0.25">
      <c r="A23" s="81" t="s">
        <v>259</v>
      </c>
      <c r="B23" s="80" t="s">
        <v>869</v>
      </c>
      <c r="C23" s="80">
        <v>2000722</v>
      </c>
      <c r="D23" s="82" t="s">
        <v>875</v>
      </c>
      <c r="E23" s="83">
        <v>82784.75</v>
      </c>
      <c r="F23" s="84">
        <v>0</v>
      </c>
      <c r="G23" s="84">
        <v>82784.75</v>
      </c>
      <c r="H23" s="85" t="s">
        <v>870</v>
      </c>
      <c r="I23" s="79">
        <v>45257.732708333337</v>
      </c>
      <c r="L23" s="3">
        <v>2000220</v>
      </c>
      <c r="M23">
        <v>1</v>
      </c>
    </row>
    <row r="24" spans="1:13" ht="39" x14ac:dyDescent="0.25">
      <c r="A24" s="81" t="s">
        <v>259</v>
      </c>
      <c r="B24" s="80" t="s">
        <v>869</v>
      </c>
      <c r="C24" s="80">
        <v>2000722</v>
      </c>
      <c r="D24" s="82" t="s">
        <v>875</v>
      </c>
      <c r="E24" s="83">
        <v>82784.75</v>
      </c>
      <c r="F24" s="84">
        <v>0</v>
      </c>
      <c r="G24" s="84">
        <v>82784.75</v>
      </c>
      <c r="H24" s="85" t="s">
        <v>870</v>
      </c>
      <c r="I24" s="79">
        <v>45257.734050925923</v>
      </c>
      <c r="L24" s="3">
        <v>2000221</v>
      </c>
      <c r="M24">
        <v>1</v>
      </c>
    </row>
    <row r="25" spans="1:13" ht="39" x14ac:dyDescent="0.25">
      <c r="A25" s="81" t="s">
        <v>259</v>
      </c>
      <c r="B25" s="80" t="s">
        <v>869</v>
      </c>
      <c r="C25" s="80">
        <v>2000722</v>
      </c>
      <c r="D25" s="82" t="s">
        <v>875</v>
      </c>
      <c r="E25" s="83">
        <v>4230.76</v>
      </c>
      <c r="F25" s="84">
        <v>0</v>
      </c>
      <c r="G25" s="84">
        <v>4230.76</v>
      </c>
      <c r="H25" s="85" t="s">
        <v>870</v>
      </c>
      <c r="I25" s="79">
        <v>45261.521643518521</v>
      </c>
      <c r="L25" s="3">
        <v>2001049</v>
      </c>
      <c r="M25">
        <v>6</v>
      </c>
    </row>
    <row r="26" spans="1:13" ht="45" x14ac:dyDescent="0.25">
      <c r="A26" s="81" t="s">
        <v>166</v>
      </c>
      <c r="B26" s="80" t="s">
        <v>869</v>
      </c>
      <c r="C26" s="77">
        <v>65501387259</v>
      </c>
      <c r="D26" s="76" t="s">
        <v>42</v>
      </c>
      <c r="E26" s="75">
        <v>434948.02</v>
      </c>
      <c r="F26" s="75">
        <v>0</v>
      </c>
      <c r="G26" s="75">
        <v>434948.02</v>
      </c>
      <c r="H26" s="78" t="s">
        <v>870</v>
      </c>
      <c r="I26" s="79">
        <v>45295.720613425925</v>
      </c>
      <c r="L26" s="3">
        <v>2001050</v>
      </c>
      <c r="M26">
        <v>1</v>
      </c>
    </row>
    <row r="27" spans="1:13" ht="39" x14ac:dyDescent="0.25">
      <c r="A27" s="86" t="s">
        <v>259</v>
      </c>
      <c r="B27" s="87" t="s">
        <v>869</v>
      </c>
      <c r="C27" s="87">
        <v>2000722</v>
      </c>
      <c r="D27" s="89" t="s">
        <v>875</v>
      </c>
      <c r="E27" s="90">
        <v>48482.13</v>
      </c>
      <c r="F27" s="91">
        <v>0</v>
      </c>
      <c r="G27" s="91">
        <v>48482.13</v>
      </c>
      <c r="H27" s="92" t="s">
        <v>870</v>
      </c>
      <c r="I27" s="88">
        <v>45268.34815972222</v>
      </c>
      <c r="L27" s="3">
        <v>2001046</v>
      </c>
      <c r="M27">
        <v>2</v>
      </c>
    </row>
    <row r="28" spans="1:13" ht="39" x14ac:dyDescent="0.25">
      <c r="A28" s="86" t="s">
        <v>259</v>
      </c>
      <c r="B28" s="87" t="s">
        <v>869</v>
      </c>
      <c r="C28" s="87">
        <v>2000722</v>
      </c>
      <c r="D28" s="89" t="s">
        <v>875</v>
      </c>
      <c r="E28" s="90">
        <v>141692.41</v>
      </c>
      <c r="F28" s="91">
        <v>0</v>
      </c>
      <c r="G28" s="91">
        <v>141692.41</v>
      </c>
      <c r="H28" s="92" t="s">
        <v>870</v>
      </c>
      <c r="I28" s="88">
        <v>45279.307141203702</v>
      </c>
      <c r="L28" s="3">
        <v>2001047</v>
      </c>
      <c r="M28">
        <v>3</v>
      </c>
    </row>
    <row r="29" spans="1:13" ht="39" x14ac:dyDescent="0.25">
      <c r="A29" s="86" t="s">
        <v>259</v>
      </c>
      <c r="B29" s="87" t="s">
        <v>869</v>
      </c>
      <c r="C29" s="87">
        <v>2000722</v>
      </c>
      <c r="D29" s="89" t="s">
        <v>875</v>
      </c>
      <c r="E29" s="90">
        <v>-350095.95</v>
      </c>
      <c r="F29" s="91">
        <v>0</v>
      </c>
      <c r="G29" s="91">
        <v>-350095.95</v>
      </c>
      <c r="H29" s="92" t="s">
        <v>870</v>
      </c>
      <c r="I29" s="88">
        <v>45280.642743055556</v>
      </c>
      <c r="L29" s="3">
        <v>65501387259</v>
      </c>
      <c r="M29">
        <v>11</v>
      </c>
    </row>
    <row r="30" spans="1:13" ht="45" x14ac:dyDescent="0.25">
      <c r="A30" s="81" t="s">
        <v>259</v>
      </c>
      <c r="B30" s="80" t="s">
        <v>869</v>
      </c>
      <c r="C30" s="77">
        <v>2000722</v>
      </c>
      <c r="D30" s="76" t="s">
        <v>875</v>
      </c>
      <c r="E30" s="75">
        <v>62651.09</v>
      </c>
      <c r="F30" s="75">
        <v>0</v>
      </c>
      <c r="G30" s="75">
        <v>62651.09</v>
      </c>
      <c r="H30" s="78" t="s">
        <v>870</v>
      </c>
      <c r="I30" s="79">
        <v>45294.744791666664</v>
      </c>
      <c r="L30" s="3">
        <v>1033545</v>
      </c>
      <c r="M30">
        <v>2</v>
      </c>
    </row>
    <row r="31" spans="1:13" ht="45" x14ac:dyDescent="0.25">
      <c r="A31" s="81" t="s">
        <v>166</v>
      </c>
      <c r="B31" s="80" t="s">
        <v>869</v>
      </c>
      <c r="C31" s="77">
        <v>65501387259</v>
      </c>
      <c r="D31" s="76" t="s">
        <v>42</v>
      </c>
      <c r="E31" s="75">
        <v>1817831.03</v>
      </c>
      <c r="F31" s="75">
        <v>0</v>
      </c>
      <c r="G31" s="75">
        <v>1817831.03</v>
      </c>
      <c r="H31" s="78" t="s">
        <v>870</v>
      </c>
      <c r="I31" s="79">
        <v>45303</v>
      </c>
      <c r="L31" s="3">
        <v>1033546</v>
      </c>
      <c r="M31">
        <v>2</v>
      </c>
    </row>
    <row r="32" spans="1:13" ht="45" x14ac:dyDescent="0.25">
      <c r="A32" s="81" t="s">
        <v>259</v>
      </c>
      <c r="B32" s="80" t="s">
        <v>869</v>
      </c>
      <c r="C32" s="77">
        <v>2000722</v>
      </c>
      <c r="D32" s="76" t="s">
        <v>875</v>
      </c>
      <c r="E32" s="75">
        <v>-87534.38</v>
      </c>
      <c r="F32" s="75">
        <v>0</v>
      </c>
      <c r="G32" s="75">
        <v>-87534.38</v>
      </c>
      <c r="H32" s="78" t="s">
        <v>870</v>
      </c>
      <c r="I32" s="79">
        <v>45299.7497337963</v>
      </c>
      <c r="L32" s="3">
        <v>1033796</v>
      </c>
      <c r="M32">
        <v>1</v>
      </c>
    </row>
    <row r="33" spans="1:13" ht="45" x14ac:dyDescent="0.25">
      <c r="A33" s="81" t="s">
        <v>166</v>
      </c>
      <c r="B33" s="80" t="s">
        <v>869</v>
      </c>
      <c r="C33" s="77">
        <v>65501387259</v>
      </c>
      <c r="D33" s="76" t="s">
        <v>42</v>
      </c>
      <c r="E33" s="75">
        <v>51199.7</v>
      </c>
      <c r="F33" s="75">
        <v>0</v>
      </c>
      <c r="G33" s="75">
        <v>51199.7</v>
      </c>
      <c r="H33" s="78" t="s">
        <v>870</v>
      </c>
      <c r="I33" s="79">
        <v>45307.751886574071</v>
      </c>
      <c r="L33" s="3">
        <v>65507528400</v>
      </c>
      <c r="M33">
        <v>1</v>
      </c>
    </row>
    <row r="34" spans="1:13" ht="45" x14ac:dyDescent="0.25">
      <c r="A34" s="81" t="s">
        <v>259</v>
      </c>
      <c r="B34" s="80" t="s">
        <v>869</v>
      </c>
      <c r="C34" s="77">
        <v>2000722</v>
      </c>
      <c r="D34" s="76" t="s">
        <v>875</v>
      </c>
      <c r="E34" s="75">
        <v>-623994.22</v>
      </c>
      <c r="F34" s="75">
        <v>0</v>
      </c>
      <c r="G34" s="75">
        <v>-623994.22</v>
      </c>
      <c r="H34" s="78" t="s">
        <v>870</v>
      </c>
      <c r="I34" s="79">
        <v>45300.750601851854</v>
      </c>
      <c r="L34" s="3">
        <v>65507671187</v>
      </c>
      <c r="M34">
        <v>1</v>
      </c>
    </row>
    <row r="35" spans="1:13" ht="45" x14ac:dyDescent="0.25">
      <c r="A35" s="81" t="s">
        <v>259</v>
      </c>
      <c r="B35" s="80" t="s">
        <v>869</v>
      </c>
      <c r="C35" s="77">
        <v>2000722</v>
      </c>
      <c r="D35" s="76" t="s">
        <v>875</v>
      </c>
      <c r="E35" s="75">
        <v>-208800</v>
      </c>
      <c r="F35" s="75">
        <v>0</v>
      </c>
      <c r="G35" s="75">
        <v>-208800</v>
      </c>
      <c r="H35" s="78" t="s">
        <v>870</v>
      </c>
      <c r="I35" s="79">
        <v>45301.738877314812</v>
      </c>
      <c r="L35" s="3">
        <v>65507684389</v>
      </c>
      <c r="M35">
        <v>1</v>
      </c>
    </row>
    <row r="36" spans="1:13" ht="45" x14ac:dyDescent="0.25">
      <c r="A36" s="81" t="s">
        <v>259</v>
      </c>
      <c r="B36" s="80" t="s">
        <v>869</v>
      </c>
      <c r="C36" s="77">
        <v>2000722</v>
      </c>
      <c r="D36" s="76" t="s">
        <v>875</v>
      </c>
      <c r="E36" s="75">
        <v>6156.73</v>
      </c>
      <c r="F36" s="75">
        <v>0</v>
      </c>
      <c r="G36" s="75">
        <v>6156.73</v>
      </c>
      <c r="H36" s="78" t="s">
        <v>870</v>
      </c>
      <c r="I36" s="79">
        <v>45306.745381944442</v>
      </c>
      <c r="L36" s="3">
        <v>1037090</v>
      </c>
      <c r="M36">
        <v>1</v>
      </c>
    </row>
    <row r="37" spans="1:13" ht="45" x14ac:dyDescent="0.25">
      <c r="A37" s="81" t="s">
        <v>259</v>
      </c>
      <c r="B37" s="80" t="s">
        <v>869</v>
      </c>
      <c r="C37" s="77">
        <v>2000722</v>
      </c>
      <c r="D37" s="76" t="s">
        <v>875</v>
      </c>
      <c r="E37" s="75">
        <v>3639.06</v>
      </c>
      <c r="F37" s="75">
        <v>0</v>
      </c>
      <c r="G37" s="75">
        <v>3639.06</v>
      </c>
      <c r="H37" s="78" t="s">
        <v>870</v>
      </c>
      <c r="I37" s="79">
        <v>45308</v>
      </c>
      <c r="L37" s="3">
        <v>1037124</v>
      </c>
      <c r="M37">
        <v>1</v>
      </c>
    </row>
    <row r="38" spans="1:13" ht="45" x14ac:dyDescent="0.25">
      <c r="A38" s="81" t="s">
        <v>259</v>
      </c>
      <c r="B38" s="80" t="s">
        <v>869</v>
      </c>
      <c r="C38" s="77">
        <v>2000722</v>
      </c>
      <c r="D38" s="76" t="s">
        <v>875</v>
      </c>
      <c r="E38" s="75">
        <v>-658792.95999999996</v>
      </c>
      <c r="F38" s="75">
        <v>0</v>
      </c>
      <c r="G38" s="75">
        <v>-658792.95999999996</v>
      </c>
      <c r="H38" s="78" t="s">
        <v>870</v>
      </c>
      <c r="I38" s="79">
        <v>45313.723194444443</v>
      </c>
      <c r="L38" s="3">
        <v>1037085</v>
      </c>
      <c r="M38">
        <v>1</v>
      </c>
    </row>
    <row r="39" spans="1:13" ht="45" x14ac:dyDescent="0.25">
      <c r="A39" s="81" t="s">
        <v>259</v>
      </c>
      <c r="B39" s="80" t="s">
        <v>869</v>
      </c>
      <c r="C39" s="77">
        <v>2000722</v>
      </c>
      <c r="D39" s="76" t="s">
        <v>875</v>
      </c>
      <c r="E39" s="75">
        <v>90000</v>
      </c>
      <c r="F39" s="75">
        <v>0</v>
      </c>
      <c r="G39" s="75">
        <v>90000</v>
      </c>
      <c r="H39" s="78" t="s">
        <v>870</v>
      </c>
      <c r="I39" s="79">
        <v>45315.72724537037</v>
      </c>
      <c r="L39" s="3">
        <v>1037117</v>
      </c>
      <c r="M39">
        <v>1</v>
      </c>
    </row>
    <row r="40" spans="1:13" ht="45" x14ac:dyDescent="0.25">
      <c r="A40" s="81" t="s">
        <v>259</v>
      </c>
      <c r="B40" s="80" t="s">
        <v>869</v>
      </c>
      <c r="C40" s="77">
        <v>2000722</v>
      </c>
      <c r="D40" s="76" t="s">
        <v>875</v>
      </c>
      <c r="E40" s="75">
        <v>70000</v>
      </c>
      <c r="F40" s="75">
        <v>0</v>
      </c>
      <c r="G40" s="75">
        <v>70000</v>
      </c>
      <c r="H40" s="78" t="s">
        <v>870</v>
      </c>
      <c r="I40" s="79">
        <v>45320.753587962965</v>
      </c>
      <c r="L40" s="3">
        <v>1037086</v>
      </c>
      <c r="M40">
        <v>1</v>
      </c>
    </row>
    <row r="41" spans="1:13" ht="45" x14ac:dyDescent="0.25">
      <c r="A41" s="81" t="s">
        <v>166</v>
      </c>
      <c r="B41" s="80" t="s">
        <v>869</v>
      </c>
      <c r="C41" s="77">
        <v>65501387259</v>
      </c>
      <c r="D41" s="76" t="s">
        <v>42</v>
      </c>
      <c r="E41" s="75">
        <v>109453.71</v>
      </c>
      <c r="F41" s="75">
        <v>0</v>
      </c>
      <c r="G41" s="75">
        <v>109453.71</v>
      </c>
      <c r="H41" s="78" t="s">
        <v>870</v>
      </c>
      <c r="I41" s="79">
        <v>45330.726481481484</v>
      </c>
      <c r="L41" s="3">
        <v>1037113</v>
      </c>
      <c r="M41">
        <v>1</v>
      </c>
    </row>
    <row r="42" spans="1:13" ht="45" x14ac:dyDescent="0.25">
      <c r="A42" s="81" t="s">
        <v>259</v>
      </c>
      <c r="B42" s="80" t="s">
        <v>869</v>
      </c>
      <c r="C42" s="77">
        <v>2000722</v>
      </c>
      <c r="D42" s="76" t="s">
        <v>875</v>
      </c>
      <c r="E42" s="75">
        <v>13461.52</v>
      </c>
      <c r="F42" s="75">
        <v>0</v>
      </c>
      <c r="G42" s="75">
        <v>13461.52</v>
      </c>
      <c r="H42" s="78" t="s">
        <v>870</v>
      </c>
      <c r="I42" s="79">
        <v>45323.720520833333</v>
      </c>
      <c r="L42" s="3">
        <v>1037118</v>
      </c>
      <c r="M42">
        <v>1</v>
      </c>
    </row>
    <row r="43" spans="1:13" ht="45" x14ac:dyDescent="0.25">
      <c r="A43" s="81" t="s">
        <v>259</v>
      </c>
      <c r="B43" s="80" t="s">
        <v>869</v>
      </c>
      <c r="C43" s="77">
        <v>2000722</v>
      </c>
      <c r="D43" s="76" t="s">
        <v>875</v>
      </c>
      <c r="E43" s="75">
        <v>18999.98</v>
      </c>
      <c r="F43" s="75">
        <v>0</v>
      </c>
      <c r="G43" s="75">
        <v>18999.98</v>
      </c>
      <c r="H43" s="78" t="s">
        <v>870</v>
      </c>
      <c r="I43" s="79">
        <v>45331.661909722221</v>
      </c>
      <c r="L43" s="3">
        <v>1000003292</v>
      </c>
      <c r="M43">
        <v>1</v>
      </c>
    </row>
    <row r="44" spans="1:13" ht="45" x14ac:dyDescent="0.25">
      <c r="A44" s="81" t="s">
        <v>259</v>
      </c>
      <c r="B44" s="80" t="s">
        <v>869</v>
      </c>
      <c r="C44" s="77">
        <v>2000722</v>
      </c>
      <c r="D44" s="76" t="s">
        <v>875</v>
      </c>
      <c r="E44" s="75">
        <v>176286.21</v>
      </c>
      <c r="F44" s="75">
        <v>0</v>
      </c>
      <c r="G44" s="75">
        <v>176286.21</v>
      </c>
      <c r="H44" s="78" t="s">
        <v>870</v>
      </c>
      <c r="I44" s="79">
        <v>45334.70952546296</v>
      </c>
      <c r="L44" s="3">
        <v>1000003297</v>
      </c>
      <c r="M44">
        <v>1</v>
      </c>
    </row>
    <row r="45" spans="1:13" ht="45" x14ac:dyDescent="0.25">
      <c r="A45" s="81" t="s">
        <v>259</v>
      </c>
      <c r="B45" s="80" t="s">
        <v>869</v>
      </c>
      <c r="C45" s="77">
        <v>2000722</v>
      </c>
      <c r="D45" s="76" t="s">
        <v>875</v>
      </c>
      <c r="E45" s="75">
        <v>10616</v>
      </c>
      <c r="F45" s="75">
        <v>0</v>
      </c>
      <c r="G45" s="75">
        <v>10616</v>
      </c>
      <c r="H45" s="78" t="s">
        <v>870</v>
      </c>
      <c r="I45" s="79">
        <v>45337.761238425926</v>
      </c>
      <c r="L45" s="3">
        <v>1000003298</v>
      </c>
      <c r="M45">
        <v>1</v>
      </c>
    </row>
    <row r="46" spans="1:13" ht="45" x14ac:dyDescent="0.25">
      <c r="A46" s="81" t="s">
        <v>259</v>
      </c>
      <c r="B46" s="80" t="s">
        <v>869</v>
      </c>
      <c r="C46" s="77">
        <v>2000722</v>
      </c>
      <c r="D46" s="76" t="s">
        <v>875</v>
      </c>
      <c r="E46" s="75">
        <v>-389115.65</v>
      </c>
      <c r="F46" s="75">
        <v>0</v>
      </c>
      <c r="G46" s="75">
        <v>-389115.65</v>
      </c>
      <c r="H46" s="78" t="s">
        <v>870</v>
      </c>
      <c r="I46" s="79">
        <v>45349.769456018519</v>
      </c>
      <c r="L46" s="3">
        <v>1000003302</v>
      </c>
      <c r="M46">
        <v>1</v>
      </c>
    </row>
    <row r="47" spans="1:13" ht="45" x14ac:dyDescent="0.25">
      <c r="A47" s="81" t="s">
        <v>259</v>
      </c>
      <c r="B47" s="80" t="s">
        <v>869</v>
      </c>
      <c r="C47" s="77">
        <v>2000722</v>
      </c>
      <c r="D47" s="76" t="s">
        <v>875</v>
      </c>
      <c r="E47" s="75">
        <v>4281</v>
      </c>
      <c r="F47" s="75">
        <v>0</v>
      </c>
      <c r="G47" s="75">
        <v>4281</v>
      </c>
      <c r="H47" s="78" t="s">
        <v>870</v>
      </c>
      <c r="I47" s="79">
        <v>45350.716168981482</v>
      </c>
      <c r="L47" s="3">
        <v>1000003293</v>
      </c>
      <c r="M47">
        <v>1</v>
      </c>
    </row>
    <row r="48" spans="1:13" ht="45" x14ac:dyDescent="0.25">
      <c r="A48" s="81" t="s">
        <v>259</v>
      </c>
      <c r="B48" s="80" t="s">
        <v>869</v>
      </c>
      <c r="C48" s="77">
        <v>2000722</v>
      </c>
      <c r="D48" s="76" t="s">
        <v>875</v>
      </c>
      <c r="E48" s="75">
        <v>4292.3599999999997</v>
      </c>
      <c r="F48" s="75">
        <v>0</v>
      </c>
      <c r="G48" s="75">
        <v>4292.3599999999997</v>
      </c>
      <c r="H48" s="78" t="s">
        <v>870</v>
      </c>
      <c r="I48" s="79">
        <v>45355.362986111111</v>
      </c>
      <c r="L48" s="3">
        <v>1000003291</v>
      </c>
      <c r="M48">
        <v>1</v>
      </c>
    </row>
    <row r="49" spans="1:13" x14ac:dyDescent="0.25">
      <c r="A49" s="81" t="s">
        <v>198</v>
      </c>
      <c r="B49" s="80" t="s">
        <v>869</v>
      </c>
      <c r="C49" s="80">
        <v>2000469</v>
      </c>
      <c r="D49" s="82" t="s">
        <v>266</v>
      </c>
      <c r="E49" s="83">
        <v>-3446505.38</v>
      </c>
      <c r="F49" s="84">
        <v>0</v>
      </c>
      <c r="G49" s="84">
        <v>-3446505.38</v>
      </c>
      <c r="H49" s="85" t="s">
        <v>876</v>
      </c>
      <c r="I49" s="79">
        <v>44922.697824074072</v>
      </c>
      <c r="L49" s="3">
        <v>1000003299</v>
      </c>
      <c r="M49">
        <v>1</v>
      </c>
    </row>
    <row r="50" spans="1:13" ht="45" x14ac:dyDescent="0.25">
      <c r="A50" s="81" t="s">
        <v>166</v>
      </c>
      <c r="B50" s="80" t="s">
        <v>869</v>
      </c>
      <c r="C50" s="77">
        <v>65501387259</v>
      </c>
      <c r="D50" s="76" t="s">
        <v>42</v>
      </c>
      <c r="E50" s="75">
        <v>268564.27</v>
      </c>
      <c r="F50" s="75">
        <v>0</v>
      </c>
      <c r="G50" s="75">
        <v>268564.27</v>
      </c>
      <c r="H50" s="78" t="s">
        <v>870</v>
      </c>
      <c r="I50" s="79">
        <v>45357.686388888891</v>
      </c>
      <c r="L50" s="3">
        <v>1000003295</v>
      </c>
      <c r="M50">
        <v>1</v>
      </c>
    </row>
    <row r="51" spans="1:13" ht="45" x14ac:dyDescent="0.25">
      <c r="A51" s="81" t="s">
        <v>198</v>
      </c>
      <c r="B51" s="80" t="s">
        <v>869</v>
      </c>
      <c r="C51" s="77">
        <v>2000569</v>
      </c>
      <c r="D51" s="76" t="s">
        <v>874</v>
      </c>
      <c r="E51" s="75">
        <v>1967081.69</v>
      </c>
      <c r="F51" s="75">
        <v>0</v>
      </c>
      <c r="G51" s="75">
        <v>1967081.69</v>
      </c>
      <c r="H51" s="78" t="s">
        <v>870</v>
      </c>
      <c r="I51" s="79">
        <v>45359.314803240741</v>
      </c>
      <c r="L51" s="3">
        <v>1000002861</v>
      </c>
      <c r="M51">
        <v>1</v>
      </c>
    </row>
    <row r="52" spans="1:13" ht="45" x14ac:dyDescent="0.25">
      <c r="A52" s="81" t="s">
        <v>259</v>
      </c>
      <c r="B52" s="80" t="s">
        <v>869</v>
      </c>
      <c r="C52" s="77">
        <v>2000722</v>
      </c>
      <c r="D52" s="76" t="s">
        <v>875</v>
      </c>
      <c r="E52" s="75">
        <v>119241.17</v>
      </c>
      <c r="F52" s="75">
        <v>0</v>
      </c>
      <c r="G52" s="75">
        <v>119241.17</v>
      </c>
      <c r="H52" s="78" t="s">
        <v>870</v>
      </c>
      <c r="I52" s="79">
        <v>45359.314803240741</v>
      </c>
      <c r="L52" s="3" t="s">
        <v>21</v>
      </c>
      <c r="M52">
        <v>128</v>
      </c>
    </row>
    <row r="53" spans="1:13" ht="45" x14ac:dyDescent="0.25">
      <c r="A53" s="81" t="s">
        <v>198</v>
      </c>
      <c r="B53" s="80" t="s">
        <v>869</v>
      </c>
      <c r="C53" s="77">
        <v>2001049</v>
      </c>
      <c r="D53" s="76" t="s">
        <v>272</v>
      </c>
      <c r="E53" s="75">
        <v>508146.72</v>
      </c>
      <c r="F53" s="75">
        <v>0</v>
      </c>
      <c r="G53" s="75">
        <v>508146.72</v>
      </c>
      <c r="H53" s="78" t="s">
        <v>870</v>
      </c>
      <c r="I53" s="79">
        <v>45359.314803240741</v>
      </c>
    </row>
    <row r="54" spans="1:13" ht="45" x14ac:dyDescent="0.25">
      <c r="A54" s="81" t="s">
        <v>166</v>
      </c>
      <c r="B54" s="80" t="s">
        <v>869</v>
      </c>
      <c r="C54" s="77">
        <v>65507528400</v>
      </c>
      <c r="D54" s="76" t="s">
        <v>877</v>
      </c>
      <c r="E54" s="75">
        <v>873686.84</v>
      </c>
      <c r="F54" s="75">
        <v>855777.31</v>
      </c>
      <c r="G54" s="75">
        <v>17909.529999999799</v>
      </c>
      <c r="H54" s="78" t="s">
        <v>870</v>
      </c>
      <c r="I54" s="79">
        <v>45359.314803240741</v>
      </c>
    </row>
    <row r="55" spans="1:13" ht="45" x14ac:dyDescent="0.25">
      <c r="A55" s="81" t="s">
        <v>166</v>
      </c>
      <c r="B55" s="80" t="s">
        <v>869</v>
      </c>
      <c r="C55" s="77">
        <v>65507671187</v>
      </c>
      <c r="D55" s="76" t="s">
        <v>877</v>
      </c>
      <c r="E55" s="75">
        <v>351097.05</v>
      </c>
      <c r="F55" s="75">
        <v>318240.8</v>
      </c>
      <c r="G55" s="75">
        <v>32856.250000000298</v>
      </c>
      <c r="H55" s="78" t="s">
        <v>870</v>
      </c>
      <c r="I55" s="79">
        <v>45359.314803240741</v>
      </c>
    </row>
    <row r="56" spans="1:13" ht="45" x14ac:dyDescent="0.25">
      <c r="A56" s="81" t="s">
        <v>166</v>
      </c>
      <c r="B56" s="80" t="s">
        <v>869</v>
      </c>
      <c r="C56" s="77">
        <v>65507684389</v>
      </c>
      <c r="D56" s="76" t="s">
        <v>877</v>
      </c>
      <c r="E56" s="75">
        <v>2831914.35</v>
      </c>
      <c r="F56" s="75">
        <v>1828029.32</v>
      </c>
      <c r="G56" s="75">
        <v>1003885.03</v>
      </c>
      <c r="H56" s="78" t="s">
        <v>870</v>
      </c>
      <c r="I56" s="79">
        <v>45359.314803240741</v>
      </c>
    </row>
    <row r="57" spans="1:13" x14ac:dyDescent="0.25">
      <c r="A57" s="81" t="s">
        <v>166</v>
      </c>
      <c r="B57" s="80" t="s">
        <v>869</v>
      </c>
      <c r="C57" s="77">
        <v>2000216</v>
      </c>
      <c r="D57" s="76" t="s">
        <v>225</v>
      </c>
      <c r="E57" s="75">
        <v>-28432.35</v>
      </c>
      <c r="F57" s="75">
        <v>0</v>
      </c>
      <c r="G57" s="75">
        <v>-28432.35</v>
      </c>
      <c r="H57" s="78" t="s">
        <v>878</v>
      </c>
      <c r="I57" s="79">
        <v>45364.317013888889</v>
      </c>
    </row>
    <row r="58" spans="1:13" x14ac:dyDescent="0.25">
      <c r="A58" s="81" t="s">
        <v>166</v>
      </c>
      <c r="B58" s="80" t="s">
        <v>869</v>
      </c>
      <c r="C58" s="77">
        <v>2000219</v>
      </c>
      <c r="D58" s="76" t="s">
        <v>228</v>
      </c>
      <c r="E58" s="75">
        <v>-58311.03</v>
      </c>
      <c r="F58" s="75">
        <v>0</v>
      </c>
      <c r="G58" s="75">
        <v>-58311.03</v>
      </c>
      <c r="H58" s="78" t="s">
        <v>878</v>
      </c>
      <c r="I58" s="79">
        <v>45364.317013888889</v>
      </c>
    </row>
    <row r="59" spans="1:13" ht="45" x14ac:dyDescent="0.25">
      <c r="A59" s="81" t="s">
        <v>166</v>
      </c>
      <c r="B59" s="80" t="s">
        <v>869</v>
      </c>
      <c r="C59" s="77">
        <v>65501387259</v>
      </c>
      <c r="D59" s="76" t="s">
        <v>42</v>
      </c>
      <c r="E59" s="75">
        <v>327759.62</v>
      </c>
      <c r="F59" s="75">
        <v>0</v>
      </c>
      <c r="G59" s="75">
        <v>327759.62</v>
      </c>
      <c r="H59" s="78" t="s">
        <v>870</v>
      </c>
      <c r="I59" s="79">
        <v>45364.317013888889</v>
      </c>
    </row>
    <row r="60" spans="1:13" ht="45" x14ac:dyDescent="0.25">
      <c r="A60" s="81" t="s">
        <v>198</v>
      </c>
      <c r="B60" s="80" t="s">
        <v>869</v>
      </c>
      <c r="C60" s="77">
        <v>2000569</v>
      </c>
      <c r="D60" s="76" t="s">
        <v>874</v>
      </c>
      <c r="E60" s="75">
        <v>1872439.43</v>
      </c>
      <c r="F60" s="75">
        <v>0</v>
      </c>
      <c r="G60" s="75">
        <v>1872439.43</v>
      </c>
      <c r="H60" s="78" t="s">
        <v>870</v>
      </c>
      <c r="I60" s="79">
        <v>45366.626747685186</v>
      </c>
    </row>
    <row r="61" spans="1:13" ht="45" x14ac:dyDescent="0.25">
      <c r="A61" s="81" t="s">
        <v>259</v>
      </c>
      <c r="B61" s="80" t="s">
        <v>869</v>
      </c>
      <c r="C61" s="77">
        <v>2000722</v>
      </c>
      <c r="D61" s="76" t="s">
        <v>875</v>
      </c>
      <c r="E61" s="75">
        <v>-294867.21999999997</v>
      </c>
      <c r="F61" s="75">
        <v>0</v>
      </c>
      <c r="G61" s="75">
        <v>-294867.21999999997</v>
      </c>
      <c r="H61" s="78" t="s">
        <v>870</v>
      </c>
      <c r="I61" s="79">
        <v>45366.626747685186</v>
      </c>
    </row>
    <row r="62" spans="1:13" ht="45" x14ac:dyDescent="0.25">
      <c r="A62" s="81" t="s">
        <v>198</v>
      </c>
      <c r="B62" s="80" t="s">
        <v>869</v>
      </c>
      <c r="C62" s="77">
        <v>2001049</v>
      </c>
      <c r="D62" s="76" t="s">
        <v>272</v>
      </c>
      <c r="E62" s="75">
        <v>517259.28</v>
      </c>
      <c r="F62" s="75">
        <v>0</v>
      </c>
      <c r="G62" s="75">
        <v>517259.28</v>
      </c>
      <c r="H62" s="78" t="s">
        <v>870</v>
      </c>
      <c r="I62" s="79">
        <v>45366.626747685186</v>
      </c>
    </row>
    <row r="63" spans="1:13" ht="45" x14ac:dyDescent="0.25">
      <c r="A63" s="81" t="s">
        <v>166</v>
      </c>
      <c r="B63" s="80" t="s">
        <v>869</v>
      </c>
      <c r="C63" s="77">
        <v>65501387259</v>
      </c>
      <c r="D63" s="76" t="s">
        <v>42</v>
      </c>
      <c r="E63" s="75">
        <v>184746</v>
      </c>
      <c r="F63" s="75">
        <v>0</v>
      </c>
      <c r="G63" s="75">
        <v>184746</v>
      </c>
      <c r="H63" s="78" t="s">
        <v>870</v>
      </c>
      <c r="I63" s="79">
        <v>45370.329386574071</v>
      </c>
    </row>
    <row r="64" spans="1:13" ht="45" x14ac:dyDescent="0.25">
      <c r="A64" s="81" t="s">
        <v>198</v>
      </c>
      <c r="B64" s="80" t="s">
        <v>869</v>
      </c>
      <c r="C64" s="77">
        <v>2001049</v>
      </c>
      <c r="D64" s="76" t="s">
        <v>272</v>
      </c>
      <c r="E64" s="75">
        <v>497664.44</v>
      </c>
      <c r="F64" s="75">
        <v>0</v>
      </c>
      <c r="G64" s="75">
        <v>497664.44</v>
      </c>
      <c r="H64" s="78" t="s">
        <v>870</v>
      </c>
      <c r="I64" s="79">
        <v>45372.721863425926</v>
      </c>
    </row>
    <row r="65" spans="1:9" x14ac:dyDescent="0.25">
      <c r="A65" s="81" t="s">
        <v>166</v>
      </c>
      <c r="B65" s="80" t="s">
        <v>869</v>
      </c>
      <c r="C65" s="77">
        <v>78665</v>
      </c>
      <c r="D65" s="76" t="s">
        <v>223</v>
      </c>
      <c r="E65" s="75">
        <v>3390671.97</v>
      </c>
      <c r="F65" s="75">
        <v>0</v>
      </c>
      <c r="G65" s="75">
        <v>3390671.97</v>
      </c>
      <c r="H65" s="78" t="s">
        <v>878</v>
      </c>
      <c r="I65" s="79">
        <v>45373.32236111111</v>
      </c>
    </row>
    <row r="66" spans="1:9" x14ac:dyDescent="0.25">
      <c r="A66" s="81" t="s">
        <v>166</v>
      </c>
      <c r="B66" s="80" t="s">
        <v>869</v>
      </c>
      <c r="C66" s="77">
        <v>1012259</v>
      </c>
      <c r="D66" s="76" t="s">
        <v>284</v>
      </c>
      <c r="E66" s="75">
        <v>115985.68</v>
      </c>
      <c r="F66" s="75">
        <v>0</v>
      </c>
      <c r="G66" s="75">
        <v>115985.68</v>
      </c>
      <c r="H66" s="78" t="s">
        <v>878</v>
      </c>
      <c r="I66" s="79">
        <v>45373.32236111111</v>
      </c>
    </row>
    <row r="67" spans="1:9" x14ac:dyDescent="0.25">
      <c r="A67" s="81" t="s">
        <v>166</v>
      </c>
      <c r="B67" s="80" t="s">
        <v>869</v>
      </c>
      <c r="C67" s="77">
        <v>1012260</v>
      </c>
      <c r="D67" s="76" t="s">
        <v>285</v>
      </c>
      <c r="E67" s="75">
        <v>242424.47</v>
      </c>
      <c r="F67" s="75">
        <v>0</v>
      </c>
      <c r="G67" s="75">
        <v>242424.47</v>
      </c>
      <c r="H67" s="78" t="s">
        <v>878</v>
      </c>
      <c r="I67" s="79">
        <v>45373.32236111111</v>
      </c>
    </row>
    <row r="68" spans="1:9" x14ac:dyDescent="0.25">
      <c r="A68" s="81" t="s">
        <v>166</v>
      </c>
      <c r="B68" s="80" t="s">
        <v>869</v>
      </c>
      <c r="C68" s="77">
        <v>1033545</v>
      </c>
      <c r="D68" s="76" t="s">
        <v>879</v>
      </c>
      <c r="E68" s="75">
        <v>44711.37</v>
      </c>
      <c r="F68" s="75">
        <v>0</v>
      </c>
      <c r="G68" s="75">
        <v>44711.37</v>
      </c>
      <c r="H68" s="78" t="s">
        <v>878</v>
      </c>
      <c r="I68" s="79">
        <v>45373.32236111111</v>
      </c>
    </row>
    <row r="69" spans="1:9" x14ac:dyDescent="0.25">
      <c r="A69" s="81" t="s">
        <v>166</v>
      </c>
      <c r="B69" s="80" t="s">
        <v>869</v>
      </c>
      <c r="C69" s="77">
        <v>1033546</v>
      </c>
      <c r="D69" s="76" t="s">
        <v>879</v>
      </c>
      <c r="E69" s="75">
        <v>19029.52</v>
      </c>
      <c r="F69" s="75">
        <v>0</v>
      </c>
      <c r="G69" s="75">
        <v>19029.52</v>
      </c>
      <c r="H69" s="78" t="s">
        <v>878</v>
      </c>
      <c r="I69" s="79">
        <v>45373.32236111111</v>
      </c>
    </row>
    <row r="70" spans="1:9" x14ac:dyDescent="0.25">
      <c r="A70" s="81" t="s">
        <v>166</v>
      </c>
      <c r="B70" s="80" t="s">
        <v>869</v>
      </c>
      <c r="C70" s="77">
        <v>2000182</v>
      </c>
      <c r="D70" s="76" t="s">
        <v>141</v>
      </c>
      <c r="E70" s="75">
        <v>74306.69</v>
      </c>
      <c r="F70" s="75">
        <v>0</v>
      </c>
      <c r="G70" s="75">
        <v>74306.69</v>
      </c>
      <c r="H70" s="78" t="s">
        <v>878</v>
      </c>
      <c r="I70" s="79">
        <v>45373.32236111111</v>
      </c>
    </row>
    <row r="71" spans="1:9" x14ac:dyDescent="0.25">
      <c r="A71" s="81" t="s">
        <v>166</v>
      </c>
      <c r="B71" s="80" t="s">
        <v>869</v>
      </c>
      <c r="C71" s="77">
        <v>2000183</v>
      </c>
      <c r="D71" s="76" t="s">
        <v>244</v>
      </c>
      <c r="E71" s="75">
        <v>159827.01</v>
      </c>
      <c r="F71" s="75">
        <v>0</v>
      </c>
      <c r="G71" s="75">
        <v>159827.01</v>
      </c>
      <c r="H71" s="78" t="s">
        <v>878</v>
      </c>
      <c r="I71" s="79">
        <v>45373.32236111111</v>
      </c>
    </row>
    <row r="72" spans="1:9" x14ac:dyDescent="0.25">
      <c r="A72" s="81" t="s">
        <v>166</v>
      </c>
      <c r="B72" s="80" t="s">
        <v>869</v>
      </c>
      <c r="C72" s="77">
        <v>2000216</v>
      </c>
      <c r="D72" s="76" t="s">
        <v>225</v>
      </c>
      <c r="E72" s="75">
        <v>4328510.0999999996</v>
      </c>
      <c r="F72" s="75">
        <v>0</v>
      </c>
      <c r="G72" s="75">
        <v>4328510.0999999996</v>
      </c>
      <c r="H72" s="78" t="s">
        <v>878</v>
      </c>
      <c r="I72" s="79">
        <v>45373.32236111111</v>
      </c>
    </row>
    <row r="73" spans="1:9" x14ac:dyDescent="0.25">
      <c r="A73" s="81" t="s">
        <v>166</v>
      </c>
      <c r="B73" s="80" t="s">
        <v>869</v>
      </c>
      <c r="C73" s="77">
        <v>2000217</v>
      </c>
      <c r="D73" s="76" t="s">
        <v>226</v>
      </c>
      <c r="E73" s="75">
        <v>1309456.73</v>
      </c>
      <c r="F73" s="75">
        <v>0</v>
      </c>
      <c r="G73" s="75">
        <v>1309456.73</v>
      </c>
      <c r="H73" s="78" t="s">
        <v>878</v>
      </c>
      <c r="I73" s="79">
        <v>45373.32236111111</v>
      </c>
    </row>
    <row r="74" spans="1:9" x14ac:dyDescent="0.25">
      <c r="A74" s="81" t="s">
        <v>166</v>
      </c>
      <c r="B74" s="80" t="s">
        <v>869</v>
      </c>
      <c r="C74" s="77">
        <v>2000218</v>
      </c>
      <c r="D74" s="76" t="s">
        <v>227</v>
      </c>
      <c r="E74" s="75">
        <v>1298922.24</v>
      </c>
      <c r="F74" s="75">
        <v>0</v>
      </c>
      <c r="G74" s="75">
        <v>1298922.24</v>
      </c>
      <c r="H74" s="78" t="s">
        <v>878</v>
      </c>
      <c r="I74" s="79">
        <v>45373.32236111111</v>
      </c>
    </row>
    <row r="75" spans="1:9" x14ac:dyDescent="0.25">
      <c r="A75" s="81" t="s">
        <v>166</v>
      </c>
      <c r="B75" s="80" t="s">
        <v>869</v>
      </c>
      <c r="C75" s="77">
        <v>2000423</v>
      </c>
      <c r="D75" s="76" t="s">
        <v>178</v>
      </c>
      <c r="E75" s="75">
        <v>23167.33</v>
      </c>
      <c r="F75" s="75">
        <v>0</v>
      </c>
      <c r="G75" s="75">
        <v>23167.33</v>
      </c>
      <c r="H75" s="78" t="s">
        <v>878</v>
      </c>
      <c r="I75" s="79">
        <v>45373.32236111111</v>
      </c>
    </row>
    <row r="76" spans="1:9" x14ac:dyDescent="0.25">
      <c r="A76" s="81" t="s">
        <v>166</v>
      </c>
      <c r="B76" s="80" t="s">
        <v>869</v>
      </c>
      <c r="C76" s="77">
        <v>2000424</v>
      </c>
      <c r="D76" s="76" t="s">
        <v>179</v>
      </c>
      <c r="E76" s="75">
        <v>50859.16</v>
      </c>
      <c r="F76" s="75">
        <v>0</v>
      </c>
      <c r="G76" s="75">
        <v>50859.16</v>
      </c>
      <c r="H76" s="78" t="s">
        <v>878</v>
      </c>
      <c r="I76" s="79">
        <v>45373.32236111111</v>
      </c>
    </row>
    <row r="77" spans="1:9" ht="45" x14ac:dyDescent="0.25">
      <c r="A77" s="81" t="s">
        <v>259</v>
      </c>
      <c r="B77" s="80" t="s">
        <v>869</v>
      </c>
      <c r="C77" s="77">
        <v>2000722</v>
      </c>
      <c r="D77" s="76" t="s">
        <v>875</v>
      </c>
      <c r="E77" s="75">
        <v>121332.75</v>
      </c>
      <c r="F77" s="75">
        <v>0</v>
      </c>
      <c r="G77" s="75">
        <v>121332.75</v>
      </c>
      <c r="H77" s="78" t="s">
        <v>870</v>
      </c>
      <c r="I77" s="79">
        <v>45373.32236111111</v>
      </c>
    </row>
    <row r="78" spans="1:9" x14ac:dyDescent="0.25">
      <c r="A78" s="81" t="s">
        <v>166</v>
      </c>
      <c r="B78" s="80" t="s">
        <v>869</v>
      </c>
      <c r="C78" s="77">
        <v>2001046</v>
      </c>
      <c r="D78" s="76" t="s">
        <v>289</v>
      </c>
      <c r="E78" s="75">
        <v>120471.67</v>
      </c>
      <c r="F78" s="75">
        <v>0</v>
      </c>
      <c r="G78" s="75">
        <v>120471.67</v>
      </c>
      <c r="H78" s="78" t="s">
        <v>878</v>
      </c>
      <c r="I78" s="79">
        <v>45373.32236111111</v>
      </c>
    </row>
    <row r="79" spans="1:9" x14ac:dyDescent="0.25">
      <c r="A79" s="81" t="s">
        <v>166</v>
      </c>
      <c r="B79" s="80" t="s">
        <v>869</v>
      </c>
      <c r="C79" s="77">
        <v>2001047</v>
      </c>
      <c r="D79" s="76" t="s">
        <v>288</v>
      </c>
      <c r="E79" s="75">
        <v>56551.03</v>
      </c>
      <c r="F79" s="75">
        <v>0</v>
      </c>
      <c r="G79" s="75">
        <v>56551.03</v>
      </c>
      <c r="H79" s="78" t="s">
        <v>878</v>
      </c>
      <c r="I79" s="79">
        <v>45373.32236111111</v>
      </c>
    </row>
    <row r="80" spans="1:9" x14ac:dyDescent="0.25">
      <c r="A80" s="81" t="s">
        <v>166</v>
      </c>
      <c r="B80" s="80" t="s">
        <v>869</v>
      </c>
      <c r="C80" s="77">
        <v>2001047</v>
      </c>
      <c r="D80" s="76" t="s">
        <v>288</v>
      </c>
      <c r="E80" s="75">
        <v>-7023.91</v>
      </c>
      <c r="F80" s="75">
        <v>0</v>
      </c>
      <c r="G80" s="75">
        <v>-7023.91</v>
      </c>
      <c r="H80" s="78" t="s">
        <v>880</v>
      </c>
      <c r="I80" s="79">
        <v>45377.326365740744</v>
      </c>
    </row>
    <row r="81" spans="1:9" x14ac:dyDescent="0.25">
      <c r="A81" s="81" t="s">
        <v>166</v>
      </c>
      <c r="B81" s="80" t="s">
        <v>869</v>
      </c>
      <c r="C81" s="77">
        <v>1012259</v>
      </c>
      <c r="D81" s="76" t="s">
        <v>284</v>
      </c>
      <c r="E81" s="75">
        <v>-210603.38</v>
      </c>
      <c r="F81" s="75">
        <v>0</v>
      </c>
      <c r="G81" s="75">
        <v>-210603.38</v>
      </c>
      <c r="H81" s="78" t="s">
        <v>878</v>
      </c>
      <c r="I81" s="79">
        <v>45378.686643518522</v>
      </c>
    </row>
    <row r="82" spans="1:9" x14ac:dyDescent="0.25">
      <c r="A82" s="81" t="s">
        <v>166</v>
      </c>
      <c r="B82" s="80" t="s">
        <v>869</v>
      </c>
      <c r="C82" s="77">
        <v>1012260</v>
      </c>
      <c r="D82" s="76" t="s">
        <v>285</v>
      </c>
      <c r="E82" s="75">
        <v>-225952.55</v>
      </c>
      <c r="F82" s="75">
        <v>0</v>
      </c>
      <c r="G82" s="75">
        <v>-225952.55</v>
      </c>
      <c r="H82" s="78" t="s">
        <v>878</v>
      </c>
      <c r="I82" s="79">
        <v>45378.686643518522</v>
      </c>
    </row>
    <row r="83" spans="1:9" ht="45" x14ac:dyDescent="0.25">
      <c r="A83" s="81" t="s">
        <v>198</v>
      </c>
      <c r="B83" s="80" t="s">
        <v>869</v>
      </c>
      <c r="C83" s="77">
        <v>2001049</v>
      </c>
      <c r="D83" s="76" t="s">
        <v>272</v>
      </c>
      <c r="E83" s="75">
        <v>542109.96</v>
      </c>
      <c r="F83" s="75">
        <v>0</v>
      </c>
      <c r="G83" s="75">
        <v>542109.96</v>
      </c>
      <c r="H83" s="78" t="s">
        <v>870</v>
      </c>
      <c r="I83" s="79">
        <v>45383.729710648149</v>
      </c>
    </row>
    <row r="84" spans="1:9" ht="45" x14ac:dyDescent="0.25">
      <c r="A84" s="81" t="s">
        <v>259</v>
      </c>
      <c r="B84" s="80" t="s">
        <v>869</v>
      </c>
      <c r="C84" s="77">
        <v>2000722</v>
      </c>
      <c r="D84" s="76" t="s">
        <v>875</v>
      </c>
      <c r="E84" s="75">
        <v>37515.54</v>
      </c>
      <c r="F84" s="75">
        <v>0</v>
      </c>
      <c r="G84" s="75">
        <v>37515.54</v>
      </c>
      <c r="H84" s="78" t="s">
        <v>870</v>
      </c>
      <c r="I84" s="79">
        <v>45384.758553240739</v>
      </c>
    </row>
    <row r="85" spans="1:9" x14ac:dyDescent="0.25">
      <c r="A85" s="81" t="s">
        <v>166</v>
      </c>
      <c r="B85" s="80" t="s">
        <v>869</v>
      </c>
      <c r="C85" s="77">
        <v>78665</v>
      </c>
      <c r="D85" s="76" t="s">
        <v>223</v>
      </c>
      <c r="E85" s="75">
        <v>-3906939.16</v>
      </c>
      <c r="F85" s="75">
        <v>0</v>
      </c>
      <c r="G85" s="75">
        <v>-3906939.16</v>
      </c>
      <c r="H85" s="78" t="s">
        <v>878</v>
      </c>
      <c r="I85" s="79">
        <v>45385.396909722222</v>
      </c>
    </row>
    <row r="86" spans="1:9" x14ac:dyDescent="0.25">
      <c r="A86" s="81" t="s">
        <v>166</v>
      </c>
      <c r="B86" s="80" t="s">
        <v>869</v>
      </c>
      <c r="C86" s="77">
        <v>2000216</v>
      </c>
      <c r="D86" s="76" t="s">
        <v>225</v>
      </c>
      <c r="E86" s="75">
        <v>-9039171.5600000005</v>
      </c>
      <c r="F86" s="75">
        <v>0</v>
      </c>
      <c r="G86" s="75">
        <v>-9039171.5600000005</v>
      </c>
      <c r="H86" s="78" t="s">
        <v>878</v>
      </c>
      <c r="I86" s="79">
        <v>45385.396909722222</v>
      </c>
    </row>
    <row r="87" spans="1:9" x14ac:dyDescent="0.25">
      <c r="A87" s="81" t="s">
        <v>166</v>
      </c>
      <c r="B87" s="80" t="s">
        <v>869</v>
      </c>
      <c r="C87" s="77">
        <v>2000217</v>
      </c>
      <c r="D87" s="76" t="s">
        <v>226</v>
      </c>
      <c r="E87" s="75">
        <v>-4414481.1500000004</v>
      </c>
      <c r="F87" s="75">
        <v>0</v>
      </c>
      <c r="G87" s="75">
        <v>-4414481.1500000004</v>
      </c>
      <c r="H87" s="78" t="s">
        <v>878</v>
      </c>
      <c r="I87" s="79">
        <v>45385</v>
      </c>
    </row>
    <row r="88" spans="1:9" x14ac:dyDescent="0.25">
      <c r="A88" s="81" t="s">
        <v>166</v>
      </c>
      <c r="B88" s="80" t="s">
        <v>869</v>
      </c>
      <c r="C88" s="77">
        <v>2000218</v>
      </c>
      <c r="D88" s="76" t="s">
        <v>227</v>
      </c>
      <c r="E88" s="75">
        <v>3602034.32</v>
      </c>
      <c r="F88" s="75">
        <v>0</v>
      </c>
      <c r="G88" s="75">
        <v>3602034.32</v>
      </c>
      <c r="H88" s="78" t="s">
        <v>878</v>
      </c>
      <c r="I88" s="79">
        <v>45385</v>
      </c>
    </row>
    <row r="89" spans="1:9" ht="45" x14ac:dyDescent="0.25">
      <c r="A89" s="81">
        <v>0</v>
      </c>
      <c r="B89" s="80">
        <v>0</v>
      </c>
      <c r="C89" s="77">
        <v>1000002861</v>
      </c>
      <c r="D89" s="76" t="s">
        <v>513</v>
      </c>
      <c r="E89" s="75">
        <v>1741792</v>
      </c>
      <c r="F89" s="75">
        <v>0</v>
      </c>
      <c r="G89" s="75">
        <v>1741792</v>
      </c>
      <c r="H89" s="78" t="s">
        <v>870</v>
      </c>
      <c r="I89" s="79">
        <v>45386.739224537036</v>
      </c>
    </row>
    <row r="90" spans="1:9" x14ac:dyDescent="0.25">
      <c r="A90" s="81" t="s">
        <v>166</v>
      </c>
      <c r="B90" s="80" t="s">
        <v>869</v>
      </c>
      <c r="C90" s="77">
        <v>78665</v>
      </c>
      <c r="D90" s="76" t="s">
        <v>223</v>
      </c>
      <c r="E90" s="75">
        <v>3529258.74</v>
      </c>
      <c r="F90" s="75">
        <v>0</v>
      </c>
      <c r="G90" s="75">
        <v>3529258.74</v>
      </c>
      <c r="H90" s="78" t="s">
        <v>878</v>
      </c>
      <c r="I90" s="79">
        <v>45387.664479166669</v>
      </c>
    </row>
    <row r="91" spans="1:9" x14ac:dyDescent="0.25">
      <c r="A91" s="81" t="s">
        <v>166</v>
      </c>
      <c r="B91" s="80" t="s">
        <v>869</v>
      </c>
      <c r="C91" s="77">
        <v>1012259</v>
      </c>
      <c r="D91" s="76" t="s">
        <v>284</v>
      </c>
      <c r="E91" s="75">
        <v>122330.12</v>
      </c>
      <c r="F91" s="75">
        <v>0</v>
      </c>
      <c r="G91" s="75">
        <v>122330.12</v>
      </c>
      <c r="H91" s="78" t="s">
        <v>878</v>
      </c>
      <c r="I91" s="79">
        <v>45387.664479166669</v>
      </c>
    </row>
    <row r="92" spans="1:9" x14ac:dyDescent="0.25">
      <c r="A92" s="81" t="s">
        <v>166</v>
      </c>
      <c r="B92" s="80" t="s">
        <v>869</v>
      </c>
      <c r="C92" s="77">
        <v>1012260</v>
      </c>
      <c r="D92" s="76" t="s">
        <v>285</v>
      </c>
      <c r="E92" s="75">
        <v>257539.06</v>
      </c>
      <c r="F92" s="75">
        <v>0</v>
      </c>
      <c r="G92" s="75">
        <v>257539.06</v>
      </c>
      <c r="H92" s="78" t="s">
        <v>878</v>
      </c>
      <c r="I92" s="79">
        <v>45387.664479166669</v>
      </c>
    </row>
    <row r="93" spans="1:9" x14ac:dyDescent="0.25">
      <c r="A93" s="81" t="s">
        <v>166</v>
      </c>
      <c r="B93" s="80" t="s">
        <v>869</v>
      </c>
      <c r="C93" s="77">
        <v>1033545</v>
      </c>
      <c r="D93" s="76" t="s">
        <v>879</v>
      </c>
      <c r="E93" s="75">
        <v>46706.37</v>
      </c>
      <c r="F93" s="75">
        <v>0</v>
      </c>
      <c r="G93" s="75">
        <v>46706.37</v>
      </c>
      <c r="H93" s="78" t="s">
        <v>878</v>
      </c>
      <c r="I93" s="79">
        <v>45387.664479166669</v>
      </c>
    </row>
    <row r="94" spans="1:9" x14ac:dyDescent="0.25">
      <c r="A94" s="81" t="s">
        <v>166</v>
      </c>
      <c r="B94" s="80" t="s">
        <v>869</v>
      </c>
      <c r="C94" s="77">
        <v>1033546</v>
      </c>
      <c r="D94" s="76" t="s">
        <v>879</v>
      </c>
      <c r="E94" s="75">
        <v>19694.52</v>
      </c>
      <c r="F94" s="75">
        <v>0</v>
      </c>
      <c r="G94" s="75">
        <v>19694.52</v>
      </c>
      <c r="H94" s="78" t="s">
        <v>878</v>
      </c>
      <c r="I94" s="79">
        <v>45387.664479166669</v>
      </c>
    </row>
    <row r="95" spans="1:9" x14ac:dyDescent="0.25">
      <c r="A95" s="81" t="s">
        <v>166</v>
      </c>
      <c r="B95" s="80" t="s">
        <v>869</v>
      </c>
      <c r="C95" s="77">
        <v>2000182</v>
      </c>
      <c r="D95" s="76" t="s">
        <v>141</v>
      </c>
      <c r="E95" s="75">
        <v>75086.67</v>
      </c>
      <c r="F95" s="75">
        <v>0</v>
      </c>
      <c r="G95" s="75">
        <v>75086.67</v>
      </c>
      <c r="H95" s="78" t="s">
        <v>878</v>
      </c>
      <c r="I95" s="79">
        <v>45387.664479166669</v>
      </c>
    </row>
    <row r="96" spans="1:9" x14ac:dyDescent="0.25">
      <c r="A96" s="81" t="s">
        <v>166</v>
      </c>
      <c r="B96" s="80" t="s">
        <v>869</v>
      </c>
      <c r="C96" s="77">
        <v>2000183</v>
      </c>
      <c r="D96" s="76" t="s">
        <v>244</v>
      </c>
      <c r="E96" s="75">
        <v>162362.76999999999</v>
      </c>
      <c r="F96" s="75">
        <v>0</v>
      </c>
      <c r="G96" s="75">
        <v>162362.76999999999</v>
      </c>
      <c r="H96" s="78" t="s">
        <v>878</v>
      </c>
      <c r="I96" s="79">
        <v>45387.664479166669</v>
      </c>
    </row>
    <row r="97" spans="1:9" x14ac:dyDescent="0.25">
      <c r="A97" s="81" t="s">
        <v>166</v>
      </c>
      <c r="B97" s="80" t="s">
        <v>869</v>
      </c>
      <c r="C97" s="77">
        <v>2000216</v>
      </c>
      <c r="D97" s="76" t="s">
        <v>225</v>
      </c>
      <c r="E97" s="75">
        <v>4306948.6900000004</v>
      </c>
      <c r="F97" s="75">
        <v>0</v>
      </c>
      <c r="G97" s="75">
        <v>4306948.6900000004</v>
      </c>
      <c r="H97" s="78" t="s">
        <v>878</v>
      </c>
      <c r="I97" s="79">
        <v>45387.664479166669</v>
      </c>
    </row>
    <row r="98" spans="1:9" x14ac:dyDescent="0.25">
      <c r="A98" s="81" t="s">
        <v>166</v>
      </c>
      <c r="B98" s="80" t="s">
        <v>869</v>
      </c>
      <c r="C98" s="77">
        <v>2000217</v>
      </c>
      <c r="D98" s="76" t="s">
        <v>226</v>
      </c>
      <c r="E98" s="75">
        <v>1349325.79</v>
      </c>
      <c r="F98" s="75">
        <v>0</v>
      </c>
      <c r="G98" s="75">
        <v>1349325.79</v>
      </c>
      <c r="H98" s="78" t="s">
        <v>878</v>
      </c>
      <c r="I98" s="79">
        <v>45387.664479166669</v>
      </c>
    </row>
    <row r="99" spans="1:9" x14ac:dyDescent="0.25">
      <c r="A99" s="81" t="s">
        <v>166</v>
      </c>
      <c r="B99" s="80" t="s">
        <v>869</v>
      </c>
      <c r="C99" s="77">
        <v>2000218</v>
      </c>
      <c r="D99" s="76" t="s">
        <v>227</v>
      </c>
      <c r="E99" s="75">
        <v>1333999.6499999999</v>
      </c>
      <c r="F99" s="75">
        <v>0</v>
      </c>
      <c r="G99" s="75">
        <v>1333999.6499999999</v>
      </c>
      <c r="H99" s="78" t="s">
        <v>878</v>
      </c>
      <c r="I99" s="79">
        <v>45387.664479166669</v>
      </c>
    </row>
    <row r="100" spans="1:9" x14ac:dyDescent="0.25">
      <c r="A100" s="81" t="s">
        <v>166</v>
      </c>
      <c r="B100" s="80" t="s">
        <v>869</v>
      </c>
      <c r="C100" s="77">
        <v>2000423</v>
      </c>
      <c r="D100" s="76" t="s">
        <v>178</v>
      </c>
      <c r="E100" s="75">
        <v>20030.91</v>
      </c>
      <c r="F100" s="75">
        <v>0</v>
      </c>
      <c r="G100" s="75">
        <v>20030.91</v>
      </c>
      <c r="H100" s="78" t="s">
        <v>878</v>
      </c>
      <c r="I100" s="79">
        <v>45387.664479166669</v>
      </c>
    </row>
    <row r="101" spans="1:9" x14ac:dyDescent="0.25">
      <c r="A101" s="81" t="s">
        <v>166</v>
      </c>
      <c r="B101" s="80" t="s">
        <v>869</v>
      </c>
      <c r="C101" s="77">
        <v>2000424</v>
      </c>
      <c r="D101" s="76" t="s">
        <v>179</v>
      </c>
      <c r="E101" s="75">
        <v>45351.11</v>
      </c>
      <c r="F101" s="75">
        <v>0</v>
      </c>
      <c r="G101" s="75">
        <v>45351.11</v>
      </c>
      <c r="H101" s="78" t="s">
        <v>878</v>
      </c>
      <c r="I101" s="79">
        <v>45387.664479166669</v>
      </c>
    </row>
    <row r="102" spans="1:9" x14ac:dyDescent="0.25">
      <c r="A102" s="81" t="s">
        <v>166</v>
      </c>
      <c r="B102" s="80" t="s">
        <v>869</v>
      </c>
      <c r="C102" s="77">
        <v>2001046</v>
      </c>
      <c r="D102" s="76" t="s">
        <v>289</v>
      </c>
      <c r="E102" s="75">
        <v>124027.91</v>
      </c>
      <c r="F102" s="75">
        <v>0</v>
      </c>
      <c r="G102" s="75">
        <v>124027.91</v>
      </c>
      <c r="H102" s="78" t="s">
        <v>878</v>
      </c>
      <c r="I102" s="79">
        <v>45387.664479166669</v>
      </c>
    </row>
    <row r="103" spans="1:9" x14ac:dyDescent="0.25">
      <c r="A103" s="81" t="s">
        <v>166</v>
      </c>
      <c r="B103" s="80" t="s">
        <v>869</v>
      </c>
      <c r="C103" s="77">
        <v>2001047</v>
      </c>
      <c r="D103" s="76" t="s">
        <v>288</v>
      </c>
      <c r="E103" s="75">
        <v>57654.1</v>
      </c>
      <c r="F103" s="75">
        <v>0</v>
      </c>
      <c r="G103" s="75">
        <v>57654.1</v>
      </c>
      <c r="H103" s="78" t="s">
        <v>878</v>
      </c>
      <c r="I103" s="79">
        <v>45387.664479166669</v>
      </c>
    </row>
    <row r="104" spans="1:9" ht="45" x14ac:dyDescent="0.25">
      <c r="A104" s="81" t="s">
        <v>198</v>
      </c>
      <c r="B104" s="80" t="s">
        <v>869</v>
      </c>
      <c r="C104" s="77">
        <v>2001049</v>
      </c>
      <c r="D104" s="76" t="s">
        <v>272</v>
      </c>
      <c r="E104" s="75">
        <v>488879.84</v>
      </c>
      <c r="F104" s="75">
        <v>0</v>
      </c>
      <c r="G104" s="75">
        <v>488879.84</v>
      </c>
      <c r="H104" s="78" t="s">
        <v>870</v>
      </c>
      <c r="I104" s="79">
        <v>45387.664479166669</v>
      </c>
    </row>
    <row r="105" spans="1:9" ht="45" x14ac:dyDescent="0.25">
      <c r="A105" s="81" t="s">
        <v>259</v>
      </c>
      <c r="B105" s="80" t="s">
        <v>869</v>
      </c>
      <c r="C105" s="77">
        <v>2000722</v>
      </c>
      <c r="D105" s="76" t="s">
        <v>875</v>
      </c>
      <c r="E105" s="75">
        <v>13846.16</v>
      </c>
      <c r="F105" s="75">
        <v>0</v>
      </c>
      <c r="G105" s="75">
        <v>13846.16</v>
      </c>
      <c r="H105" s="78" t="s">
        <v>870</v>
      </c>
      <c r="I105" s="79">
        <v>45391.73065972222</v>
      </c>
    </row>
    <row r="106" spans="1:9" ht="45" x14ac:dyDescent="0.25">
      <c r="A106" s="81" t="s">
        <v>198</v>
      </c>
      <c r="B106" s="80" t="s">
        <v>869</v>
      </c>
      <c r="C106" s="77">
        <v>2000569</v>
      </c>
      <c r="D106" s="76" t="s">
        <v>874</v>
      </c>
      <c r="E106" s="75">
        <v>1972975.65</v>
      </c>
      <c r="F106" s="75">
        <v>0</v>
      </c>
      <c r="G106" s="75">
        <v>1972975.65</v>
      </c>
      <c r="H106" s="78" t="s">
        <v>870</v>
      </c>
      <c r="I106" s="79">
        <v>45392.746111111112</v>
      </c>
    </row>
    <row r="107" spans="1:9" ht="45" x14ac:dyDescent="0.25">
      <c r="A107" s="81" t="s">
        <v>198</v>
      </c>
      <c r="B107" s="80" t="s">
        <v>869</v>
      </c>
      <c r="C107" s="77">
        <v>1037124</v>
      </c>
      <c r="D107" s="76" t="s">
        <v>63</v>
      </c>
      <c r="E107" s="75">
        <v>353633.8</v>
      </c>
      <c r="F107" s="75">
        <v>0</v>
      </c>
      <c r="G107" s="75">
        <v>353633.8</v>
      </c>
      <c r="H107" s="78" t="s">
        <v>870</v>
      </c>
      <c r="I107" s="79">
        <v>45393.722083333334</v>
      </c>
    </row>
    <row r="108" spans="1:9" x14ac:dyDescent="0.25">
      <c r="A108" s="81" t="s">
        <v>166</v>
      </c>
      <c r="B108" s="80" t="s">
        <v>869</v>
      </c>
      <c r="C108" s="77">
        <v>2000182</v>
      </c>
      <c r="D108" s="76" t="s">
        <v>141</v>
      </c>
      <c r="E108" s="75">
        <v>4939.75</v>
      </c>
      <c r="F108" s="75">
        <v>0</v>
      </c>
      <c r="G108" s="75">
        <v>4939.75</v>
      </c>
      <c r="H108" s="78" t="s">
        <v>878</v>
      </c>
      <c r="I108" s="79">
        <v>45393.722083333334</v>
      </c>
    </row>
    <row r="109" spans="1:9" x14ac:dyDescent="0.25">
      <c r="A109" s="81" t="s">
        <v>166</v>
      </c>
      <c r="B109" s="80" t="s">
        <v>869</v>
      </c>
      <c r="C109" s="77">
        <v>2000183</v>
      </c>
      <c r="D109" s="76" t="s">
        <v>244</v>
      </c>
      <c r="E109" s="75">
        <v>14813.16</v>
      </c>
      <c r="F109" s="75">
        <v>0</v>
      </c>
      <c r="G109" s="75">
        <v>14813.16</v>
      </c>
      <c r="H109" s="78" t="s">
        <v>878</v>
      </c>
      <c r="I109" s="79">
        <v>45393.722083333334</v>
      </c>
    </row>
    <row r="110" spans="1:9" x14ac:dyDescent="0.25">
      <c r="A110" s="81" t="s">
        <v>166</v>
      </c>
      <c r="B110" s="80" t="s">
        <v>869</v>
      </c>
      <c r="C110" s="77">
        <v>2000423</v>
      </c>
      <c r="D110" s="76" t="s">
        <v>178</v>
      </c>
      <c r="E110" s="75">
        <v>-517001.14</v>
      </c>
      <c r="F110" s="75">
        <v>0</v>
      </c>
      <c r="G110" s="75">
        <v>-517001.14</v>
      </c>
      <c r="H110" s="78" t="s">
        <v>878</v>
      </c>
      <c r="I110" s="79">
        <v>45393.722083333334</v>
      </c>
    </row>
    <row r="111" spans="1:9" x14ac:dyDescent="0.25">
      <c r="A111" s="81" t="s">
        <v>166</v>
      </c>
      <c r="B111" s="80" t="s">
        <v>869</v>
      </c>
      <c r="C111" s="77">
        <v>2000424</v>
      </c>
      <c r="D111" s="76" t="s">
        <v>179</v>
      </c>
      <c r="E111" s="75">
        <v>-1027544.14</v>
      </c>
      <c r="F111" s="75">
        <v>0</v>
      </c>
      <c r="G111" s="75">
        <v>-1027544.14</v>
      </c>
      <c r="H111" s="78" t="s">
        <v>878</v>
      </c>
      <c r="I111" s="79">
        <v>45393.722083333334</v>
      </c>
    </row>
    <row r="112" spans="1:9" ht="45" x14ac:dyDescent="0.25">
      <c r="A112" s="81" t="s">
        <v>198</v>
      </c>
      <c r="B112" s="80" t="s">
        <v>869</v>
      </c>
      <c r="C112" s="77">
        <v>1037085</v>
      </c>
      <c r="D112" s="76" t="s">
        <v>343</v>
      </c>
      <c r="E112" s="75">
        <v>2064207.96</v>
      </c>
      <c r="F112" s="75">
        <v>0</v>
      </c>
      <c r="G112" s="75">
        <v>2064207.96</v>
      </c>
      <c r="H112" s="78" t="s">
        <v>870</v>
      </c>
      <c r="I112" s="79">
        <v>45394.65042824074</v>
      </c>
    </row>
    <row r="113" spans="1:9" ht="45" x14ac:dyDescent="0.25">
      <c r="A113" s="81" t="s">
        <v>198</v>
      </c>
      <c r="B113" s="80" t="s">
        <v>869</v>
      </c>
      <c r="C113" s="77">
        <v>1037086</v>
      </c>
      <c r="D113" s="76" t="s">
        <v>881</v>
      </c>
      <c r="E113" s="75">
        <v>4812430.88</v>
      </c>
      <c r="F113" s="75">
        <v>0</v>
      </c>
      <c r="G113" s="75">
        <v>4812430.88</v>
      </c>
      <c r="H113" s="78" t="s">
        <v>870</v>
      </c>
      <c r="I113" s="79">
        <v>45394.65042824074</v>
      </c>
    </row>
    <row r="114" spans="1:9" ht="45" x14ac:dyDescent="0.25">
      <c r="A114" s="81" t="s">
        <v>307</v>
      </c>
      <c r="B114" s="80" t="s">
        <v>869</v>
      </c>
      <c r="C114" s="77">
        <v>1037090</v>
      </c>
      <c r="D114" s="76" t="s">
        <v>309</v>
      </c>
      <c r="E114" s="75">
        <v>719603.28</v>
      </c>
      <c r="F114" s="75">
        <v>0</v>
      </c>
      <c r="G114" s="75">
        <v>719603.28</v>
      </c>
      <c r="H114" s="78" t="s">
        <v>870</v>
      </c>
      <c r="I114" s="79">
        <v>45394.65042824074</v>
      </c>
    </row>
    <row r="115" spans="1:9" ht="45" x14ac:dyDescent="0.25">
      <c r="A115" s="81" t="s">
        <v>198</v>
      </c>
      <c r="B115" s="80" t="s">
        <v>869</v>
      </c>
      <c r="C115" s="77">
        <v>1037113</v>
      </c>
      <c r="D115" s="76" t="s">
        <v>339</v>
      </c>
      <c r="E115" s="75">
        <v>2494079.54</v>
      </c>
      <c r="F115" s="75">
        <v>0</v>
      </c>
      <c r="G115" s="75">
        <v>2494079.54</v>
      </c>
      <c r="H115" s="78" t="s">
        <v>870</v>
      </c>
      <c r="I115" s="79">
        <v>45394.65042824074</v>
      </c>
    </row>
    <row r="116" spans="1:9" ht="45" x14ac:dyDescent="0.25">
      <c r="A116" s="81" t="s">
        <v>198</v>
      </c>
      <c r="B116" s="80" t="s">
        <v>869</v>
      </c>
      <c r="C116" s="77">
        <v>1037117</v>
      </c>
      <c r="D116" s="76" t="s">
        <v>341</v>
      </c>
      <c r="E116" s="75">
        <v>411634.52</v>
      </c>
      <c r="F116" s="75">
        <v>0</v>
      </c>
      <c r="G116" s="75">
        <v>411634.52</v>
      </c>
      <c r="H116" s="78" t="s">
        <v>870</v>
      </c>
      <c r="I116" s="79">
        <v>45394.650439814817</v>
      </c>
    </row>
    <row r="117" spans="1:9" ht="45" x14ac:dyDescent="0.25">
      <c r="A117" s="81" t="s">
        <v>198</v>
      </c>
      <c r="B117" s="80" t="s">
        <v>869</v>
      </c>
      <c r="C117" s="77">
        <v>1037118</v>
      </c>
      <c r="D117" s="76" t="s">
        <v>882</v>
      </c>
      <c r="E117" s="75">
        <v>1349158.58</v>
      </c>
      <c r="F117" s="75">
        <v>0</v>
      </c>
      <c r="G117" s="75">
        <v>1349158.58</v>
      </c>
      <c r="H117" s="78" t="s">
        <v>870</v>
      </c>
      <c r="I117" s="79">
        <v>45394.650439814817</v>
      </c>
    </row>
    <row r="118" spans="1:9" x14ac:dyDescent="0.25">
      <c r="A118" s="81" t="s">
        <v>166</v>
      </c>
      <c r="B118" s="80" t="s">
        <v>869</v>
      </c>
      <c r="C118" s="77">
        <v>2000217</v>
      </c>
      <c r="D118" s="76" t="s">
        <v>226</v>
      </c>
      <c r="E118" s="75">
        <v>-30149.45</v>
      </c>
      <c r="F118" s="75">
        <v>0</v>
      </c>
      <c r="G118" s="75">
        <v>-30149.45</v>
      </c>
      <c r="H118" s="78" t="s">
        <v>878</v>
      </c>
      <c r="I118" s="79">
        <v>45394.650439814817</v>
      </c>
    </row>
    <row r="119" spans="1:9" x14ac:dyDescent="0.25">
      <c r="A119" s="81" t="s">
        <v>166</v>
      </c>
      <c r="B119" s="80" t="s">
        <v>869</v>
      </c>
      <c r="C119" s="77">
        <v>2000218</v>
      </c>
      <c r="D119" s="76" t="s">
        <v>227</v>
      </c>
      <c r="E119" s="75">
        <v>-4939.75</v>
      </c>
      <c r="F119" s="75">
        <v>0</v>
      </c>
      <c r="G119" s="75">
        <v>-4939.75</v>
      </c>
      <c r="H119" s="78" t="s">
        <v>878</v>
      </c>
      <c r="I119" s="79">
        <v>45394.650439814817</v>
      </c>
    </row>
    <row r="120" spans="1:9" x14ac:dyDescent="0.25">
      <c r="A120" s="81" t="s">
        <v>166</v>
      </c>
      <c r="B120" s="80" t="s">
        <v>869</v>
      </c>
      <c r="C120" s="77">
        <v>2000220</v>
      </c>
      <c r="D120" s="76" t="s">
        <v>229</v>
      </c>
      <c r="E120" s="75">
        <v>-90283.26</v>
      </c>
      <c r="F120" s="75">
        <v>0</v>
      </c>
      <c r="G120" s="75">
        <v>-90283.26</v>
      </c>
      <c r="H120" s="78" t="s">
        <v>878</v>
      </c>
      <c r="I120" s="79">
        <v>45394.650439814817</v>
      </c>
    </row>
    <row r="121" spans="1:9" x14ac:dyDescent="0.25">
      <c r="A121" s="81" t="s">
        <v>166</v>
      </c>
      <c r="B121" s="80" t="s">
        <v>869</v>
      </c>
      <c r="C121" s="77">
        <v>2000221</v>
      </c>
      <c r="D121" s="76" t="s">
        <v>230</v>
      </c>
      <c r="E121" s="75">
        <v>-14813.16</v>
      </c>
      <c r="F121" s="75">
        <v>0</v>
      </c>
      <c r="G121" s="75">
        <v>-14813.16</v>
      </c>
      <c r="H121" s="78" t="s">
        <v>878</v>
      </c>
      <c r="I121" s="79">
        <v>45394.650439814817</v>
      </c>
    </row>
    <row r="122" spans="1:9" ht="45" x14ac:dyDescent="0.25">
      <c r="A122" s="81" t="s">
        <v>198</v>
      </c>
      <c r="B122" s="80" t="s">
        <v>869</v>
      </c>
      <c r="C122" s="77">
        <v>2001049</v>
      </c>
      <c r="D122" s="76" t="s">
        <v>272</v>
      </c>
      <c r="E122" s="75">
        <v>992471.08</v>
      </c>
      <c r="F122" s="75">
        <v>0</v>
      </c>
      <c r="G122" s="75">
        <v>992471.08</v>
      </c>
      <c r="H122" s="78" t="s">
        <v>870</v>
      </c>
      <c r="I122" s="79">
        <v>45394.650439814817</v>
      </c>
    </row>
    <row r="123" spans="1:9" ht="45" x14ac:dyDescent="0.25">
      <c r="A123" s="81" t="s">
        <v>198</v>
      </c>
      <c r="B123" s="80" t="s">
        <v>869</v>
      </c>
      <c r="C123" s="77">
        <v>2001050</v>
      </c>
      <c r="D123" s="76" t="s">
        <v>270</v>
      </c>
      <c r="E123" s="75">
        <v>1342934.68</v>
      </c>
      <c r="F123" s="75">
        <v>0</v>
      </c>
      <c r="G123" s="75">
        <v>1342934.68</v>
      </c>
      <c r="H123" s="78" t="s">
        <v>870</v>
      </c>
      <c r="I123" s="79">
        <v>45394.650439814817</v>
      </c>
    </row>
    <row r="124" spans="1:9" ht="45" x14ac:dyDescent="0.25">
      <c r="A124" s="81" t="s">
        <v>307</v>
      </c>
      <c r="B124" s="80" t="s">
        <v>869</v>
      </c>
      <c r="C124" s="77">
        <v>1000003291</v>
      </c>
      <c r="D124" s="76" t="s">
        <v>526</v>
      </c>
      <c r="E124" s="75">
        <v>1472872.78</v>
      </c>
      <c r="F124" s="75">
        <v>0</v>
      </c>
      <c r="G124" s="75">
        <v>1472872.78</v>
      </c>
      <c r="H124" s="78" t="s">
        <v>870</v>
      </c>
      <c r="I124" s="79">
        <v>45394.650439814817</v>
      </c>
    </row>
    <row r="125" spans="1:9" ht="45" x14ac:dyDescent="0.25">
      <c r="A125" s="81" t="s">
        <v>307</v>
      </c>
      <c r="B125" s="80" t="s">
        <v>869</v>
      </c>
      <c r="C125" s="77">
        <v>1000003292</v>
      </c>
      <c r="D125" s="76" t="s">
        <v>527</v>
      </c>
      <c r="E125" s="75">
        <v>235415.54</v>
      </c>
      <c r="F125" s="75">
        <v>0</v>
      </c>
      <c r="G125" s="75">
        <v>235415.54</v>
      </c>
      <c r="H125" s="78" t="s">
        <v>870</v>
      </c>
      <c r="I125" s="79">
        <v>45394.650439814817</v>
      </c>
    </row>
    <row r="126" spans="1:9" ht="45" x14ac:dyDescent="0.25">
      <c r="A126" s="81" t="s">
        <v>307</v>
      </c>
      <c r="B126" s="80" t="s">
        <v>869</v>
      </c>
      <c r="C126" s="77">
        <v>1000003293</v>
      </c>
      <c r="D126" s="76" t="s">
        <v>528</v>
      </c>
      <c r="E126" s="75">
        <v>1691448.94</v>
      </c>
      <c r="F126" s="75">
        <v>0</v>
      </c>
      <c r="G126" s="75">
        <v>1691448.94</v>
      </c>
      <c r="H126" s="78" t="s">
        <v>870</v>
      </c>
      <c r="I126" s="79">
        <v>45394.650439814817</v>
      </c>
    </row>
    <row r="127" spans="1:9" ht="45" x14ac:dyDescent="0.25">
      <c r="A127" s="81" t="s">
        <v>307</v>
      </c>
      <c r="B127" s="80" t="s">
        <v>869</v>
      </c>
      <c r="C127" s="77">
        <v>1000003295</v>
      </c>
      <c r="D127" s="76" t="s">
        <v>530</v>
      </c>
      <c r="E127" s="75">
        <v>127747.52</v>
      </c>
      <c r="F127" s="75">
        <v>0</v>
      </c>
      <c r="G127" s="75">
        <v>127747.52</v>
      </c>
      <c r="H127" s="78" t="s">
        <v>870</v>
      </c>
      <c r="I127" s="79">
        <v>45394.650439814817</v>
      </c>
    </row>
    <row r="128" spans="1:9" ht="45" x14ac:dyDescent="0.25">
      <c r="A128" s="81" t="s">
        <v>307</v>
      </c>
      <c r="B128" s="80" t="s">
        <v>869</v>
      </c>
      <c r="C128" s="77">
        <v>1000003297</v>
      </c>
      <c r="D128" s="76" t="s">
        <v>532</v>
      </c>
      <c r="E128" s="75">
        <v>495640.24</v>
      </c>
      <c r="F128" s="75">
        <v>0</v>
      </c>
      <c r="G128" s="75">
        <v>495640.24</v>
      </c>
      <c r="H128" s="78" t="s">
        <v>870</v>
      </c>
      <c r="I128" s="79">
        <v>45394.650439814817</v>
      </c>
    </row>
    <row r="129" spans="1:9" ht="45" x14ac:dyDescent="0.25">
      <c r="A129" s="81" t="s">
        <v>307</v>
      </c>
      <c r="B129" s="80" t="s">
        <v>869</v>
      </c>
      <c r="C129" s="77">
        <v>1000003298</v>
      </c>
      <c r="D129" s="76" t="s">
        <v>533</v>
      </c>
      <c r="E129" s="75">
        <v>1287842.92</v>
      </c>
      <c r="F129" s="75">
        <v>0</v>
      </c>
      <c r="G129" s="75">
        <v>1287842.92</v>
      </c>
      <c r="H129" s="78" t="s">
        <v>870</v>
      </c>
      <c r="I129" s="79">
        <v>45394.650439814817</v>
      </c>
    </row>
    <row r="130" spans="1:9" ht="45" x14ac:dyDescent="0.25">
      <c r="A130" s="81" t="s">
        <v>307</v>
      </c>
      <c r="B130" s="80">
        <v>0</v>
      </c>
      <c r="C130" s="77">
        <v>1000003299</v>
      </c>
      <c r="D130" s="76" t="s">
        <v>534</v>
      </c>
      <c r="E130" s="75">
        <v>4306110.5199999996</v>
      </c>
      <c r="F130" s="75">
        <v>0</v>
      </c>
      <c r="G130" s="75">
        <v>4306110.5199999996</v>
      </c>
      <c r="H130" s="78" t="s">
        <v>870</v>
      </c>
      <c r="I130" s="79">
        <v>45394.650439814817</v>
      </c>
    </row>
    <row r="131" spans="1:9" ht="45" x14ac:dyDescent="0.25">
      <c r="A131" s="81">
        <v>0</v>
      </c>
      <c r="B131" s="80">
        <v>0</v>
      </c>
      <c r="C131" s="77">
        <v>1000003302</v>
      </c>
      <c r="D131" s="76" t="s">
        <v>537</v>
      </c>
      <c r="E131" s="75">
        <v>6110.72</v>
      </c>
      <c r="F131" s="75">
        <v>0</v>
      </c>
      <c r="G131" s="75">
        <v>6110.72</v>
      </c>
      <c r="H131" s="78" t="s">
        <v>870</v>
      </c>
      <c r="I131" s="79">
        <v>45394.650439814817</v>
      </c>
    </row>
    <row r="132" spans="1:9" x14ac:dyDescent="0.25">
      <c r="A132" s="53"/>
      <c r="B132" s="54"/>
      <c r="C132" s="52"/>
      <c r="D132" s="69"/>
      <c r="E132" s="66"/>
      <c r="F132" s="66"/>
      <c r="G132" s="66"/>
      <c r="H132" s="70"/>
      <c r="I132" s="58"/>
    </row>
    <row r="133" spans="1:9" x14ac:dyDescent="0.25">
      <c r="A133" s="53"/>
      <c r="B133" s="54"/>
      <c r="C133" s="52"/>
      <c r="D133" s="69"/>
      <c r="E133" s="66"/>
      <c r="F133" s="66"/>
      <c r="G133" s="66"/>
      <c r="H133" s="70"/>
      <c r="I133" s="58"/>
    </row>
    <row r="134" spans="1:9" x14ac:dyDescent="0.25">
      <c r="A134" s="53"/>
      <c r="B134" s="54"/>
      <c r="C134" s="52"/>
      <c r="D134" s="69"/>
      <c r="E134" s="66"/>
      <c r="F134" s="66"/>
      <c r="G134" s="66"/>
      <c r="H134" s="70"/>
      <c r="I134" s="58"/>
    </row>
    <row r="135" spans="1:9" x14ac:dyDescent="0.25">
      <c r="A135" s="53"/>
      <c r="B135" s="54"/>
      <c r="C135" s="52"/>
      <c r="D135" s="69"/>
      <c r="E135" s="66"/>
      <c r="F135" s="66"/>
      <c r="G135" s="66"/>
      <c r="H135" s="70"/>
      <c r="I135" s="58"/>
    </row>
    <row r="136" spans="1:9" x14ac:dyDescent="0.25">
      <c r="A136" s="64"/>
      <c r="B136" s="65"/>
      <c r="C136" s="54"/>
      <c r="D136" s="55"/>
      <c r="E136" s="66"/>
      <c r="F136" s="67"/>
      <c r="G136" s="56"/>
      <c r="H136" s="57"/>
      <c r="I136" s="58"/>
    </row>
    <row r="137" spans="1:9" x14ac:dyDescent="0.25">
      <c r="A137" s="64"/>
      <c r="B137" s="65"/>
      <c r="C137" s="54"/>
      <c r="D137" s="55"/>
      <c r="E137" s="66"/>
      <c r="F137" s="67"/>
      <c r="G137" s="56"/>
      <c r="H137" s="57"/>
      <c r="I137" s="58"/>
    </row>
    <row r="138" spans="1:9" x14ac:dyDescent="0.25">
      <c r="A138" s="64"/>
      <c r="B138" s="65"/>
      <c r="C138" s="54"/>
      <c r="D138" s="55"/>
      <c r="E138" s="66"/>
      <c r="F138" s="67"/>
      <c r="G138" s="56"/>
      <c r="H138" s="57"/>
      <c r="I138" s="58"/>
    </row>
    <row r="139" spans="1:9" x14ac:dyDescent="0.25">
      <c r="A139" s="64"/>
      <c r="B139" s="65"/>
      <c r="C139" s="54"/>
      <c r="D139" s="55"/>
      <c r="E139" s="66"/>
      <c r="F139" s="67"/>
      <c r="G139" s="56"/>
      <c r="H139" s="57"/>
      <c r="I139" s="58"/>
    </row>
    <row r="140" spans="1:9" x14ac:dyDescent="0.25">
      <c r="A140" s="64"/>
      <c r="B140" s="65"/>
      <c r="C140" s="54"/>
      <c r="D140" s="55"/>
      <c r="E140" s="66"/>
      <c r="F140" s="67"/>
      <c r="G140" s="56"/>
      <c r="H140" s="57"/>
      <c r="I140" s="58"/>
    </row>
    <row r="141" spans="1:9" x14ac:dyDescent="0.25">
      <c r="A141" s="64"/>
      <c r="B141" s="65"/>
      <c r="C141" s="54"/>
      <c r="D141" s="55"/>
      <c r="E141" s="66"/>
      <c r="F141" s="67"/>
      <c r="G141" s="56"/>
      <c r="H141" s="57"/>
      <c r="I141" s="58"/>
    </row>
    <row r="142" spans="1:9" x14ac:dyDescent="0.25">
      <c r="A142" s="64"/>
      <c r="B142" s="65"/>
      <c r="C142" s="54"/>
      <c r="D142" s="55"/>
      <c r="E142" s="66"/>
      <c r="F142" s="67"/>
      <c r="G142" s="56"/>
      <c r="H142" s="57"/>
      <c r="I142" s="58"/>
    </row>
    <row r="143" spans="1:9" x14ac:dyDescent="0.25">
      <c r="A143" s="64"/>
      <c r="B143" s="65"/>
      <c r="C143" s="54"/>
      <c r="D143" s="55"/>
      <c r="E143" s="66"/>
      <c r="F143" s="67"/>
      <c r="G143" s="56"/>
      <c r="H143" s="57"/>
      <c r="I143" s="58"/>
    </row>
    <row r="144" spans="1:9" x14ac:dyDescent="0.25">
      <c r="A144" s="64"/>
      <c r="B144" s="65"/>
      <c r="C144" s="54"/>
      <c r="D144" s="55"/>
      <c r="E144" s="66"/>
      <c r="F144" s="67"/>
      <c r="G144" s="56"/>
      <c r="H144" s="57"/>
      <c r="I144" s="58"/>
    </row>
    <row r="145" spans="1:9" x14ac:dyDescent="0.25">
      <c r="A145" s="64"/>
      <c r="B145" s="65"/>
      <c r="C145" s="54"/>
      <c r="D145" s="55"/>
      <c r="E145" s="66"/>
      <c r="F145" s="67"/>
      <c r="G145" s="56"/>
      <c r="H145" s="57"/>
      <c r="I145" s="58"/>
    </row>
    <row r="146" spans="1:9" x14ac:dyDescent="0.25">
      <c r="A146" s="64"/>
      <c r="B146" s="65"/>
      <c r="C146" s="54"/>
      <c r="D146" s="55"/>
      <c r="E146" s="66"/>
      <c r="F146" s="67"/>
      <c r="G146" s="56"/>
      <c r="H146" s="57"/>
      <c r="I146" s="58"/>
    </row>
    <row r="147" spans="1:9" x14ac:dyDescent="0.25">
      <c r="A147" s="64"/>
      <c r="B147" s="65"/>
      <c r="C147" s="54"/>
      <c r="D147" s="55"/>
      <c r="E147" s="66"/>
      <c r="F147" s="67"/>
      <c r="G147" s="56"/>
      <c r="H147" s="57"/>
      <c r="I147" s="58"/>
    </row>
    <row r="148" spans="1:9" x14ac:dyDescent="0.25">
      <c r="A148" s="64"/>
      <c r="B148" s="65"/>
      <c r="C148" s="54"/>
      <c r="D148" s="55"/>
      <c r="E148" s="66"/>
      <c r="F148" s="67"/>
      <c r="G148" s="56"/>
      <c r="H148" s="57"/>
      <c r="I148" s="58"/>
    </row>
    <row r="149" spans="1:9" x14ac:dyDescent="0.25">
      <c r="A149" s="64"/>
      <c r="B149" s="65"/>
      <c r="C149" s="54"/>
      <c r="D149" s="55"/>
      <c r="E149" s="66"/>
      <c r="F149" s="67"/>
      <c r="G149" s="56"/>
      <c r="H149" s="57"/>
      <c r="I149" s="58"/>
    </row>
    <row r="150" spans="1:9" x14ac:dyDescent="0.25">
      <c r="A150" s="64"/>
      <c r="B150" s="65"/>
      <c r="C150" s="54"/>
      <c r="D150" s="55"/>
      <c r="E150" s="66"/>
      <c r="F150" s="67"/>
      <c r="G150" s="56"/>
      <c r="H150" s="57"/>
      <c r="I150" s="58"/>
    </row>
    <row r="151" spans="1:9" x14ac:dyDescent="0.25">
      <c r="A151" s="64"/>
      <c r="B151" s="65"/>
      <c r="C151" s="54"/>
      <c r="D151" s="55"/>
      <c r="E151" s="66"/>
      <c r="F151" s="67"/>
      <c r="G151" s="56"/>
      <c r="H151" s="57"/>
      <c r="I151" s="58"/>
    </row>
    <row r="152" spans="1:9" x14ac:dyDescent="0.25">
      <c r="A152" s="5"/>
      <c r="B152" s="5"/>
      <c r="D152" s="6"/>
      <c r="E152" s="5"/>
      <c r="F152" s="5"/>
      <c r="G152" s="5"/>
      <c r="H152" s="5"/>
    </row>
    <row r="153" spans="1:9" x14ac:dyDescent="0.25">
      <c r="A153" s="5"/>
      <c r="B153" s="5"/>
      <c r="E153" s="5"/>
      <c r="F153" s="5"/>
      <c r="G153" s="5"/>
      <c r="H153" s="5"/>
    </row>
    <row r="154" spans="1:9" x14ac:dyDescent="0.25">
      <c r="A154" s="5"/>
      <c r="B154" s="5"/>
      <c r="D154" s="6"/>
      <c r="E154" s="5"/>
      <c r="F154" s="5"/>
      <c r="G154" s="5"/>
      <c r="H154" s="5"/>
    </row>
    <row r="155" spans="1:9" x14ac:dyDescent="0.25">
      <c r="A155" s="5"/>
      <c r="B155" s="5"/>
      <c r="E155" s="5"/>
      <c r="F155" s="5"/>
      <c r="G155" s="5"/>
      <c r="H155" s="5"/>
    </row>
    <row r="156" spans="1:9" x14ac:dyDescent="0.25">
      <c r="A156" s="5"/>
      <c r="B156" s="5"/>
      <c r="D156" s="6"/>
      <c r="E156" s="5"/>
      <c r="F156" s="5"/>
      <c r="G156" s="5"/>
      <c r="H156" s="5"/>
    </row>
    <row r="157" spans="1:9" x14ac:dyDescent="0.25">
      <c r="A157" s="5"/>
      <c r="B157" s="5"/>
      <c r="E157" s="5"/>
      <c r="F157" s="5"/>
      <c r="G157" s="5"/>
      <c r="H157" s="5"/>
    </row>
    <row r="158" spans="1:9" x14ac:dyDescent="0.25">
      <c r="A158" s="5"/>
      <c r="B158" s="5"/>
      <c r="D158" s="6"/>
      <c r="E158" s="5"/>
      <c r="F158" s="5"/>
      <c r="G158" s="5"/>
      <c r="H158" s="5"/>
    </row>
    <row r="159" spans="1:9" x14ac:dyDescent="0.25">
      <c r="A159" s="5"/>
      <c r="B159" s="5"/>
      <c r="E159" s="5"/>
      <c r="F159" s="5"/>
      <c r="G159" s="5"/>
      <c r="H159" s="5"/>
    </row>
    <row r="160" spans="1:9" x14ac:dyDescent="0.25">
      <c r="A160" s="5"/>
      <c r="B160" s="5"/>
      <c r="D160" s="6"/>
      <c r="E160" s="5"/>
      <c r="F160" s="5"/>
      <c r="G160" s="5"/>
      <c r="H160" s="5"/>
    </row>
    <row r="161" spans="1:8" x14ac:dyDescent="0.25">
      <c r="A161" s="5"/>
      <c r="B161" s="5"/>
      <c r="E161" s="5"/>
      <c r="F161" s="5"/>
      <c r="G161" s="5"/>
      <c r="H161" s="5"/>
    </row>
    <row r="162" spans="1:8" x14ac:dyDescent="0.25">
      <c r="A162" s="5"/>
      <c r="B162" s="5"/>
      <c r="D162" s="6"/>
      <c r="E162" s="5"/>
      <c r="F162" s="5"/>
      <c r="G162" s="5"/>
      <c r="H162" s="5"/>
    </row>
    <row r="163" spans="1:8" x14ac:dyDescent="0.25">
      <c r="A163" s="5"/>
      <c r="B163" s="5"/>
      <c r="E163" s="5"/>
      <c r="F163" s="5"/>
      <c r="G163" s="5"/>
      <c r="H163" s="5"/>
    </row>
    <row r="164" spans="1:8" x14ac:dyDescent="0.25">
      <c r="A164" s="5"/>
      <c r="B164" s="5"/>
      <c r="D164" s="6"/>
      <c r="E164" s="5"/>
      <c r="F164" s="5"/>
      <c r="G164" s="5"/>
      <c r="H164" s="5"/>
    </row>
    <row r="165" spans="1:8" x14ac:dyDescent="0.25">
      <c r="A165" s="5"/>
      <c r="B165" s="5"/>
      <c r="E165" s="5"/>
      <c r="F165" s="5"/>
      <c r="G165" s="5"/>
      <c r="H165" s="5"/>
    </row>
    <row r="166" spans="1:8" x14ac:dyDescent="0.25">
      <c r="A166" s="5"/>
      <c r="B166" s="5"/>
      <c r="D166" s="6"/>
      <c r="E166" s="5"/>
      <c r="F166" s="5"/>
      <c r="G166" s="5"/>
      <c r="H166" s="5"/>
    </row>
    <row r="167" spans="1:8" x14ac:dyDescent="0.25">
      <c r="A167" s="5"/>
      <c r="B167" s="5"/>
      <c r="E167" s="5"/>
      <c r="F167" s="5"/>
      <c r="G167" s="5"/>
      <c r="H167" s="5"/>
    </row>
    <row r="168" spans="1:8" x14ac:dyDescent="0.25">
      <c r="A168" s="5"/>
      <c r="B168" s="5"/>
      <c r="D168" s="6"/>
      <c r="E168" s="5"/>
      <c r="F168" s="5"/>
      <c r="G168" s="5"/>
      <c r="H168" s="5"/>
    </row>
    <row r="169" spans="1:8" x14ac:dyDescent="0.25">
      <c r="A169" s="5"/>
      <c r="B169" s="5"/>
      <c r="E169" s="5"/>
      <c r="F169" s="5"/>
      <c r="G169" s="5"/>
      <c r="H169" s="5"/>
    </row>
    <row r="170" spans="1:8" x14ac:dyDescent="0.25">
      <c r="A170" s="5"/>
      <c r="B170" s="5"/>
      <c r="D170" s="6"/>
      <c r="E170" s="5"/>
      <c r="F170" s="5"/>
      <c r="G170" s="5"/>
      <c r="H170" s="5"/>
    </row>
    <row r="171" spans="1:8" x14ac:dyDescent="0.25">
      <c r="A171" s="5"/>
      <c r="B171" s="5"/>
      <c r="E171" s="5"/>
      <c r="F171" s="5"/>
      <c r="G171" s="5"/>
      <c r="H171" s="5"/>
    </row>
    <row r="172" spans="1:8" x14ac:dyDescent="0.25">
      <c r="A172" s="5"/>
      <c r="B172" s="5"/>
      <c r="D172" s="6"/>
      <c r="E172" s="5"/>
      <c r="F172" s="5"/>
      <c r="G172" s="5"/>
      <c r="H172" s="5"/>
    </row>
    <row r="173" spans="1:8" x14ac:dyDescent="0.25">
      <c r="A173" s="5"/>
      <c r="B173" s="5"/>
      <c r="E173" s="5"/>
      <c r="F173" s="5"/>
      <c r="G173" s="5"/>
      <c r="H173" s="5"/>
    </row>
    <row r="174" spans="1:8" x14ac:dyDescent="0.25">
      <c r="A174" s="5"/>
      <c r="B174" s="5"/>
      <c r="D174" s="6"/>
      <c r="E174" s="5"/>
      <c r="F174" s="5"/>
      <c r="G174" s="5"/>
      <c r="H174" s="5"/>
    </row>
    <row r="175" spans="1:8" x14ac:dyDescent="0.25">
      <c r="A175" s="5"/>
      <c r="B175" s="5"/>
      <c r="E175" s="5"/>
      <c r="F175" s="5"/>
      <c r="G175" s="5"/>
      <c r="H175" s="5"/>
    </row>
    <row r="176" spans="1:8" x14ac:dyDescent="0.25">
      <c r="A176" s="5"/>
      <c r="B176" s="5"/>
      <c r="D176" s="6"/>
      <c r="E176" s="5"/>
      <c r="F176" s="5"/>
      <c r="G176" s="5"/>
      <c r="H176" s="5"/>
    </row>
    <row r="177" spans="1:8" x14ac:dyDescent="0.25">
      <c r="A177" s="5"/>
      <c r="B177" s="5"/>
      <c r="E177" s="5"/>
      <c r="F177" s="5"/>
      <c r="G177" s="5"/>
      <c r="H177" s="5"/>
    </row>
    <row r="178" spans="1:8" x14ac:dyDescent="0.25">
      <c r="A178" s="5"/>
      <c r="B178" s="5"/>
      <c r="D178" s="6"/>
      <c r="E178" s="5"/>
      <c r="F178" s="5"/>
      <c r="G178" s="5"/>
      <c r="H178" s="5"/>
    </row>
    <row r="179" spans="1:8" x14ac:dyDescent="0.25">
      <c r="A179" s="5"/>
      <c r="B179" s="5"/>
      <c r="E179" s="5"/>
      <c r="F179" s="5"/>
      <c r="G179" s="5"/>
      <c r="H179" s="5"/>
    </row>
    <row r="180" spans="1:8" x14ac:dyDescent="0.25">
      <c r="A180" s="5"/>
      <c r="B180" s="5"/>
      <c r="D180" s="6"/>
      <c r="E180" s="5"/>
      <c r="F180" s="5"/>
      <c r="G180" s="5"/>
      <c r="H180" s="5"/>
    </row>
    <row r="181" spans="1:8" x14ac:dyDescent="0.25">
      <c r="A181" s="5"/>
      <c r="B181" s="5"/>
      <c r="E181" s="5"/>
      <c r="F181" s="5"/>
      <c r="G181" s="5"/>
      <c r="H181" s="5"/>
    </row>
    <row r="182" spans="1:8" x14ac:dyDescent="0.25">
      <c r="A182" s="5"/>
      <c r="B182" s="5"/>
      <c r="D182" s="6"/>
      <c r="E182" s="5"/>
      <c r="F182" s="5"/>
      <c r="G182" s="5"/>
      <c r="H182" s="5"/>
    </row>
    <row r="183" spans="1:8" x14ac:dyDescent="0.25">
      <c r="A183" s="5"/>
      <c r="B183" s="5"/>
      <c r="E183" s="5"/>
      <c r="F183" s="5"/>
      <c r="G183" s="5"/>
      <c r="H183" s="5"/>
    </row>
    <row r="184" spans="1:8" x14ac:dyDescent="0.25">
      <c r="A184" s="5"/>
      <c r="B184" s="5"/>
      <c r="D184" s="6"/>
      <c r="E184" s="5"/>
      <c r="F184" s="5"/>
      <c r="G184" s="5"/>
      <c r="H184" s="5"/>
    </row>
    <row r="185" spans="1:8" x14ac:dyDescent="0.25">
      <c r="A185" s="5"/>
      <c r="B185" s="5"/>
      <c r="E185" s="5"/>
      <c r="F185" s="5"/>
      <c r="G185" s="5"/>
      <c r="H185" s="5"/>
    </row>
    <row r="186" spans="1:8" x14ac:dyDescent="0.25">
      <c r="A186" s="5"/>
      <c r="B186" s="5"/>
      <c r="D186" s="6"/>
      <c r="E186" s="5"/>
      <c r="F186" s="5"/>
      <c r="G186" s="5"/>
      <c r="H186" s="5"/>
    </row>
    <row r="187" spans="1:8" x14ac:dyDescent="0.25">
      <c r="A187" s="5"/>
      <c r="B187" s="5"/>
      <c r="E187" s="5"/>
      <c r="F187" s="5"/>
      <c r="G187" s="5"/>
      <c r="H187" s="5"/>
    </row>
    <row r="188" spans="1:8" x14ac:dyDescent="0.25">
      <c r="A188" s="5"/>
      <c r="B188" s="5"/>
      <c r="D188" s="6"/>
      <c r="E188" s="5"/>
      <c r="F188" s="5"/>
      <c r="G188" s="5"/>
      <c r="H188" s="5"/>
    </row>
    <row r="189" spans="1:8" x14ac:dyDescent="0.25">
      <c r="A189" s="5"/>
      <c r="B189" s="5"/>
      <c r="E189" s="5"/>
      <c r="F189" s="5"/>
      <c r="G189" s="5"/>
      <c r="H189" s="5"/>
    </row>
    <row r="190" spans="1:8" x14ac:dyDescent="0.25">
      <c r="A190" s="5"/>
      <c r="B190" s="5"/>
      <c r="D190" s="6"/>
      <c r="E190" s="5"/>
      <c r="F190" s="5"/>
      <c r="G190" s="5"/>
      <c r="H190" s="5"/>
    </row>
    <row r="191" spans="1:8" x14ac:dyDescent="0.25">
      <c r="A191" s="5"/>
      <c r="B191" s="5"/>
      <c r="E191" s="5"/>
      <c r="F191" s="5"/>
      <c r="G191" s="5"/>
      <c r="H191" s="5"/>
    </row>
    <row r="192" spans="1:8" x14ac:dyDescent="0.25">
      <c r="A192" s="5"/>
      <c r="B192" s="5"/>
      <c r="D192" s="6"/>
      <c r="E192" s="5"/>
      <c r="F192" s="5"/>
      <c r="G192" s="5"/>
      <c r="H192" s="5"/>
    </row>
    <row r="193" spans="1:8" x14ac:dyDescent="0.25">
      <c r="A193" s="5"/>
      <c r="B193" s="5"/>
      <c r="E193" s="5"/>
      <c r="F193" s="5"/>
      <c r="G193" s="5"/>
      <c r="H193" s="5"/>
    </row>
    <row r="194" spans="1:8" x14ac:dyDescent="0.25">
      <c r="A194" s="5"/>
      <c r="B194" s="5"/>
      <c r="D194" s="6"/>
      <c r="E194" s="5"/>
      <c r="F194" s="5"/>
      <c r="G194" s="5"/>
      <c r="H194" s="5"/>
    </row>
    <row r="195" spans="1:8" x14ac:dyDescent="0.25">
      <c r="A195" s="5"/>
      <c r="B195" s="5"/>
      <c r="E195" s="5"/>
      <c r="F195" s="5"/>
      <c r="G195" s="5"/>
      <c r="H195" s="5"/>
    </row>
    <row r="196" spans="1:8" x14ac:dyDescent="0.25">
      <c r="A196" s="5"/>
      <c r="B196" s="5"/>
      <c r="D196" s="6"/>
      <c r="E196" s="5"/>
      <c r="F196" s="5"/>
      <c r="G196" s="5"/>
      <c r="H196" s="5"/>
    </row>
    <row r="197" spans="1:8" x14ac:dyDescent="0.25">
      <c r="A197" s="5"/>
      <c r="B197" s="5"/>
      <c r="E197" s="5"/>
      <c r="F197" s="5"/>
      <c r="G197" s="5"/>
      <c r="H197" s="5"/>
    </row>
    <row r="198" spans="1:8" x14ac:dyDescent="0.25">
      <c r="A198" s="5"/>
      <c r="B198" s="5"/>
      <c r="D198" s="6"/>
      <c r="E198" s="5"/>
      <c r="F198" s="5"/>
      <c r="G198" s="5"/>
      <c r="H198" s="5"/>
    </row>
    <row r="199" spans="1:8" x14ac:dyDescent="0.25">
      <c r="A199" s="5"/>
      <c r="B199" s="5"/>
      <c r="E199" s="5"/>
      <c r="F199" s="5"/>
      <c r="G199" s="5"/>
      <c r="H199" s="5"/>
    </row>
    <row r="200" spans="1:8" x14ac:dyDescent="0.25">
      <c r="A200" s="5"/>
      <c r="B200" s="5"/>
      <c r="D200" s="6"/>
      <c r="E200" s="5"/>
      <c r="F200" s="5"/>
      <c r="G200" s="5"/>
      <c r="H200" s="5"/>
    </row>
    <row r="201" spans="1:8" x14ac:dyDescent="0.25">
      <c r="A201" s="5"/>
      <c r="B201" s="5"/>
      <c r="E201" s="5"/>
      <c r="F201" s="5"/>
      <c r="G201" s="5"/>
      <c r="H201" s="5"/>
    </row>
    <row r="202" spans="1:8" x14ac:dyDescent="0.25">
      <c r="A202" s="5"/>
      <c r="B202" s="5"/>
      <c r="D202" s="6"/>
      <c r="E202" s="5"/>
      <c r="F202" s="5"/>
      <c r="G202" s="5"/>
      <c r="H202" s="5"/>
    </row>
    <row r="203" spans="1:8" x14ac:dyDescent="0.25">
      <c r="A203" s="5"/>
      <c r="B203" s="5"/>
      <c r="E203" s="5"/>
      <c r="F203" s="5"/>
      <c r="G203" s="5"/>
      <c r="H203" s="5"/>
    </row>
    <row r="204" spans="1:8" x14ac:dyDescent="0.25">
      <c r="A204" s="5"/>
      <c r="B204" s="5"/>
      <c r="D204" s="6"/>
      <c r="E204" s="5"/>
      <c r="F204" s="5"/>
      <c r="G204" s="5"/>
      <c r="H204" s="5"/>
    </row>
    <row r="205" spans="1:8" x14ac:dyDescent="0.25">
      <c r="A205" s="5"/>
      <c r="B205" s="5"/>
      <c r="E205" s="5"/>
      <c r="F205" s="5"/>
      <c r="G205" s="5"/>
      <c r="H205" s="5"/>
    </row>
    <row r="206" spans="1:8" x14ac:dyDescent="0.25">
      <c r="A206" s="5"/>
      <c r="B206" s="5"/>
      <c r="D206" s="6"/>
      <c r="E206" s="5"/>
      <c r="F206" s="5"/>
      <c r="G206" s="5"/>
      <c r="H206" s="5"/>
    </row>
    <row r="207" spans="1:8" x14ac:dyDescent="0.25">
      <c r="A207" s="5"/>
      <c r="B207" s="5"/>
      <c r="E207" s="5"/>
      <c r="F207" s="5"/>
      <c r="G207" s="5"/>
      <c r="H207" s="5"/>
    </row>
    <row r="208" spans="1:8" x14ac:dyDescent="0.25">
      <c r="A208" s="5"/>
      <c r="B208" s="5"/>
      <c r="D208" s="6"/>
      <c r="E208" s="5"/>
      <c r="F208" s="5"/>
      <c r="G208" s="5"/>
      <c r="H208" s="5"/>
    </row>
    <row r="209" spans="1:8" x14ac:dyDescent="0.25">
      <c r="A209" s="5"/>
      <c r="B209" s="5"/>
      <c r="E209" s="5"/>
      <c r="F209" s="5"/>
      <c r="G209" s="5"/>
      <c r="H209" s="5"/>
    </row>
    <row r="210" spans="1:8" x14ac:dyDescent="0.25">
      <c r="A210" s="5"/>
      <c r="B210" s="5"/>
      <c r="D210" s="6"/>
      <c r="E210" s="5"/>
      <c r="F210" s="5"/>
      <c r="G210" s="5"/>
      <c r="H210" s="5"/>
    </row>
    <row r="211" spans="1:8" x14ac:dyDescent="0.25">
      <c r="A211" s="5"/>
      <c r="B211" s="5"/>
      <c r="E211" s="5"/>
      <c r="F211" s="5"/>
      <c r="G211" s="5"/>
      <c r="H211" s="5"/>
    </row>
    <row r="212" spans="1:8" x14ac:dyDescent="0.25">
      <c r="A212" s="5"/>
      <c r="B212" s="5"/>
      <c r="D212" s="6"/>
      <c r="E212" s="5"/>
      <c r="F212" s="5"/>
      <c r="G212" s="5"/>
      <c r="H212" s="5"/>
    </row>
    <row r="213" spans="1:8" x14ac:dyDescent="0.25">
      <c r="A213" s="5"/>
      <c r="B213" s="5"/>
      <c r="E213" s="5"/>
      <c r="F213" s="5"/>
      <c r="G213" s="5"/>
      <c r="H213" s="5"/>
    </row>
    <row r="214" spans="1:8" x14ac:dyDescent="0.25">
      <c r="A214" s="5"/>
      <c r="B214" s="5"/>
      <c r="D214" s="6"/>
      <c r="E214" s="5"/>
      <c r="F214" s="5"/>
      <c r="G214" s="5"/>
      <c r="H214" s="5"/>
    </row>
    <row r="215" spans="1:8" x14ac:dyDescent="0.25">
      <c r="A215" s="5"/>
      <c r="B215" s="5"/>
      <c r="E215" s="5"/>
      <c r="F215" s="5"/>
      <c r="G215" s="5"/>
      <c r="H215" s="5"/>
    </row>
    <row r="216" spans="1:8" x14ac:dyDescent="0.25">
      <c r="A216" s="5"/>
      <c r="B216" s="5"/>
      <c r="D216" s="6"/>
      <c r="E216" s="5"/>
      <c r="F216" s="5"/>
      <c r="G216" s="5"/>
      <c r="H216" s="5"/>
    </row>
    <row r="217" spans="1:8" x14ac:dyDescent="0.25">
      <c r="A217" s="5"/>
      <c r="B217" s="5"/>
      <c r="E217" s="5"/>
      <c r="F217" s="5"/>
      <c r="G217" s="5"/>
      <c r="H217" s="5"/>
    </row>
    <row r="218" spans="1:8" x14ac:dyDescent="0.25">
      <c r="A218" s="5"/>
      <c r="B218" s="5"/>
      <c r="D218" s="6"/>
      <c r="E218" s="5"/>
      <c r="F218" s="5"/>
      <c r="G218" s="5"/>
      <c r="H218" s="5"/>
    </row>
    <row r="219" spans="1:8" x14ac:dyDescent="0.25">
      <c r="A219" s="5"/>
      <c r="B219" s="5"/>
      <c r="E219" s="5"/>
      <c r="F219" s="5"/>
      <c r="G219" s="5"/>
      <c r="H219" s="5"/>
    </row>
    <row r="220" spans="1:8" x14ac:dyDescent="0.25">
      <c r="A220" s="5"/>
      <c r="B220" s="5"/>
      <c r="D220" s="6"/>
      <c r="E220" s="5"/>
      <c r="F220" s="5"/>
      <c r="G220" s="5"/>
      <c r="H220" s="5"/>
    </row>
    <row r="221" spans="1:8" x14ac:dyDescent="0.25">
      <c r="A221" s="5"/>
      <c r="B221" s="5"/>
      <c r="E221" s="5"/>
      <c r="F221" s="5"/>
      <c r="G221" s="5"/>
      <c r="H221" s="5"/>
    </row>
    <row r="222" spans="1:8" x14ac:dyDescent="0.25">
      <c r="A222" s="5"/>
      <c r="B222" s="5"/>
      <c r="D222" s="6"/>
      <c r="E222" s="5"/>
      <c r="F222" s="5"/>
      <c r="G222" s="5"/>
      <c r="H222" s="5"/>
    </row>
    <row r="223" spans="1:8" x14ac:dyDescent="0.25">
      <c r="A223" s="5"/>
      <c r="B223" s="5"/>
      <c r="E223" s="5"/>
      <c r="F223" s="5"/>
      <c r="G223" s="5"/>
      <c r="H223" s="5"/>
    </row>
    <row r="224" spans="1:8" x14ac:dyDescent="0.25">
      <c r="A224" s="5"/>
      <c r="B224" s="5"/>
      <c r="D224" s="6"/>
      <c r="E224" s="5"/>
      <c r="F224" s="5"/>
      <c r="G224" s="5"/>
      <c r="H224" s="5"/>
    </row>
    <row r="225" spans="1:8" x14ac:dyDescent="0.25">
      <c r="A225" s="5"/>
      <c r="B225" s="5"/>
      <c r="E225" s="5"/>
      <c r="F225" s="5"/>
      <c r="G225" s="5"/>
      <c r="H225" s="5"/>
    </row>
    <row r="226" spans="1:8" x14ac:dyDescent="0.25">
      <c r="A226" s="5"/>
      <c r="B226" s="5"/>
      <c r="D226" s="6"/>
      <c r="E226" s="5"/>
      <c r="F226" s="5"/>
      <c r="G226" s="5"/>
      <c r="H226" s="5"/>
    </row>
    <row r="227" spans="1:8" x14ac:dyDescent="0.25">
      <c r="A227" s="5"/>
      <c r="B227" s="5"/>
      <c r="E227" s="5"/>
      <c r="F227" s="5"/>
      <c r="G227" s="5"/>
      <c r="H227" s="5"/>
    </row>
    <row r="228" spans="1:8" x14ac:dyDescent="0.25">
      <c r="A228" s="5"/>
      <c r="B228" s="5"/>
      <c r="D228" s="6"/>
      <c r="E228" s="5"/>
      <c r="F228" s="5"/>
      <c r="G228" s="5"/>
      <c r="H228" s="5"/>
    </row>
    <row r="229" spans="1:8" x14ac:dyDescent="0.25">
      <c r="A229" s="5"/>
      <c r="B229" s="5"/>
      <c r="E229" s="5"/>
      <c r="F229" s="5"/>
      <c r="G229" s="5"/>
      <c r="H229" s="5"/>
    </row>
    <row r="230" spans="1:8" x14ac:dyDescent="0.25">
      <c r="A230" s="5"/>
      <c r="B230" s="5"/>
      <c r="D230" s="6"/>
      <c r="E230" s="5"/>
      <c r="F230" s="5"/>
      <c r="G230" s="5"/>
      <c r="H230" s="5"/>
    </row>
    <row r="231" spans="1:8" x14ac:dyDescent="0.25">
      <c r="A231" s="5"/>
      <c r="B231" s="5"/>
      <c r="E231" s="5"/>
      <c r="F231" s="5"/>
      <c r="G231" s="5"/>
      <c r="H231" s="5"/>
    </row>
    <row r="232" spans="1:8" x14ac:dyDescent="0.25">
      <c r="A232" s="5"/>
      <c r="B232" s="5"/>
      <c r="D232" s="6"/>
      <c r="E232" s="5"/>
      <c r="F232" s="5"/>
      <c r="G232" s="5"/>
      <c r="H232" s="5"/>
    </row>
    <row r="233" spans="1:8" x14ac:dyDescent="0.25">
      <c r="A233" s="5"/>
      <c r="B233" s="5"/>
      <c r="E233" s="5"/>
      <c r="F233" s="5"/>
      <c r="G233" s="5"/>
      <c r="H233" s="5"/>
    </row>
    <row r="234" spans="1:8" x14ac:dyDescent="0.25">
      <c r="A234" s="5"/>
      <c r="B234" s="5"/>
      <c r="D234" s="6"/>
      <c r="E234" s="5"/>
      <c r="F234" s="5"/>
      <c r="G234" s="5"/>
      <c r="H234" s="5"/>
    </row>
    <row r="235" spans="1:8" x14ac:dyDescent="0.25">
      <c r="A235" s="5"/>
      <c r="B235" s="5"/>
      <c r="E235" s="5"/>
      <c r="F235" s="5"/>
      <c r="G235" s="5"/>
      <c r="H235" s="5"/>
    </row>
    <row r="236" spans="1:8" x14ac:dyDescent="0.25">
      <c r="A236" s="5"/>
      <c r="B236" s="5"/>
      <c r="D236" s="6"/>
      <c r="E236" s="5"/>
      <c r="F236" s="5"/>
      <c r="G236" s="5"/>
      <c r="H236" s="5"/>
    </row>
    <row r="237" spans="1:8" x14ac:dyDescent="0.25">
      <c r="A237" s="5"/>
      <c r="B237" s="5"/>
      <c r="E237" s="5"/>
      <c r="F237" s="5"/>
      <c r="G237" s="5"/>
      <c r="H237" s="5"/>
    </row>
    <row r="238" spans="1:8" x14ac:dyDescent="0.25">
      <c r="A238" s="5"/>
      <c r="B238" s="5"/>
      <c r="D238" s="6"/>
      <c r="E238" s="5"/>
      <c r="F238" s="5"/>
      <c r="G238" s="5"/>
      <c r="H238" s="5"/>
    </row>
    <row r="239" spans="1:8" x14ac:dyDescent="0.25">
      <c r="A239" s="5"/>
      <c r="B239" s="5"/>
      <c r="E239" s="5"/>
      <c r="F239" s="5"/>
      <c r="G239" s="5"/>
      <c r="H239" s="5"/>
    </row>
    <row r="240" spans="1:8" x14ac:dyDescent="0.25">
      <c r="A240" s="5"/>
      <c r="B240" s="5"/>
      <c r="D240" s="6"/>
      <c r="E240" s="5"/>
      <c r="F240" s="5"/>
      <c r="G240" s="5"/>
      <c r="H240" s="5"/>
    </row>
    <row r="241" spans="1:8" x14ac:dyDescent="0.25">
      <c r="A241" s="5"/>
      <c r="B241" s="5"/>
      <c r="E241" s="5"/>
      <c r="F241" s="5"/>
      <c r="G241" s="5"/>
      <c r="H241" s="5"/>
    </row>
    <row r="242" spans="1:8" x14ac:dyDescent="0.25">
      <c r="A242" s="5"/>
      <c r="B242" s="5"/>
      <c r="D242" s="6"/>
      <c r="E242" s="5"/>
      <c r="F242" s="5"/>
      <c r="G242" s="5"/>
      <c r="H242" s="5"/>
    </row>
    <row r="243" spans="1:8" x14ac:dyDescent="0.25">
      <c r="A243" s="5"/>
      <c r="B243" s="5"/>
      <c r="E243" s="5"/>
      <c r="F243" s="5"/>
      <c r="G243" s="5"/>
      <c r="H243" s="5"/>
    </row>
    <row r="244" spans="1:8" x14ac:dyDescent="0.25">
      <c r="A244" s="5"/>
      <c r="B244" s="5"/>
      <c r="D244" s="6"/>
      <c r="E244" s="5"/>
      <c r="F244" s="5"/>
      <c r="G244" s="5"/>
      <c r="H244" s="5"/>
    </row>
    <row r="245" spans="1:8" x14ac:dyDescent="0.25">
      <c r="A245" s="5"/>
      <c r="B245" s="5"/>
      <c r="E245" s="5"/>
      <c r="F245" s="5"/>
      <c r="G245" s="5"/>
      <c r="H245" s="5"/>
    </row>
    <row r="246" spans="1:8" x14ac:dyDescent="0.25">
      <c r="A246" s="5"/>
      <c r="B246" s="5"/>
      <c r="D246" s="6"/>
      <c r="E246" s="5"/>
      <c r="F246" s="5"/>
      <c r="G246" s="5"/>
      <c r="H246" s="5"/>
    </row>
    <row r="247" spans="1:8" x14ac:dyDescent="0.25">
      <c r="A247" s="5"/>
      <c r="B247" s="5"/>
      <c r="E247" s="5"/>
      <c r="F247" s="5"/>
      <c r="G247" s="5"/>
      <c r="H247" s="5"/>
    </row>
    <row r="248" spans="1:8" x14ac:dyDescent="0.25">
      <c r="A248" s="5"/>
      <c r="B248" s="5"/>
      <c r="D248" s="6"/>
      <c r="E248" s="5"/>
      <c r="F248" s="5"/>
      <c r="G248" s="5"/>
      <c r="H248" s="5"/>
    </row>
    <row r="249" spans="1:8" x14ac:dyDescent="0.25">
      <c r="A249" s="5"/>
      <c r="B249" s="5"/>
      <c r="E249" s="5"/>
      <c r="F249" s="5"/>
      <c r="G249" s="5"/>
      <c r="H249" s="5"/>
    </row>
    <row r="250" spans="1:8" x14ac:dyDescent="0.25">
      <c r="A250" s="5"/>
      <c r="B250" s="5"/>
      <c r="D250" s="6"/>
      <c r="E250" s="5"/>
      <c r="F250" s="5"/>
      <c r="G250" s="5"/>
      <c r="H250" s="5"/>
    </row>
    <row r="251" spans="1:8" x14ac:dyDescent="0.25">
      <c r="A251" s="5"/>
      <c r="B251" s="5"/>
      <c r="E251" s="5"/>
      <c r="F251" s="5"/>
      <c r="G251" s="5"/>
      <c r="H251" s="5"/>
    </row>
    <row r="252" spans="1:8" x14ac:dyDescent="0.25">
      <c r="A252" s="5"/>
      <c r="B252" s="5"/>
      <c r="D252" s="6"/>
      <c r="E252" s="5"/>
      <c r="F252" s="5"/>
      <c r="G252" s="5"/>
      <c r="H252" s="5"/>
    </row>
    <row r="253" spans="1:8" x14ac:dyDescent="0.25">
      <c r="A253" s="5"/>
      <c r="B253" s="5"/>
      <c r="E253" s="5"/>
      <c r="F253" s="5"/>
      <c r="G253" s="5"/>
      <c r="H253" s="5"/>
    </row>
    <row r="254" spans="1:8" x14ac:dyDescent="0.25">
      <c r="A254" s="5"/>
      <c r="B254" s="5"/>
      <c r="D254" s="6"/>
      <c r="E254" s="5"/>
      <c r="F254" s="5"/>
      <c r="G254" s="5"/>
      <c r="H254" s="5"/>
    </row>
    <row r="255" spans="1:8" x14ac:dyDescent="0.25">
      <c r="A255" s="5"/>
      <c r="B255" s="5"/>
      <c r="E255" s="5"/>
      <c r="F255" s="5"/>
      <c r="G255" s="5"/>
      <c r="H255" s="5"/>
    </row>
    <row r="256" spans="1:8" x14ac:dyDescent="0.25">
      <c r="A256" s="5"/>
      <c r="B256" s="5"/>
      <c r="D256" s="6"/>
      <c r="E256" s="5"/>
      <c r="F256" s="5"/>
      <c r="G256" s="5"/>
      <c r="H256" s="5"/>
    </row>
    <row r="257" spans="1:8" x14ac:dyDescent="0.25">
      <c r="A257" s="5"/>
      <c r="B257" s="5"/>
      <c r="E257" s="5"/>
      <c r="F257" s="5"/>
      <c r="G257" s="5"/>
      <c r="H257" s="5"/>
    </row>
    <row r="258" spans="1:8" x14ac:dyDescent="0.25">
      <c r="A258" s="5"/>
      <c r="B258" s="5"/>
      <c r="D258" s="6"/>
      <c r="E258" s="5"/>
      <c r="F258" s="5"/>
      <c r="G258" s="5"/>
      <c r="H258" s="5"/>
    </row>
    <row r="259" spans="1:8" x14ac:dyDescent="0.25">
      <c r="A259" s="5"/>
      <c r="B259" s="5"/>
      <c r="E259" s="5"/>
      <c r="F259" s="5"/>
      <c r="G259" s="5"/>
      <c r="H259" s="5"/>
    </row>
    <row r="260" spans="1:8" x14ac:dyDescent="0.25">
      <c r="A260" s="5"/>
      <c r="B260" s="5"/>
      <c r="D260" s="6"/>
      <c r="E260" s="5"/>
      <c r="F260" s="5"/>
      <c r="G260" s="5"/>
      <c r="H260" s="5"/>
    </row>
    <row r="261" spans="1:8" x14ac:dyDescent="0.25">
      <c r="A261" s="5"/>
      <c r="B261" s="5"/>
      <c r="E261" s="5"/>
      <c r="F261" s="5"/>
      <c r="G261" s="5"/>
      <c r="H261" s="5"/>
    </row>
    <row r="262" spans="1:8" x14ac:dyDescent="0.25">
      <c r="A262" s="5"/>
      <c r="B262" s="5"/>
      <c r="D262" s="6"/>
      <c r="E262" s="5"/>
      <c r="F262" s="5"/>
      <c r="G262" s="5"/>
      <c r="H262" s="5"/>
    </row>
    <row r="263" spans="1:8" x14ac:dyDescent="0.25">
      <c r="A263" s="5"/>
      <c r="B263" s="5"/>
      <c r="E263" s="5"/>
      <c r="F263" s="5"/>
      <c r="G263" s="5"/>
      <c r="H263" s="5"/>
    </row>
    <row r="264" spans="1:8" x14ac:dyDescent="0.25">
      <c r="A264" s="5"/>
      <c r="B264" s="5"/>
      <c r="D264" s="6"/>
      <c r="E264" s="5"/>
      <c r="F264" s="5"/>
      <c r="G264" s="5"/>
      <c r="H264" s="5"/>
    </row>
    <row r="265" spans="1:8" x14ac:dyDescent="0.25">
      <c r="A265" s="5"/>
      <c r="B265" s="5"/>
      <c r="E265" s="5"/>
      <c r="F265" s="5"/>
      <c r="G265" s="5"/>
      <c r="H265" s="5"/>
    </row>
    <row r="266" spans="1:8" x14ac:dyDescent="0.25">
      <c r="A266" s="5"/>
      <c r="B266" s="5"/>
      <c r="D266" s="6"/>
      <c r="E266" s="5"/>
      <c r="F266" s="5"/>
      <c r="G266" s="5"/>
      <c r="H266" s="5"/>
    </row>
    <row r="267" spans="1:8" x14ac:dyDescent="0.25">
      <c r="A267" s="5"/>
      <c r="B267" s="5"/>
      <c r="E267" s="5"/>
      <c r="F267" s="5"/>
      <c r="G267" s="5"/>
      <c r="H267" s="5"/>
    </row>
    <row r="268" spans="1:8" x14ac:dyDescent="0.25">
      <c r="A268" s="5"/>
      <c r="B268" s="5"/>
      <c r="D268" s="6"/>
      <c r="E268" s="5"/>
      <c r="F268" s="5"/>
      <c r="G268" s="5"/>
      <c r="H268" s="5"/>
    </row>
    <row r="269" spans="1:8" x14ac:dyDescent="0.25">
      <c r="A269" s="5"/>
      <c r="B269" s="5"/>
      <c r="E269" s="5"/>
      <c r="F269" s="5"/>
      <c r="G269" s="5"/>
      <c r="H269" s="5"/>
    </row>
    <row r="270" spans="1:8" x14ac:dyDescent="0.25">
      <c r="A270" s="5"/>
      <c r="B270" s="5"/>
      <c r="D270" s="6"/>
      <c r="E270" s="5"/>
      <c r="F270" s="5"/>
      <c r="G270" s="5"/>
      <c r="H270" s="5"/>
    </row>
    <row r="271" spans="1:8" x14ac:dyDescent="0.25">
      <c r="A271" s="5"/>
      <c r="B271" s="5"/>
      <c r="E271" s="5"/>
      <c r="F271" s="5"/>
      <c r="G271" s="5"/>
      <c r="H271" s="5"/>
    </row>
    <row r="272" spans="1:8" x14ac:dyDescent="0.25">
      <c r="A272" s="5"/>
      <c r="B272" s="5"/>
      <c r="D272" s="6"/>
      <c r="E272" s="5"/>
      <c r="F272" s="5"/>
      <c r="G272" s="5"/>
      <c r="H272" s="5"/>
    </row>
    <row r="273" spans="1:8" x14ac:dyDescent="0.25">
      <c r="A273" s="5"/>
      <c r="B273" s="5"/>
      <c r="E273" s="5"/>
      <c r="F273" s="5"/>
      <c r="G273" s="5"/>
      <c r="H273" s="5"/>
    </row>
    <row r="274" spans="1:8" x14ac:dyDescent="0.25">
      <c r="A274" s="5"/>
      <c r="B274" s="5"/>
      <c r="D274" s="6"/>
      <c r="E274" s="5"/>
      <c r="F274" s="5"/>
      <c r="G274" s="5"/>
      <c r="H274" s="5"/>
    </row>
    <row r="275" spans="1:8" x14ac:dyDescent="0.25">
      <c r="A275" s="5"/>
      <c r="B275" s="5"/>
      <c r="E275" s="5"/>
      <c r="F275" s="5"/>
      <c r="G275" s="5"/>
      <c r="H275" s="5"/>
    </row>
    <row r="276" spans="1:8" x14ac:dyDescent="0.25">
      <c r="A276" s="5"/>
      <c r="B276" s="5"/>
      <c r="D276" s="6"/>
      <c r="E276" s="5"/>
      <c r="F276" s="5"/>
      <c r="G276" s="5"/>
      <c r="H276" s="5"/>
    </row>
    <row r="277" spans="1:8" x14ac:dyDescent="0.25">
      <c r="A277" s="5"/>
      <c r="B277" s="5"/>
      <c r="E277" s="5"/>
      <c r="F277" s="5"/>
      <c r="G277" s="5"/>
      <c r="H277" s="5"/>
    </row>
    <row r="278" spans="1:8" x14ac:dyDescent="0.25">
      <c r="A278" s="5"/>
      <c r="B278" s="5"/>
      <c r="D278" s="6"/>
      <c r="E278" s="5"/>
      <c r="F278" s="5"/>
      <c r="G278" s="5"/>
      <c r="H278" s="5"/>
    </row>
    <row r="279" spans="1:8" x14ac:dyDescent="0.25">
      <c r="A279" s="5"/>
      <c r="B279" s="5"/>
      <c r="E279" s="5"/>
      <c r="F279" s="5"/>
      <c r="G279" s="5"/>
      <c r="H279" s="5"/>
    </row>
    <row r="280" spans="1:8" x14ac:dyDescent="0.25">
      <c r="A280" s="5"/>
      <c r="B280" s="5"/>
      <c r="D280" s="6"/>
      <c r="E280" s="5"/>
      <c r="F280" s="5"/>
      <c r="G280" s="5"/>
      <c r="H280" s="5"/>
    </row>
    <row r="281" spans="1:8" x14ac:dyDescent="0.25">
      <c r="A281" s="5"/>
      <c r="B281" s="5"/>
      <c r="E281" s="5"/>
      <c r="F281" s="5"/>
      <c r="G281" s="5"/>
      <c r="H281" s="5"/>
    </row>
    <row r="282" spans="1:8" x14ac:dyDescent="0.25">
      <c r="A282" s="5"/>
      <c r="B282" s="5"/>
      <c r="D282" s="6"/>
      <c r="E282" s="5"/>
      <c r="F282" s="5"/>
      <c r="G282" s="5"/>
      <c r="H282" s="5"/>
    </row>
    <row r="283" spans="1:8" x14ac:dyDescent="0.25">
      <c r="A283" s="5"/>
      <c r="B283" s="5"/>
      <c r="E283" s="5"/>
      <c r="F283" s="5"/>
      <c r="G283" s="5"/>
      <c r="H283" s="5"/>
    </row>
    <row r="284" spans="1:8" x14ac:dyDescent="0.25">
      <c r="A284" s="5"/>
      <c r="B284" s="5"/>
      <c r="D284" s="6"/>
      <c r="E284" s="5"/>
      <c r="F284" s="5"/>
      <c r="G284" s="5"/>
      <c r="H284" s="5"/>
    </row>
    <row r="285" spans="1:8" x14ac:dyDescent="0.25">
      <c r="A285" s="5"/>
      <c r="B285" s="5"/>
      <c r="E285" s="5"/>
      <c r="F285" s="5"/>
      <c r="G285" s="5"/>
      <c r="H285" s="5"/>
    </row>
    <row r="286" spans="1:8" x14ac:dyDescent="0.25">
      <c r="A286" s="5"/>
      <c r="B286" s="5"/>
      <c r="D286" s="6"/>
      <c r="E286" s="5"/>
      <c r="F286" s="5"/>
      <c r="G286" s="5"/>
      <c r="H286" s="5"/>
    </row>
    <row r="287" spans="1:8" x14ac:dyDescent="0.25">
      <c r="A287" s="5"/>
      <c r="B287" s="5"/>
      <c r="E287" s="5"/>
      <c r="F287" s="5"/>
      <c r="G287" s="5"/>
      <c r="H287" s="5"/>
    </row>
    <row r="288" spans="1:8" x14ac:dyDescent="0.25">
      <c r="A288" s="5"/>
      <c r="B288" s="5"/>
      <c r="D288" s="6"/>
      <c r="E288" s="5"/>
      <c r="F288" s="5"/>
      <c r="G288" s="5"/>
      <c r="H288" s="5"/>
    </row>
    <row r="289" spans="1:8" x14ac:dyDescent="0.25">
      <c r="A289" s="5"/>
      <c r="B289" s="5"/>
      <c r="E289" s="5"/>
      <c r="F289" s="5"/>
      <c r="G289" s="5"/>
      <c r="H289" s="5"/>
    </row>
    <row r="290" spans="1:8" x14ac:dyDescent="0.25">
      <c r="A290" s="5"/>
      <c r="B290" s="5"/>
      <c r="D290" s="6"/>
      <c r="E290" s="5"/>
      <c r="F290" s="5"/>
      <c r="G290" s="5"/>
      <c r="H290" s="5"/>
    </row>
    <row r="291" spans="1:8" x14ac:dyDescent="0.25">
      <c r="A291" s="5"/>
      <c r="B291" s="5"/>
      <c r="E291" s="5"/>
      <c r="F291" s="5"/>
      <c r="G291" s="5"/>
      <c r="H291" s="5"/>
    </row>
    <row r="292" spans="1:8" x14ac:dyDescent="0.25">
      <c r="A292" s="5"/>
      <c r="B292" s="5"/>
      <c r="D292" s="6"/>
      <c r="E292" s="5"/>
      <c r="F292" s="5"/>
      <c r="G292" s="5"/>
      <c r="H292" s="5"/>
    </row>
    <row r="293" spans="1:8" x14ac:dyDescent="0.25">
      <c r="A293" s="5"/>
      <c r="B293" s="5"/>
      <c r="E293" s="5"/>
      <c r="F293" s="5"/>
      <c r="G293" s="5"/>
      <c r="H293" s="5"/>
    </row>
    <row r="294" spans="1:8" x14ac:dyDescent="0.25">
      <c r="A294" s="5"/>
      <c r="B294" s="5"/>
      <c r="D294" s="6"/>
      <c r="E294" s="5"/>
      <c r="F294" s="5"/>
      <c r="G294" s="5"/>
      <c r="H294" s="5"/>
    </row>
    <row r="295" spans="1:8" x14ac:dyDescent="0.25">
      <c r="A295" s="5"/>
      <c r="B295" s="5"/>
      <c r="E295" s="5"/>
      <c r="F295" s="5"/>
      <c r="G295" s="5"/>
      <c r="H295" s="5"/>
    </row>
    <row r="296" spans="1:8" x14ac:dyDescent="0.25">
      <c r="A296" s="5"/>
      <c r="B296" s="5"/>
      <c r="D296" s="6"/>
      <c r="E296" s="5"/>
      <c r="F296" s="5"/>
      <c r="G296" s="5"/>
      <c r="H296" s="5"/>
    </row>
    <row r="297" spans="1:8" x14ac:dyDescent="0.25">
      <c r="A297" s="5"/>
      <c r="B297" s="5"/>
      <c r="E297" s="5"/>
      <c r="F297" s="5"/>
      <c r="G297" s="5"/>
      <c r="H297" s="5"/>
    </row>
    <row r="298" spans="1:8" x14ac:dyDescent="0.25">
      <c r="A298" s="5"/>
      <c r="B298" s="5"/>
      <c r="D298" s="6"/>
      <c r="E298" s="5"/>
      <c r="F298" s="5"/>
      <c r="G298" s="5"/>
      <c r="H298" s="5"/>
    </row>
    <row r="299" spans="1:8" x14ac:dyDescent="0.25">
      <c r="A299" s="5"/>
      <c r="B299" s="5"/>
      <c r="E299" s="5"/>
      <c r="F299" s="5"/>
      <c r="G299" s="5"/>
      <c r="H299" s="5"/>
    </row>
    <row r="300" spans="1:8" x14ac:dyDescent="0.25">
      <c r="A300" s="5"/>
      <c r="B300" s="5"/>
      <c r="D300" s="6"/>
      <c r="E300" s="5"/>
      <c r="F300" s="5"/>
      <c r="G300" s="5"/>
      <c r="H300" s="5"/>
    </row>
    <row r="301" spans="1:8" x14ac:dyDescent="0.25">
      <c r="A301" s="5"/>
      <c r="B301" s="5"/>
      <c r="E301" s="5"/>
      <c r="F301" s="5"/>
      <c r="G301" s="5"/>
      <c r="H301" s="5"/>
    </row>
    <row r="302" spans="1:8" x14ac:dyDescent="0.25">
      <c r="A302" s="5"/>
      <c r="B302" s="5"/>
      <c r="D302" s="6"/>
      <c r="E302" s="5"/>
      <c r="F302" s="5"/>
      <c r="G302" s="5"/>
      <c r="H302" s="5"/>
    </row>
    <row r="303" spans="1:8" x14ac:dyDescent="0.25">
      <c r="A303" s="5"/>
      <c r="B303" s="5"/>
      <c r="E303" s="5"/>
      <c r="F303" s="5"/>
      <c r="G303" s="5"/>
      <c r="H303" s="5"/>
    </row>
    <row r="304" spans="1:8" x14ac:dyDescent="0.25">
      <c r="A304" s="5"/>
      <c r="B304" s="5"/>
      <c r="D304" s="6"/>
      <c r="E304" s="5"/>
      <c r="F304" s="5"/>
      <c r="G304" s="5"/>
      <c r="H304" s="5"/>
    </row>
    <row r="305" spans="1:8" x14ac:dyDescent="0.25">
      <c r="A305" s="5"/>
      <c r="B305" s="5"/>
      <c r="E305" s="5"/>
      <c r="F305" s="5"/>
      <c r="G305" s="5"/>
      <c r="H305" s="5"/>
    </row>
    <row r="306" spans="1:8" x14ac:dyDescent="0.25">
      <c r="A306" s="5"/>
      <c r="B306" s="5"/>
      <c r="D306" s="6"/>
      <c r="E306" s="5"/>
      <c r="F306" s="5"/>
      <c r="G306" s="5"/>
      <c r="H306" s="5"/>
    </row>
    <row r="307" spans="1:8" x14ac:dyDescent="0.25">
      <c r="A307" s="5"/>
      <c r="B307" s="5"/>
      <c r="E307" s="5"/>
      <c r="F307" s="5"/>
      <c r="G307" s="5"/>
      <c r="H307" s="5"/>
    </row>
    <row r="308" spans="1:8" x14ac:dyDescent="0.25">
      <c r="A308" s="5"/>
      <c r="B308" s="5"/>
      <c r="D308" s="6"/>
      <c r="E308" s="5"/>
      <c r="F308" s="5"/>
      <c r="G308" s="5"/>
      <c r="H308" s="5"/>
    </row>
    <row r="309" spans="1:8" x14ac:dyDescent="0.25">
      <c r="A309" s="5"/>
      <c r="B309" s="5"/>
      <c r="E309" s="5"/>
      <c r="F309" s="5"/>
      <c r="G309" s="5"/>
      <c r="H309" s="5"/>
    </row>
    <row r="310" spans="1:8" x14ac:dyDescent="0.25">
      <c r="A310" s="5"/>
      <c r="B310" s="5"/>
      <c r="D310" s="6"/>
      <c r="E310" s="5"/>
      <c r="F310" s="5"/>
      <c r="G310" s="5"/>
      <c r="H310" s="5"/>
    </row>
    <row r="311" spans="1:8" x14ac:dyDescent="0.25">
      <c r="A311" s="5"/>
      <c r="B311" s="5"/>
      <c r="E311" s="5"/>
      <c r="F311" s="5"/>
      <c r="G311" s="5"/>
      <c r="H311" s="5"/>
    </row>
    <row r="312" spans="1:8" x14ac:dyDescent="0.25">
      <c r="A312" s="5"/>
      <c r="B312" s="5"/>
      <c r="D312" s="6"/>
      <c r="E312" s="5"/>
      <c r="F312" s="5"/>
      <c r="G312" s="5"/>
      <c r="H312" s="5"/>
    </row>
    <row r="313" spans="1:8" x14ac:dyDescent="0.25">
      <c r="A313" s="5"/>
      <c r="B313" s="5"/>
      <c r="E313" s="5"/>
      <c r="F313" s="5"/>
      <c r="G313" s="5"/>
      <c r="H313" s="5"/>
    </row>
    <row r="314" spans="1:8" x14ac:dyDescent="0.25">
      <c r="A314" s="5"/>
      <c r="B314" s="5"/>
      <c r="D314" s="6"/>
      <c r="E314" s="5"/>
      <c r="F314" s="5"/>
      <c r="G314" s="5"/>
      <c r="H314" s="5"/>
    </row>
    <row r="315" spans="1:8" x14ac:dyDescent="0.25">
      <c r="A315" s="5"/>
      <c r="B315" s="5"/>
      <c r="E315" s="5"/>
      <c r="F315" s="5"/>
      <c r="G315" s="5"/>
      <c r="H315" s="5"/>
    </row>
    <row r="316" spans="1:8" x14ac:dyDescent="0.25">
      <c r="A316" s="5"/>
      <c r="B316" s="5"/>
      <c r="D316" s="6"/>
      <c r="E316" s="5"/>
      <c r="F316" s="5"/>
      <c r="G316" s="5"/>
      <c r="H316" s="5"/>
    </row>
    <row r="317" spans="1:8" x14ac:dyDescent="0.25">
      <c r="A317" s="5"/>
      <c r="B317" s="5"/>
      <c r="E317" s="5"/>
      <c r="F317" s="5"/>
      <c r="G317" s="5"/>
      <c r="H317" s="5"/>
    </row>
    <row r="318" spans="1:8" x14ac:dyDescent="0.25">
      <c r="A318" s="5"/>
      <c r="B318" s="5"/>
      <c r="D318" s="6"/>
      <c r="E318" s="5"/>
      <c r="F318" s="5"/>
      <c r="G318" s="5"/>
      <c r="H318" s="5"/>
    </row>
    <row r="319" spans="1:8" x14ac:dyDescent="0.25">
      <c r="A319" s="5"/>
      <c r="B319" s="5"/>
      <c r="E319" s="5"/>
      <c r="F319" s="5"/>
      <c r="G319" s="5"/>
      <c r="H319" s="5"/>
    </row>
    <row r="320" spans="1:8" x14ac:dyDescent="0.25">
      <c r="A320" s="5"/>
      <c r="B320" s="5"/>
      <c r="D320" s="6"/>
      <c r="E320" s="5"/>
      <c r="F320" s="5"/>
      <c r="G320" s="5"/>
      <c r="H320" s="5"/>
    </row>
    <row r="321" spans="1:8" x14ac:dyDescent="0.25">
      <c r="A321" s="5"/>
      <c r="B321" s="5"/>
      <c r="E321" s="5"/>
      <c r="F321" s="5"/>
      <c r="G321" s="5"/>
      <c r="H321" s="5"/>
    </row>
    <row r="322" spans="1:8" x14ac:dyDescent="0.25">
      <c r="A322" s="5"/>
      <c r="B322" s="5"/>
      <c r="D322" s="6"/>
      <c r="E322" s="5"/>
      <c r="F322" s="5"/>
      <c r="G322" s="5"/>
      <c r="H322" s="5"/>
    </row>
    <row r="323" spans="1:8" x14ac:dyDescent="0.25">
      <c r="A323" s="5"/>
      <c r="B323" s="5"/>
      <c r="E323" s="5"/>
      <c r="F323" s="5"/>
      <c r="G323" s="5"/>
      <c r="H323" s="5"/>
    </row>
    <row r="324" spans="1:8" x14ac:dyDescent="0.25">
      <c r="A324" s="5"/>
      <c r="B324" s="5"/>
      <c r="D324" s="6"/>
      <c r="E324" s="5"/>
      <c r="F324" s="5"/>
      <c r="G324" s="5"/>
      <c r="H324" s="5"/>
    </row>
    <row r="325" spans="1:8" x14ac:dyDescent="0.25">
      <c r="A325" s="5"/>
      <c r="B325" s="5"/>
      <c r="E325" s="5"/>
      <c r="F325" s="5"/>
      <c r="G325" s="5"/>
      <c r="H325" s="5"/>
    </row>
    <row r="326" spans="1:8" x14ac:dyDescent="0.25">
      <c r="A326" s="5"/>
      <c r="B326" s="5"/>
      <c r="D326" s="6"/>
      <c r="E326" s="5"/>
      <c r="F326" s="5"/>
      <c r="G326" s="5"/>
      <c r="H326" s="5"/>
    </row>
    <row r="327" spans="1:8" x14ac:dyDescent="0.25">
      <c r="A327" s="5"/>
      <c r="B327" s="5"/>
      <c r="E327" s="5"/>
      <c r="F327" s="5"/>
      <c r="G327" s="5"/>
      <c r="H327" s="5"/>
    </row>
    <row r="328" spans="1:8" x14ac:dyDescent="0.25">
      <c r="A328" s="5"/>
      <c r="B328" s="5"/>
      <c r="D328" s="6"/>
      <c r="E328" s="5"/>
      <c r="F328" s="5"/>
      <c r="G328" s="5"/>
      <c r="H328" s="5"/>
    </row>
    <row r="329" spans="1:8" x14ac:dyDescent="0.25">
      <c r="A329" s="5"/>
      <c r="B329" s="5"/>
      <c r="E329" s="5"/>
      <c r="F329" s="5"/>
      <c r="G329" s="5"/>
      <c r="H329" s="5"/>
    </row>
    <row r="330" spans="1:8" x14ac:dyDescent="0.25">
      <c r="A330" s="5"/>
      <c r="B330" s="5"/>
      <c r="D330" s="6"/>
      <c r="E330" s="5"/>
      <c r="F330" s="5"/>
      <c r="G330" s="5"/>
      <c r="H330" s="5"/>
    </row>
    <row r="331" spans="1:8" x14ac:dyDescent="0.25">
      <c r="A331" s="5"/>
      <c r="B331" s="5"/>
      <c r="E331" s="5"/>
      <c r="F331" s="5"/>
      <c r="G331" s="5"/>
      <c r="H331" s="5"/>
    </row>
    <row r="332" spans="1:8" x14ac:dyDescent="0.25">
      <c r="A332" s="5"/>
      <c r="B332" s="5"/>
      <c r="D332" s="6"/>
      <c r="E332" s="5"/>
      <c r="F332" s="5"/>
      <c r="G332" s="5"/>
      <c r="H332" s="5"/>
    </row>
    <row r="333" spans="1:8" x14ac:dyDescent="0.25">
      <c r="A333" s="5"/>
      <c r="B333" s="5"/>
      <c r="E333" s="5"/>
      <c r="F333" s="5"/>
      <c r="G333" s="5"/>
      <c r="H333" s="5"/>
    </row>
    <row r="334" spans="1:8" x14ac:dyDescent="0.25">
      <c r="A334" s="5"/>
      <c r="B334" s="5"/>
      <c r="D334" s="6"/>
      <c r="E334" s="5"/>
      <c r="F334" s="5"/>
      <c r="G334" s="5"/>
      <c r="H334" s="5"/>
    </row>
    <row r="335" spans="1:8" x14ac:dyDescent="0.25">
      <c r="A335" s="5"/>
      <c r="B335" s="5"/>
      <c r="E335" s="5"/>
      <c r="F335" s="5"/>
      <c r="G335" s="5"/>
      <c r="H335" s="5"/>
    </row>
    <row r="336" spans="1:8" x14ac:dyDescent="0.25">
      <c r="A336" s="5"/>
      <c r="B336" s="5"/>
      <c r="D336" s="6"/>
      <c r="E336" s="5"/>
      <c r="F336" s="5"/>
      <c r="G336" s="5"/>
      <c r="H336" s="5"/>
    </row>
    <row r="337" spans="1:8" x14ac:dyDescent="0.25">
      <c r="A337" s="5"/>
      <c r="B337" s="5"/>
      <c r="E337" s="5"/>
      <c r="F337" s="5"/>
      <c r="G337" s="5"/>
      <c r="H337" s="5"/>
    </row>
    <row r="338" spans="1:8" x14ac:dyDescent="0.25">
      <c r="A338" s="5"/>
      <c r="B338" s="5"/>
      <c r="D338" s="6"/>
      <c r="E338" s="5"/>
      <c r="F338" s="5"/>
      <c r="G338" s="5"/>
      <c r="H338" s="5"/>
    </row>
    <row r="339" spans="1:8" x14ac:dyDescent="0.25">
      <c r="A339" s="5"/>
      <c r="B339" s="5"/>
      <c r="E339" s="5"/>
      <c r="F339" s="5"/>
      <c r="G339" s="5"/>
      <c r="H339" s="5"/>
    </row>
    <row r="340" spans="1:8" x14ac:dyDescent="0.25">
      <c r="A340" s="5"/>
      <c r="B340" s="5"/>
      <c r="D340" s="6"/>
      <c r="E340" s="5"/>
      <c r="F340" s="5"/>
      <c r="G340" s="5"/>
      <c r="H340" s="5"/>
    </row>
    <row r="341" spans="1:8" x14ac:dyDescent="0.25">
      <c r="A341" s="5"/>
      <c r="B341" s="5"/>
      <c r="E341" s="5"/>
      <c r="F341" s="5"/>
      <c r="G341" s="5"/>
      <c r="H341" s="5"/>
    </row>
    <row r="342" spans="1:8" x14ac:dyDescent="0.25">
      <c r="A342" s="5"/>
      <c r="B342" s="5"/>
      <c r="D342" s="6"/>
      <c r="E342" s="5"/>
      <c r="F342" s="5"/>
      <c r="G342" s="5"/>
      <c r="H342" s="5"/>
    </row>
    <row r="343" spans="1:8" x14ac:dyDescent="0.25">
      <c r="A343" s="5"/>
      <c r="B343" s="5"/>
      <c r="E343" s="5"/>
      <c r="F343" s="5"/>
      <c r="G343" s="5"/>
      <c r="H343" s="5"/>
    </row>
    <row r="344" spans="1:8" x14ac:dyDescent="0.25">
      <c r="A344" s="5"/>
      <c r="B344" s="5"/>
      <c r="D344" s="6"/>
      <c r="E344" s="5"/>
      <c r="F344" s="5"/>
      <c r="G344" s="5"/>
      <c r="H344" s="5"/>
    </row>
    <row r="345" spans="1:8" x14ac:dyDescent="0.25">
      <c r="A345" s="5"/>
      <c r="B345" s="5"/>
      <c r="E345" s="5"/>
      <c r="F345" s="5"/>
      <c r="G345" s="5"/>
      <c r="H345" s="5"/>
    </row>
    <row r="346" spans="1:8" x14ac:dyDescent="0.25">
      <c r="A346" s="5"/>
      <c r="B346" s="5"/>
      <c r="D346" s="6"/>
      <c r="E346" s="5"/>
      <c r="F346" s="5"/>
      <c r="G346" s="5"/>
      <c r="H346" s="5"/>
    </row>
    <row r="347" spans="1:8" x14ac:dyDescent="0.25">
      <c r="A347" s="5"/>
      <c r="B347" s="5"/>
      <c r="E347" s="5"/>
      <c r="F347" s="5"/>
      <c r="G347" s="5"/>
      <c r="H347" s="5"/>
    </row>
    <row r="348" spans="1:8" x14ac:dyDescent="0.25">
      <c r="A348" s="5"/>
      <c r="B348" s="5"/>
      <c r="D348" s="6"/>
      <c r="E348" s="5"/>
      <c r="F348" s="5"/>
      <c r="G348" s="5"/>
      <c r="H348" s="5"/>
    </row>
    <row r="349" spans="1:8" x14ac:dyDescent="0.25">
      <c r="A349" s="5"/>
      <c r="B349" s="5"/>
      <c r="E349" s="5"/>
      <c r="F349" s="5"/>
      <c r="G349" s="5"/>
      <c r="H349" s="5"/>
    </row>
    <row r="350" spans="1:8" x14ac:dyDescent="0.25">
      <c r="A350" s="5"/>
      <c r="B350" s="5"/>
      <c r="D350" s="6"/>
      <c r="E350" s="5"/>
      <c r="F350" s="5"/>
      <c r="G350" s="5"/>
      <c r="H350" s="5"/>
    </row>
    <row r="351" spans="1:8" x14ac:dyDescent="0.25">
      <c r="A351" s="5"/>
      <c r="B351" s="5"/>
      <c r="E351" s="5"/>
      <c r="F351" s="5"/>
      <c r="G351" s="5"/>
      <c r="H351" s="5"/>
    </row>
    <row r="352" spans="1:8" x14ac:dyDescent="0.25">
      <c r="A352" s="5"/>
      <c r="B352" s="5"/>
      <c r="D352" s="6"/>
      <c r="E352" s="5"/>
      <c r="F352" s="5"/>
      <c r="G352" s="5"/>
      <c r="H352" s="5"/>
    </row>
    <row r="353" spans="1:8" x14ac:dyDescent="0.25">
      <c r="A353" s="5"/>
      <c r="B353" s="5"/>
      <c r="E353" s="5"/>
      <c r="F353" s="5"/>
      <c r="G353" s="5"/>
      <c r="H353" s="5"/>
    </row>
    <row r="354" spans="1:8" x14ac:dyDescent="0.25">
      <c r="A354" s="5"/>
      <c r="B354" s="5"/>
      <c r="D354" s="6"/>
      <c r="E354" s="5"/>
      <c r="F354" s="5"/>
      <c r="G354" s="5"/>
      <c r="H354" s="5"/>
    </row>
    <row r="355" spans="1:8" x14ac:dyDescent="0.25">
      <c r="A355" s="5"/>
      <c r="B355" s="5"/>
      <c r="E355" s="5"/>
      <c r="F355" s="5"/>
      <c r="G355" s="5"/>
      <c r="H355" s="5"/>
    </row>
    <row r="356" spans="1:8" x14ac:dyDescent="0.25">
      <c r="A356" s="5"/>
      <c r="B356" s="5"/>
      <c r="D356" s="6"/>
      <c r="E356" s="5"/>
      <c r="F356" s="5"/>
      <c r="G356" s="5"/>
      <c r="H356" s="5"/>
    </row>
    <row r="357" spans="1:8" x14ac:dyDescent="0.25">
      <c r="A357" s="5"/>
      <c r="B357" s="5"/>
      <c r="E357" s="5"/>
      <c r="F357" s="5"/>
      <c r="G357" s="5"/>
      <c r="H357" s="5"/>
    </row>
    <row r="358" spans="1:8" x14ac:dyDescent="0.25">
      <c r="A358" s="5"/>
      <c r="B358" s="5"/>
      <c r="D358" s="6"/>
      <c r="E358" s="5"/>
      <c r="F358" s="5"/>
      <c r="G358" s="5"/>
      <c r="H358" s="5"/>
    </row>
    <row r="359" spans="1:8" x14ac:dyDescent="0.25">
      <c r="A359" s="5"/>
      <c r="B359" s="5"/>
      <c r="E359" s="5"/>
      <c r="F359" s="5"/>
      <c r="G359" s="5"/>
      <c r="H359" s="5"/>
    </row>
    <row r="360" spans="1:8" x14ac:dyDescent="0.25">
      <c r="A360" s="5"/>
      <c r="B360" s="5"/>
      <c r="D360" s="6"/>
      <c r="E360" s="5"/>
      <c r="F360" s="5"/>
      <c r="G360" s="5"/>
      <c r="H360" s="5"/>
    </row>
    <row r="361" spans="1:8" x14ac:dyDescent="0.25">
      <c r="A361" s="5"/>
      <c r="B361" s="5"/>
      <c r="E361" s="5"/>
      <c r="F361" s="5"/>
      <c r="G361" s="5"/>
      <c r="H361" s="5"/>
    </row>
    <row r="362" spans="1:8" x14ac:dyDescent="0.25">
      <c r="A362" s="5"/>
      <c r="B362" s="5"/>
      <c r="D362" s="6"/>
      <c r="E362" s="5"/>
      <c r="F362" s="5"/>
      <c r="G362" s="5"/>
      <c r="H362" s="5"/>
    </row>
    <row r="363" spans="1:8" x14ac:dyDescent="0.25">
      <c r="A363" s="5"/>
      <c r="B363" s="5"/>
      <c r="E363" s="5"/>
      <c r="F363" s="5"/>
      <c r="G363" s="5"/>
      <c r="H363" s="5"/>
    </row>
    <row r="364" spans="1:8" x14ac:dyDescent="0.25">
      <c r="A364" s="5"/>
      <c r="B364" s="5"/>
      <c r="D364" s="6"/>
      <c r="E364" s="5"/>
      <c r="F364" s="5"/>
      <c r="G364" s="5"/>
      <c r="H364" s="5"/>
    </row>
    <row r="365" spans="1:8" x14ac:dyDescent="0.25">
      <c r="A365" s="5"/>
      <c r="B365" s="5"/>
      <c r="E365" s="5"/>
      <c r="F365" s="5"/>
      <c r="G365" s="5"/>
      <c r="H365" s="5"/>
    </row>
    <row r="366" spans="1:8" x14ac:dyDescent="0.25">
      <c r="A366" s="5"/>
      <c r="B366" s="5"/>
      <c r="D366" s="6"/>
      <c r="E366" s="5"/>
      <c r="F366" s="5"/>
      <c r="G366" s="5"/>
      <c r="H366" s="5"/>
    </row>
    <row r="367" spans="1:8" x14ac:dyDescent="0.25">
      <c r="A367" s="5"/>
      <c r="B367" s="5"/>
      <c r="E367" s="5"/>
      <c r="F367" s="5"/>
      <c r="G367" s="5"/>
      <c r="H367" s="5"/>
    </row>
    <row r="368" spans="1:8" x14ac:dyDescent="0.25">
      <c r="A368" s="5"/>
      <c r="B368" s="5"/>
      <c r="D368" s="6"/>
      <c r="E368" s="5"/>
      <c r="F368" s="5"/>
      <c r="G368" s="5"/>
      <c r="H368" s="5"/>
    </row>
    <row r="369" spans="1:8" x14ac:dyDescent="0.25">
      <c r="A369" s="5"/>
      <c r="B369" s="5"/>
      <c r="E369" s="5"/>
      <c r="F369" s="5"/>
      <c r="G369" s="5"/>
      <c r="H369" s="5"/>
    </row>
    <row r="370" spans="1:8" x14ac:dyDescent="0.25">
      <c r="A370" s="5"/>
      <c r="B370" s="5"/>
      <c r="D370" s="6"/>
      <c r="E370" s="5"/>
      <c r="F370" s="5"/>
      <c r="G370" s="5"/>
      <c r="H370" s="5"/>
    </row>
    <row r="371" spans="1:8" x14ac:dyDescent="0.25">
      <c r="A371" s="5"/>
      <c r="B371" s="5"/>
      <c r="E371" s="5"/>
      <c r="F371" s="5"/>
      <c r="G371" s="5"/>
      <c r="H371" s="5"/>
    </row>
    <row r="372" spans="1:8" x14ac:dyDescent="0.25">
      <c r="A372" s="5"/>
      <c r="B372" s="5"/>
      <c r="D372" s="6"/>
      <c r="E372" s="5"/>
      <c r="F372" s="5"/>
      <c r="G372" s="5"/>
      <c r="H372" s="5"/>
    </row>
    <row r="373" spans="1:8" x14ac:dyDescent="0.25">
      <c r="A373" s="5"/>
      <c r="B373" s="5"/>
      <c r="E373" s="5"/>
      <c r="F373" s="5"/>
      <c r="G373" s="5"/>
      <c r="H373" s="5"/>
    </row>
    <row r="374" spans="1:8" x14ac:dyDescent="0.25">
      <c r="A374" s="5"/>
      <c r="B374" s="5"/>
      <c r="D374" s="6"/>
      <c r="E374" s="5"/>
      <c r="F374" s="5"/>
      <c r="G374" s="5"/>
      <c r="H374" s="5"/>
    </row>
    <row r="375" spans="1:8" x14ac:dyDescent="0.25">
      <c r="A375" s="5"/>
      <c r="B375" s="5"/>
      <c r="E375" s="5"/>
      <c r="F375" s="5"/>
      <c r="G375" s="5"/>
      <c r="H375" s="5"/>
    </row>
    <row r="376" spans="1:8" x14ac:dyDescent="0.25">
      <c r="A376" s="5"/>
      <c r="B376" s="5"/>
      <c r="D376" s="6"/>
      <c r="E376" s="5"/>
      <c r="F376" s="5"/>
      <c r="G376" s="5"/>
      <c r="H376" s="5"/>
    </row>
    <row r="377" spans="1:8" x14ac:dyDescent="0.25">
      <c r="A377" s="5"/>
      <c r="B377" s="5"/>
      <c r="E377" s="5"/>
      <c r="F377" s="5"/>
      <c r="G377" s="5"/>
      <c r="H377" s="5"/>
    </row>
    <row r="378" spans="1:8" x14ac:dyDescent="0.25">
      <c r="A378" s="5"/>
      <c r="B378" s="5"/>
      <c r="D378" s="6"/>
      <c r="E378" s="5"/>
      <c r="F378" s="5"/>
      <c r="G378" s="5"/>
      <c r="H378" s="5"/>
    </row>
    <row r="379" spans="1:8" x14ac:dyDescent="0.25">
      <c r="A379" s="5"/>
      <c r="B379" s="5"/>
      <c r="E379" s="5"/>
      <c r="F379" s="5"/>
      <c r="G379" s="5"/>
      <c r="H379" s="5"/>
    </row>
    <row r="380" spans="1:8" x14ac:dyDescent="0.25">
      <c r="A380" s="5"/>
      <c r="B380" s="5"/>
      <c r="D380" s="6"/>
      <c r="E380" s="5"/>
      <c r="F380" s="5"/>
      <c r="G380" s="5"/>
      <c r="H380" s="5"/>
    </row>
    <row r="381" spans="1:8" x14ac:dyDescent="0.25">
      <c r="A381" s="5"/>
      <c r="B381" s="5"/>
      <c r="E381" s="5"/>
      <c r="F381" s="5"/>
      <c r="G381" s="5"/>
      <c r="H381" s="5"/>
    </row>
    <row r="382" spans="1:8" x14ac:dyDescent="0.25">
      <c r="A382" s="5"/>
      <c r="B382" s="5"/>
      <c r="D382" s="6"/>
      <c r="E382" s="5"/>
      <c r="F382" s="5"/>
      <c r="G382" s="5"/>
      <c r="H382" s="5"/>
    </row>
    <row r="383" spans="1:8" x14ac:dyDescent="0.25">
      <c r="A383" s="5"/>
      <c r="B383" s="5"/>
      <c r="E383" s="5"/>
      <c r="F383" s="5"/>
      <c r="G383" s="5"/>
      <c r="H383" s="5"/>
    </row>
    <row r="384" spans="1:8" x14ac:dyDescent="0.25">
      <c r="A384" s="5"/>
      <c r="B384" s="5"/>
      <c r="D384" s="6"/>
      <c r="E384" s="5"/>
      <c r="F384" s="5"/>
      <c r="G384" s="5"/>
      <c r="H384" s="5"/>
    </row>
    <row r="385" spans="1:8" x14ac:dyDescent="0.25">
      <c r="A385" s="5"/>
      <c r="B385" s="5"/>
      <c r="E385" s="5"/>
      <c r="F385" s="5"/>
      <c r="G385" s="5"/>
      <c r="H385" s="5"/>
    </row>
    <row r="386" spans="1:8" x14ac:dyDescent="0.25">
      <c r="A386" s="5"/>
      <c r="B386" s="5"/>
      <c r="D386" s="6"/>
      <c r="E386" s="5"/>
      <c r="F386" s="5"/>
      <c r="G386" s="5"/>
      <c r="H386" s="5"/>
    </row>
    <row r="387" spans="1:8" x14ac:dyDescent="0.25">
      <c r="A387" s="5"/>
      <c r="B387" s="5"/>
      <c r="E387" s="5"/>
      <c r="F387" s="5"/>
      <c r="G387" s="5"/>
      <c r="H387" s="5"/>
    </row>
    <row r="388" spans="1:8" x14ac:dyDescent="0.25">
      <c r="A388" s="5"/>
      <c r="B388" s="5"/>
      <c r="D388" s="6"/>
      <c r="E388" s="5"/>
      <c r="F388" s="5"/>
      <c r="G388" s="5"/>
      <c r="H388" s="5"/>
    </row>
    <row r="389" spans="1:8" x14ac:dyDescent="0.25">
      <c r="A389" s="5"/>
      <c r="B389" s="5"/>
      <c r="E389" s="5"/>
      <c r="F389" s="5"/>
      <c r="G389" s="5"/>
      <c r="H389" s="5"/>
    </row>
    <row r="390" spans="1:8" x14ac:dyDescent="0.25">
      <c r="A390" s="5"/>
      <c r="B390" s="5"/>
      <c r="D390" s="6"/>
      <c r="E390" s="5"/>
      <c r="F390" s="5"/>
      <c r="G390" s="5"/>
      <c r="H390" s="5"/>
    </row>
    <row r="391" spans="1:8" x14ac:dyDescent="0.25">
      <c r="A391" s="5"/>
      <c r="B391" s="5"/>
      <c r="E391" s="5"/>
      <c r="F391" s="5"/>
      <c r="G391" s="5"/>
      <c r="H391" s="5"/>
    </row>
    <row r="392" spans="1:8" x14ac:dyDescent="0.25">
      <c r="A392" s="5"/>
      <c r="B392" s="5"/>
      <c r="D392" s="6"/>
      <c r="E392" s="5"/>
      <c r="F392" s="5"/>
      <c r="G392" s="5"/>
      <c r="H392" s="5"/>
    </row>
    <row r="393" spans="1:8" x14ac:dyDescent="0.25">
      <c r="A393" s="5"/>
      <c r="B393" s="5"/>
      <c r="E393" s="5"/>
      <c r="F393" s="5"/>
      <c r="G393" s="5"/>
      <c r="H393" s="5"/>
    </row>
    <row r="394" spans="1:8" x14ac:dyDescent="0.25">
      <c r="A394" s="5"/>
      <c r="B394" s="5"/>
      <c r="D394" s="6"/>
      <c r="E394" s="5"/>
      <c r="F394" s="5"/>
      <c r="G394" s="5"/>
      <c r="H394" s="5"/>
    </row>
    <row r="395" spans="1:8" x14ac:dyDescent="0.25">
      <c r="A395" s="5"/>
      <c r="B395" s="5"/>
      <c r="E395" s="5"/>
      <c r="F395" s="5"/>
      <c r="G395" s="5"/>
      <c r="H395" s="5"/>
    </row>
    <row r="396" spans="1:8" x14ac:dyDescent="0.25">
      <c r="A396" s="5"/>
      <c r="B396" s="5"/>
      <c r="D396" s="6"/>
      <c r="E396" s="5"/>
      <c r="F396" s="5"/>
      <c r="G396" s="5"/>
      <c r="H396" s="5"/>
    </row>
    <row r="397" spans="1:8" x14ac:dyDescent="0.25">
      <c r="A397" s="5"/>
      <c r="B397" s="5"/>
      <c r="E397" s="5"/>
      <c r="F397" s="5"/>
      <c r="G397" s="5"/>
      <c r="H397" s="5"/>
    </row>
    <row r="398" spans="1:8" x14ac:dyDescent="0.25">
      <c r="A398" s="5"/>
      <c r="B398" s="5"/>
      <c r="D398" s="6"/>
      <c r="E398" s="5"/>
      <c r="F398" s="5"/>
      <c r="G398" s="5"/>
      <c r="H398" s="5"/>
    </row>
    <row r="399" spans="1:8" x14ac:dyDescent="0.25">
      <c r="A399" s="5"/>
      <c r="B399" s="5"/>
      <c r="E399" s="5"/>
      <c r="F399" s="5"/>
      <c r="G399" s="5"/>
      <c r="H399" s="5"/>
    </row>
    <row r="400" spans="1:8" x14ac:dyDescent="0.25">
      <c r="A400" s="5"/>
      <c r="B400" s="5"/>
      <c r="D400" s="6"/>
      <c r="E400" s="5"/>
      <c r="F400" s="5"/>
      <c r="G400" s="5"/>
      <c r="H400" s="5"/>
    </row>
    <row r="401" spans="1:8" x14ac:dyDescent="0.25">
      <c r="A401" s="5"/>
      <c r="B401" s="5"/>
      <c r="E401" s="5"/>
      <c r="F401" s="5"/>
      <c r="G401" s="5"/>
      <c r="H401" s="5"/>
    </row>
    <row r="402" spans="1:8" x14ac:dyDescent="0.25">
      <c r="A402" s="5"/>
      <c r="B402" s="5"/>
      <c r="D402" s="6"/>
      <c r="E402" s="5"/>
      <c r="F402" s="5"/>
      <c r="G402" s="5"/>
      <c r="H402" s="5"/>
    </row>
    <row r="403" spans="1:8" x14ac:dyDescent="0.25">
      <c r="A403" s="5"/>
      <c r="B403" s="5"/>
      <c r="E403" s="5"/>
      <c r="F403" s="5"/>
      <c r="G403" s="5"/>
      <c r="H403" s="5"/>
    </row>
    <row r="404" spans="1:8" x14ac:dyDescent="0.25">
      <c r="A404" s="5"/>
      <c r="B404" s="5"/>
      <c r="D404" s="6"/>
      <c r="E404" s="5"/>
      <c r="F404" s="5"/>
      <c r="G404" s="5"/>
      <c r="H404" s="5"/>
    </row>
    <row r="405" spans="1:8" x14ac:dyDescent="0.25">
      <c r="A405" s="5"/>
      <c r="B405" s="5"/>
      <c r="E405" s="5"/>
      <c r="F405" s="5"/>
      <c r="G405" s="5"/>
      <c r="H405" s="5"/>
    </row>
    <row r="406" spans="1:8" x14ac:dyDescent="0.25">
      <c r="A406" s="5"/>
      <c r="B406" s="5"/>
      <c r="D406" s="6"/>
      <c r="E406" s="5"/>
      <c r="F406" s="5"/>
      <c r="G406" s="5"/>
      <c r="H406" s="5"/>
    </row>
    <row r="407" spans="1:8" x14ac:dyDescent="0.25">
      <c r="A407" s="5"/>
      <c r="B407" s="5"/>
      <c r="E407" s="5"/>
      <c r="F407" s="5"/>
      <c r="G407" s="5"/>
      <c r="H407" s="5"/>
    </row>
    <row r="408" spans="1:8" x14ac:dyDescent="0.25">
      <c r="A408" s="5"/>
      <c r="B408" s="5"/>
      <c r="D408" s="6"/>
      <c r="E408" s="5"/>
      <c r="F408" s="5"/>
      <c r="G408" s="5"/>
      <c r="H408" s="5"/>
    </row>
    <row r="409" spans="1:8" x14ac:dyDescent="0.25">
      <c r="A409" s="5"/>
      <c r="B409" s="5"/>
      <c r="E409" s="5"/>
      <c r="F409" s="5"/>
      <c r="G409" s="5"/>
      <c r="H409" s="5"/>
    </row>
    <row r="410" spans="1:8" x14ac:dyDescent="0.25">
      <c r="A410" s="5"/>
      <c r="B410" s="5"/>
      <c r="D410" s="6"/>
      <c r="E410" s="5"/>
      <c r="F410" s="5"/>
      <c r="G410" s="5"/>
      <c r="H410" s="5"/>
    </row>
    <row r="411" spans="1:8" x14ac:dyDescent="0.25">
      <c r="A411" s="5"/>
      <c r="B411" s="5"/>
      <c r="E411" s="5"/>
      <c r="F411" s="5"/>
      <c r="G411" s="5"/>
      <c r="H411" s="5"/>
    </row>
    <row r="412" spans="1:8" x14ac:dyDescent="0.25">
      <c r="A412" s="5"/>
      <c r="B412" s="5"/>
      <c r="D412" s="6"/>
      <c r="E412" s="5"/>
      <c r="F412" s="5"/>
      <c r="G412" s="5"/>
      <c r="H412" s="5"/>
    </row>
    <row r="413" spans="1:8" x14ac:dyDescent="0.25">
      <c r="A413" s="5"/>
      <c r="B413" s="5"/>
      <c r="E413" s="5"/>
      <c r="F413" s="5"/>
      <c r="G413" s="5"/>
      <c r="H413" s="5"/>
    </row>
    <row r="414" spans="1:8" x14ac:dyDescent="0.25">
      <c r="A414" s="5"/>
      <c r="B414" s="5"/>
      <c r="D414" s="6"/>
      <c r="E414" s="5"/>
      <c r="F414" s="5"/>
      <c r="G414" s="5"/>
      <c r="H414" s="5"/>
    </row>
    <row r="415" spans="1:8" x14ac:dyDescent="0.25">
      <c r="A415" s="5"/>
      <c r="B415" s="5"/>
      <c r="E415" s="5"/>
      <c r="F415" s="5"/>
      <c r="G415" s="5"/>
      <c r="H415" s="5"/>
    </row>
    <row r="416" spans="1:8" x14ac:dyDescent="0.25">
      <c r="A416" s="5"/>
      <c r="B416" s="5"/>
      <c r="D416" s="6"/>
      <c r="E416" s="5"/>
      <c r="F416" s="5"/>
      <c r="G416" s="5"/>
      <c r="H416" s="5"/>
    </row>
    <row r="417" spans="1:8" x14ac:dyDescent="0.25">
      <c r="A417" s="5"/>
      <c r="B417" s="5"/>
      <c r="E417" s="5"/>
      <c r="F417" s="5"/>
      <c r="G417" s="5"/>
      <c r="H417" s="5"/>
    </row>
    <row r="418" spans="1:8" x14ac:dyDescent="0.25">
      <c r="A418" s="5"/>
      <c r="B418" s="5"/>
      <c r="D418" s="6"/>
      <c r="E418" s="5"/>
      <c r="F418" s="5"/>
      <c r="G418" s="5"/>
      <c r="H418" s="5"/>
    </row>
    <row r="419" spans="1:8" x14ac:dyDescent="0.25">
      <c r="A419" s="5"/>
      <c r="B419" s="5"/>
      <c r="E419" s="5"/>
      <c r="F419" s="5"/>
      <c r="G419" s="5"/>
      <c r="H419" s="5"/>
    </row>
    <row r="420" spans="1:8" x14ac:dyDescent="0.25">
      <c r="A420" s="5"/>
      <c r="B420" s="5"/>
      <c r="D420" s="6"/>
      <c r="E420" s="5"/>
      <c r="F420" s="5"/>
      <c r="G420" s="5"/>
      <c r="H420" s="5"/>
    </row>
    <row r="421" spans="1:8" x14ac:dyDescent="0.25">
      <c r="A421" s="5"/>
      <c r="B421" s="5"/>
      <c r="E421" s="5"/>
      <c r="F421" s="5"/>
      <c r="G421" s="5"/>
      <c r="H421" s="5"/>
    </row>
    <row r="422" spans="1:8" x14ac:dyDescent="0.25">
      <c r="A422" s="5"/>
      <c r="B422" s="5"/>
      <c r="D422" s="6"/>
      <c r="E422" s="5"/>
      <c r="F422" s="5"/>
      <c r="G422" s="5"/>
      <c r="H422" s="5"/>
    </row>
    <row r="423" spans="1:8" x14ac:dyDescent="0.25">
      <c r="A423" s="5"/>
      <c r="B423" s="5"/>
      <c r="E423" s="5"/>
      <c r="F423" s="5"/>
      <c r="G423" s="5"/>
      <c r="H423" s="5"/>
    </row>
    <row r="424" spans="1:8" x14ac:dyDescent="0.25">
      <c r="A424" s="5"/>
      <c r="B424" s="5"/>
      <c r="D424" s="6"/>
      <c r="E424" s="5"/>
      <c r="F424" s="5"/>
      <c r="G424" s="5"/>
      <c r="H424" s="5"/>
    </row>
    <row r="425" spans="1:8" x14ac:dyDescent="0.25">
      <c r="A425" s="5"/>
      <c r="B425" s="5"/>
      <c r="E425" s="5"/>
      <c r="F425" s="5"/>
      <c r="G425" s="5"/>
      <c r="H425" s="5"/>
    </row>
    <row r="426" spans="1:8" x14ac:dyDescent="0.25">
      <c r="A426" s="5"/>
      <c r="B426" s="5"/>
      <c r="D426" s="6"/>
      <c r="E426" s="5"/>
      <c r="F426" s="5"/>
      <c r="G426" s="5"/>
      <c r="H426" s="5"/>
    </row>
    <row r="427" spans="1:8" x14ac:dyDescent="0.25">
      <c r="A427" s="5"/>
      <c r="B427" s="5"/>
      <c r="E427" s="5"/>
      <c r="F427" s="5"/>
      <c r="G427" s="5"/>
      <c r="H427" s="5"/>
    </row>
    <row r="428" spans="1:8" x14ac:dyDescent="0.25">
      <c r="A428" s="5"/>
      <c r="B428" s="5"/>
      <c r="D428" s="6"/>
      <c r="E428" s="5"/>
      <c r="F428" s="5"/>
      <c r="G428" s="5"/>
      <c r="H428" s="5"/>
    </row>
    <row r="429" spans="1:8" x14ac:dyDescent="0.25">
      <c r="A429" s="5"/>
      <c r="B429" s="5"/>
      <c r="E429" s="5"/>
      <c r="F429" s="5"/>
      <c r="G429" s="5"/>
      <c r="H429" s="5"/>
    </row>
    <row r="430" spans="1:8" x14ac:dyDescent="0.25">
      <c r="A430" s="5"/>
      <c r="B430" s="5"/>
      <c r="D430" s="6"/>
      <c r="E430" s="5"/>
      <c r="F430" s="5"/>
      <c r="G430" s="5"/>
      <c r="H430" s="5"/>
    </row>
    <row r="431" spans="1:8" x14ac:dyDescent="0.25">
      <c r="A431" s="5"/>
      <c r="B431" s="5"/>
      <c r="E431" s="5"/>
      <c r="F431" s="5"/>
      <c r="G431" s="5"/>
      <c r="H431" s="5"/>
    </row>
    <row r="432" spans="1:8" x14ac:dyDescent="0.25">
      <c r="A432" s="5"/>
      <c r="B432" s="5"/>
      <c r="D432" s="6"/>
      <c r="E432" s="5"/>
      <c r="F432" s="5"/>
      <c r="G432" s="5"/>
      <c r="H432" s="5"/>
    </row>
    <row r="433" spans="1:8" x14ac:dyDescent="0.25">
      <c r="A433" s="5"/>
      <c r="B433" s="5"/>
      <c r="E433" s="5"/>
      <c r="F433" s="5"/>
      <c r="G433" s="5"/>
      <c r="H433" s="5"/>
    </row>
    <row r="434" spans="1:8" x14ac:dyDescent="0.25">
      <c r="A434" s="5"/>
      <c r="B434" s="5"/>
      <c r="D434" s="6"/>
      <c r="E434" s="5"/>
      <c r="F434" s="5"/>
      <c r="G434" s="5"/>
      <c r="H434" s="5"/>
    </row>
    <row r="435" spans="1:8" x14ac:dyDescent="0.25">
      <c r="A435" s="5"/>
      <c r="B435" s="5"/>
      <c r="E435" s="5"/>
      <c r="F435" s="5"/>
      <c r="G435" s="5"/>
      <c r="H435" s="5"/>
    </row>
    <row r="436" spans="1:8" x14ac:dyDescent="0.25">
      <c r="A436" s="5"/>
      <c r="B436" s="5"/>
      <c r="D436" s="6"/>
      <c r="E436" s="5"/>
      <c r="F436" s="5"/>
      <c r="G436" s="5"/>
      <c r="H436" s="5"/>
    </row>
    <row r="437" spans="1:8" x14ac:dyDescent="0.25">
      <c r="A437" s="5"/>
      <c r="B437" s="5"/>
      <c r="E437" s="5"/>
      <c r="F437" s="5"/>
      <c r="G437" s="5"/>
      <c r="H437" s="5"/>
    </row>
    <row r="438" spans="1:8" x14ac:dyDescent="0.25">
      <c r="A438" s="5"/>
      <c r="B438" s="5"/>
      <c r="D438" s="6"/>
      <c r="E438" s="5"/>
      <c r="F438" s="5"/>
      <c r="G438" s="5"/>
      <c r="H438" s="5"/>
    </row>
    <row r="439" spans="1:8" x14ac:dyDescent="0.25">
      <c r="A439" s="5"/>
      <c r="B439" s="5"/>
      <c r="E439" s="5"/>
      <c r="F439" s="5"/>
      <c r="G439" s="5"/>
      <c r="H439" s="5"/>
    </row>
    <row r="440" spans="1:8" x14ac:dyDescent="0.25">
      <c r="A440" s="5"/>
      <c r="B440" s="5"/>
      <c r="D440" s="6"/>
      <c r="E440" s="5"/>
      <c r="F440" s="5"/>
      <c r="G440" s="5"/>
      <c r="H440" s="5"/>
    </row>
    <row r="441" spans="1:8" x14ac:dyDescent="0.25">
      <c r="A441" s="5"/>
      <c r="B441" s="5"/>
      <c r="E441" s="5"/>
      <c r="F441" s="5"/>
      <c r="G441" s="5"/>
      <c r="H441" s="5"/>
    </row>
    <row r="442" spans="1:8" x14ac:dyDescent="0.25">
      <c r="A442" s="5"/>
      <c r="B442" s="5"/>
      <c r="D442" s="6"/>
      <c r="E442" s="5"/>
      <c r="F442" s="5"/>
      <c r="G442" s="5"/>
      <c r="H442" s="5"/>
    </row>
    <row r="443" spans="1:8" x14ac:dyDescent="0.25">
      <c r="A443" s="5"/>
      <c r="B443" s="5"/>
      <c r="E443" s="5"/>
      <c r="F443" s="5"/>
      <c r="G443" s="5"/>
      <c r="H443" s="5"/>
    </row>
    <row r="444" spans="1:8" x14ac:dyDescent="0.25">
      <c r="A444" s="5"/>
      <c r="B444" s="5"/>
      <c r="D444" s="6"/>
      <c r="E444" s="5"/>
      <c r="F444" s="5"/>
      <c r="G444" s="5"/>
      <c r="H444" s="5"/>
    </row>
    <row r="445" spans="1:8" x14ac:dyDescent="0.25">
      <c r="A445" s="5"/>
      <c r="B445" s="5"/>
      <c r="E445" s="5"/>
      <c r="F445" s="5"/>
      <c r="G445" s="5"/>
      <c r="H445" s="5"/>
    </row>
    <row r="446" spans="1:8" x14ac:dyDescent="0.25">
      <c r="A446" s="5"/>
      <c r="B446" s="5"/>
      <c r="D446" s="6"/>
      <c r="E446" s="5"/>
      <c r="F446" s="5"/>
      <c r="G446" s="5"/>
      <c r="H446" s="5"/>
    </row>
    <row r="447" spans="1:8" x14ac:dyDescent="0.25">
      <c r="A447" s="5"/>
      <c r="B447" s="5"/>
      <c r="E447" s="5"/>
      <c r="F447" s="5"/>
      <c r="G447" s="5"/>
      <c r="H447" s="5"/>
    </row>
    <row r="448" spans="1:8" x14ac:dyDescent="0.25">
      <c r="A448" s="5"/>
      <c r="B448" s="5"/>
      <c r="D448" s="6"/>
      <c r="E448" s="5"/>
      <c r="F448" s="5"/>
      <c r="G448" s="5"/>
      <c r="H448" s="5"/>
    </row>
  </sheetData>
  <conditionalFormatting sqref="B136:B151">
    <cfRule type="cellIs" dxfId="120" priority="62" stopIfTrue="1" operator="equal">
      <formula>"INSTITUCIONAL"</formula>
    </cfRule>
  </conditionalFormatting>
  <conditionalFormatting sqref="B136:B151">
    <cfRule type="cellIs" dxfId="119" priority="61" stopIfTrue="1" operator="equal">
      <formula>"GESTION"</formula>
    </cfRule>
  </conditionalFormatting>
  <conditionalFormatting sqref="G123:G135">
    <cfRule type="cellIs" dxfId="118" priority="9" stopIfTrue="1" operator="notBetween">
      <formula>0</formula>
      <formula>0</formula>
    </cfRule>
  </conditionalFormatting>
  <conditionalFormatting sqref="B123:B135">
    <cfRule type="cellIs" dxfId="117" priority="8" stopIfTrue="1" operator="equal">
      <formula>"INSTITUCIONAL"</formula>
    </cfRule>
  </conditionalFormatting>
  <conditionalFormatting sqref="B123:B135">
    <cfRule type="cellIs" dxfId="116" priority="7" stopIfTrue="1" operator="equal">
      <formula>"GESTION"</formula>
    </cfRule>
  </conditionalFormatting>
  <conditionalFormatting sqref="G23:G122">
    <cfRule type="cellIs" dxfId="115" priority="3" stopIfTrue="1" operator="notBetween">
      <formula>0</formula>
      <formula>0</formula>
    </cfRule>
  </conditionalFormatting>
  <conditionalFormatting sqref="B3:B122">
    <cfRule type="cellIs" dxfId="114" priority="2" stopIfTrue="1" operator="equal">
      <formula>"INSTITUCIONAL"</formula>
    </cfRule>
  </conditionalFormatting>
  <conditionalFormatting sqref="B3:B122">
    <cfRule type="cellIs" dxfId="113" priority="1" stopIfTrue="1" operator="equal">
      <formula>"GESTION"</formula>
    </cfRule>
  </conditionalFormatting>
  <dataValidations count="1">
    <dataValidation type="list" allowBlank="1" showInputMessage="1" showErrorMessage="1" sqref="H8:H135" xr:uid="{DFC4C4C7-19B6-439E-96EC-7CBF5D310E07}">
      <formula1>$K$6:$K$17</formula1>
    </dataValidation>
  </dataValidation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">
    <tabColor theme="6" tint="0.59999389629810485"/>
  </sheetPr>
  <dimension ref="A2:AD2278"/>
  <sheetViews>
    <sheetView topLeftCell="M1" zoomScale="87" zoomScaleNormal="85" workbookViewId="0">
      <selection activeCell="W5" sqref="W5"/>
    </sheetView>
  </sheetViews>
  <sheetFormatPr baseColWidth="10" defaultColWidth="11.42578125" defaultRowHeight="15" x14ac:dyDescent="0.25"/>
  <cols>
    <col min="1" max="1" width="15.140625" hidden="1" customWidth="1"/>
    <col min="3" max="3" width="28.140625" customWidth="1"/>
    <col min="17" max="17" width="13.85546875" customWidth="1"/>
    <col min="20" max="20" width="17.42578125" bestFit="1" customWidth="1"/>
    <col min="23" max="23" width="15.140625" bestFit="1" customWidth="1"/>
    <col min="24" max="24" width="13.7109375" style="18" bestFit="1" customWidth="1"/>
    <col min="27" max="27" width="18" bestFit="1" customWidth="1"/>
    <col min="28" max="28" width="20.85546875" style="18" bestFit="1" customWidth="1"/>
    <col min="29" max="29" width="20.5703125" style="18" bestFit="1" customWidth="1"/>
    <col min="30" max="30" width="14.85546875" bestFit="1" customWidth="1"/>
    <col min="31" max="31" width="12.5703125" bestFit="1" customWidth="1"/>
    <col min="32" max="32" width="9.42578125" bestFit="1" customWidth="1"/>
    <col min="33" max="43" width="12.5703125" bestFit="1" customWidth="1"/>
    <col min="44" max="47" width="8.42578125" bestFit="1" customWidth="1"/>
    <col min="48" max="48" width="12.5703125" bestFit="1" customWidth="1"/>
    <col min="49" max="49" width="8.42578125" bestFit="1" customWidth="1"/>
    <col min="50" max="50" width="12.5703125" bestFit="1" customWidth="1"/>
    <col min="51" max="51" width="11.5703125" bestFit="1" customWidth="1"/>
    <col min="52" max="52" width="7.28515625" bestFit="1" customWidth="1"/>
    <col min="53" max="66" width="12.5703125" bestFit="1" customWidth="1"/>
    <col min="67" max="67" width="7.28515625" bestFit="1" customWidth="1"/>
    <col min="68" max="69" width="12.5703125" bestFit="1" customWidth="1"/>
    <col min="70" max="70" width="5.28515625" bestFit="1" customWidth="1"/>
    <col min="71" max="83" width="12.5703125" bestFit="1" customWidth="1"/>
    <col min="84" max="84" width="11.5703125" bestFit="1" customWidth="1"/>
    <col min="85" max="85" width="10.42578125" bestFit="1" customWidth="1"/>
    <col min="86" max="87" width="8.42578125" bestFit="1" customWidth="1"/>
    <col min="88" max="92" width="12.5703125" bestFit="1" customWidth="1"/>
    <col min="93" max="93" width="11.5703125" bestFit="1" customWidth="1"/>
    <col min="94" max="95" width="12.5703125" bestFit="1" customWidth="1"/>
    <col min="96" max="96" width="8.42578125" bestFit="1" customWidth="1"/>
    <col min="97" max="102" width="12.5703125" bestFit="1" customWidth="1"/>
    <col min="103" max="103" width="8.42578125" bestFit="1" customWidth="1"/>
    <col min="104" max="104" width="11.5703125" bestFit="1" customWidth="1"/>
    <col min="105" max="105" width="12.5703125" bestFit="1" customWidth="1"/>
    <col min="106" max="106" width="11.5703125" bestFit="1" customWidth="1"/>
    <col min="107" max="114" width="12.5703125" bestFit="1" customWidth="1"/>
    <col min="115" max="115" width="10.42578125" bestFit="1" customWidth="1"/>
    <col min="116" max="116" width="11.5703125" bestFit="1" customWidth="1"/>
    <col min="117" max="123" width="12.5703125" bestFit="1" customWidth="1"/>
    <col min="124" max="124" width="10.42578125" bestFit="1" customWidth="1"/>
    <col min="125" max="136" width="12.5703125" bestFit="1" customWidth="1"/>
    <col min="137" max="139" width="6.28515625" bestFit="1" customWidth="1"/>
    <col min="140" max="143" width="12.5703125" bestFit="1" customWidth="1"/>
    <col min="144" max="144" width="6.28515625" bestFit="1" customWidth="1"/>
    <col min="145" max="148" width="12.5703125" bestFit="1" customWidth="1"/>
    <col min="149" max="155" width="6.28515625" bestFit="1" customWidth="1"/>
    <col min="156" max="156" width="12.5703125" bestFit="1" customWidth="1"/>
    <col min="157" max="157" width="11.5703125" bestFit="1" customWidth="1"/>
    <col min="158" max="158" width="12.5703125" bestFit="1" customWidth="1"/>
    <col min="159" max="162" width="6.28515625" bestFit="1" customWidth="1"/>
    <col min="163" max="163" width="12.5703125" bestFit="1" customWidth="1"/>
    <col min="164" max="164" width="6.28515625" bestFit="1" customWidth="1"/>
    <col min="165" max="167" width="12.5703125" bestFit="1" customWidth="1"/>
    <col min="168" max="168" width="11.5703125" bestFit="1" customWidth="1"/>
    <col min="169" max="169" width="8.42578125" bestFit="1" customWidth="1"/>
    <col min="170" max="170" width="9.42578125" bestFit="1" customWidth="1"/>
    <col min="171" max="171" width="11.5703125" bestFit="1" customWidth="1"/>
    <col min="172" max="173" width="10.42578125" bestFit="1" customWidth="1"/>
    <col min="174" max="176" width="12.5703125" bestFit="1" customWidth="1"/>
    <col min="177" max="178" width="13.28515625" bestFit="1" customWidth="1"/>
    <col min="179" max="182" width="12.5703125" bestFit="1" customWidth="1"/>
    <col min="183" max="183" width="8.42578125" bestFit="1" customWidth="1"/>
    <col min="184" max="192" width="12.5703125" bestFit="1" customWidth="1"/>
    <col min="193" max="193" width="13.28515625" bestFit="1" customWidth="1"/>
    <col min="194" max="195" width="8.42578125" bestFit="1" customWidth="1"/>
    <col min="196" max="211" width="12.5703125" bestFit="1" customWidth="1"/>
    <col min="212" max="212" width="11.5703125" bestFit="1" customWidth="1"/>
    <col min="213" max="224" width="12.5703125" bestFit="1" customWidth="1"/>
    <col min="225" max="225" width="11.5703125" bestFit="1" customWidth="1"/>
    <col min="226" max="253" width="12.5703125" bestFit="1" customWidth="1"/>
    <col min="254" max="254" width="8.42578125" bestFit="1" customWidth="1"/>
    <col min="255" max="266" width="12.5703125" bestFit="1" customWidth="1"/>
    <col min="267" max="267" width="11.5703125" bestFit="1" customWidth="1"/>
    <col min="268" max="277" width="12.5703125" bestFit="1" customWidth="1"/>
    <col min="278" max="278" width="11.5703125" bestFit="1" customWidth="1"/>
    <col min="279" max="299" width="12.5703125" bestFit="1" customWidth="1"/>
    <col min="300" max="300" width="15.28515625" bestFit="1" customWidth="1"/>
    <col min="301" max="303" width="12.5703125" bestFit="1" customWidth="1"/>
    <col min="304" max="304" width="9.42578125" bestFit="1" customWidth="1"/>
    <col min="305" max="315" width="12.5703125" bestFit="1" customWidth="1"/>
    <col min="316" max="319" width="8.42578125" bestFit="1" customWidth="1"/>
    <col min="320" max="320" width="12.5703125" bestFit="1" customWidth="1"/>
    <col min="321" max="321" width="8.42578125" bestFit="1" customWidth="1"/>
    <col min="322" max="322" width="12.5703125" bestFit="1" customWidth="1"/>
    <col min="323" max="323" width="11.5703125" bestFit="1" customWidth="1"/>
    <col min="324" max="324" width="7.28515625" bestFit="1" customWidth="1"/>
    <col min="325" max="338" width="12.5703125" bestFit="1" customWidth="1"/>
    <col min="339" max="339" width="7.28515625" bestFit="1" customWidth="1"/>
    <col min="340" max="341" width="12.5703125" bestFit="1" customWidth="1"/>
    <col min="342" max="342" width="5.28515625" bestFit="1" customWidth="1"/>
    <col min="343" max="355" width="12.5703125" bestFit="1" customWidth="1"/>
    <col min="356" max="356" width="11.5703125" bestFit="1" customWidth="1"/>
    <col min="357" max="357" width="10.42578125" bestFit="1" customWidth="1"/>
    <col min="358" max="359" width="8.42578125" bestFit="1" customWidth="1"/>
    <col min="360" max="364" width="12.5703125" bestFit="1" customWidth="1"/>
    <col min="365" max="365" width="11.5703125" bestFit="1" customWidth="1"/>
    <col min="366" max="367" width="12.5703125" bestFit="1" customWidth="1"/>
    <col min="368" max="368" width="8.42578125" bestFit="1" customWidth="1"/>
    <col min="369" max="374" width="12.5703125" bestFit="1" customWidth="1"/>
    <col min="375" max="375" width="8.42578125" bestFit="1" customWidth="1"/>
    <col min="376" max="376" width="11.5703125" bestFit="1" customWidth="1"/>
    <col min="377" max="377" width="12.5703125" bestFit="1" customWidth="1"/>
    <col min="378" max="378" width="11.5703125" bestFit="1" customWidth="1"/>
    <col min="379" max="386" width="12.5703125" bestFit="1" customWidth="1"/>
    <col min="387" max="387" width="10.42578125" bestFit="1" customWidth="1"/>
    <col min="388" max="388" width="11.5703125" bestFit="1" customWidth="1"/>
    <col min="389" max="395" width="12.5703125" bestFit="1" customWidth="1"/>
    <col min="396" max="396" width="10.42578125" bestFit="1" customWidth="1"/>
    <col min="397" max="408" width="12.5703125" bestFit="1" customWidth="1"/>
    <col min="409" max="411" width="6.28515625" bestFit="1" customWidth="1"/>
    <col min="412" max="415" width="12.5703125" bestFit="1" customWidth="1"/>
    <col min="416" max="416" width="6.28515625" bestFit="1" customWidth="1"/>
    <col min="417" max="420" width="12.5703125" bestFit="1" customWidth="1"/>
    <col min="421" max="427" width="6.28515625" bestFit="1" customWidth="1"/>
    <col min="428" max="428" width="12.5703125" bestFit="1" customWidth="1"/>
    <col min="429" max="429" width="11.5703125" bestFit="1" customWidth="1"/>
    <col min="430" max="430" width="12.5703125" bestFit="1" customWidth="1"/>
    <col min="431" max="434" width="6.28515625" bestFit="1" customWidth="1"/>
    <col min="435" max="435" width="12.5703125" bestFit="1" customWidth="1"/>
    <col min="436" max="436" width="6.28515625" bestFit="1" customWidth="1"/>
    <col min="437" max="439" width="12.5703125" bestFit="1" customWidth="1"/>
    <col min="440" max="440" width="11.5703125" bestFit="1" customWidth="1"/>
    <col min="441" max="441" width="8.42578125" bestFit="1" customWidth="1"/>
    <col min="442" max="442" width="9.42578125" bestFit="1" customWidth="1"/>
    <col min="443" max="443" width="11.5703125" bestFit="1" customWidth="1"/>
    <col min="444" max="445" width="10.42578125" bestFit="1" customWidth="1"/>
    <col min="446" max="454" width="12.5703125" bestFit="1" customWidth="1"/>
    <col min="455" max="455" width="8.42578125" bestFit="1" customWidth="1"/>
    <col min="456" max="464" width="12.5703125" bestFit="1" customWidth="1"/>
    <col min="465" max="467" width="8.42578125" bestFit="1" customWidth="1"/>
    <col min="468" max="483" width="12.5703125" bestFit="1" customWidth="1"/>
    <col min="484" max="484" width="11.5703125" bestFit="1" customWidth="1"/>
    <col min="485" max="496" width="12.5703125" bestFit="1" customWidth="1"/>
    <col min="497" max="497" width="11.5703125" bestFit="1" customWidth="1"/>
    <col min="498" max="525" width="12.5703125" bestFit="1" customWidth="1"/>
    <col min="526" max="526" width="8.42578125" bestFit="1" customWidth="1"/>
    <col min="527" max="538" width="12.5703125" bestFit="1" customWidth="1"/>
    <col min="539" max="539" width="11.5703125" bestFit="1" customWidth="1"/>
    <col min="540" max="549" width="12.5703125" bestFit="1" customWidth="1"/>
    <col min="550" max="550" width="11.5703125" bestFit="1" customWidth="1"/>
    <col min="551" max="571" width="12.5703125" bestFit="1" customWidth="1"/>
    <col min="572" max="572" width="25.28515625" bestFit="1" customWidth="1"/>
    <col min="573" max="573" width="20.28515625" bestFit="1" customWidth="1"/>
  </cols>
  <sheetData>
    <row r="2" spans="1:30" x14ac:dyDescent="0.25">
      <c r="AD2" s="94">
        <v>147492</v>
      </c>
    </row>
    <row r="3" spans="1:30" x14ac:dyDescent="0.25">
      <c r="AA3" s="2" t="s">
        <v>0</v>
      </c>
      <c r="AB3" s="105">
        <v>1000002677</v>
      </c>
    </row>
    <row r="5" spans="1:30" ht="24.75" customHeight="1" x14ac:dyDescent="0.25">
      <c r="B5" s="17" t="s">
        <v>0</v>
      </c>
      <c r="C5" s="17" t="s">
        <v>1</v>
      </c>
      <c r="D5" s="17" t="s">
        <v>2</v>
      </c>
      <c r="E5" s="17" t="s">
        <v>3</v>
      </c>
      <c r="F5" s="17" t="s">
        <v>4</v>
      </c>
      <c r="G5" s="17" t="s">
        <v>5</v>
      </c>
      <c r="H5" s="17" t="s">
        <v>6</v>
      </c>
      <c r="I5" s="17" t="s">
        <v>7</v>
      </c>
      <c r="J5" s="17" t="s">
        <v>8</v>
      </c>
      <c r="K5" s="17" t="s">
        <v>9</v>
      </c>
      <c r="L5" s="17" t="s">
        <v>10</v>
      </c>
      <c r="M5" s="17" t="s">
        <v>11</v>
      </c>
      <c r="N5" s="17" t="s">
        <v>12</v>
      </c>
      <c r="O5" s="17" t="s">
        <v>13</v>
      </c>
      <c r="P5" s="17" t="s">
        <v>14</v>
      </c>
      <c r="Q5" s="17" t="s">
        <v>15</v>
      </c>
      <c r="R5" s="17" t="s">
        <v>16</v>
      </c>
      <c r="S5" s="17" t="s">
        <v>17</v>
      </c>
      <c r="W5" s="104" t="s">
        <v>23</v>
      </c>
      <c r="X5" t="s">
        <v>24</v>
      </c>
      <c r="AA5" s="2" t="s">
        <v>19</v>
      </c>
      <c r="AB5" s="93" t="s">
        <v>22</v>
      </c>
      <c r="AC5" t="s">
        <v>25</v>
      </c>
    </row>
    <row r="6" spans="1:30" x14ac:dyDescent="0.25">
      <c r="A6" t="str">
        <f>B6&amp;D6</f>
        <v xml:space="preserve">1000001249STERGOB ED          </v>
      </c>
      <c r="B6" s="71">
        <v>1000001249</v>
      </c>
      <c r="C6" s="71" t="s">
        <v>622</v>
      </c>
      <c r="D6" s="71" t="s">
        <v>389</v>
      </c>
      <c r="E6" s="71" t="s">
        <v>623</v>
      </c>
      <c r="F6" s="71" t="s">
        <v>624</v>
      </c>
      <c r="G6" s="74">
        <v>1155643</v>
      </c>
      <c r="H6" s="72">
        <v>3.3967719999999999</v>
      </c>
      <c r="I6" s="73">
        <v>3925455.7843960002</v>
      </c>
      <c r="J6" s="72">
        <v>3.3770057708133048</v>
      </c>
      <c r="K6" s="73">
        <v>22842.704396000001</v>
      </c>
      <c r="L6" s="74">
        <v>0</v>
      </c>
      <c r="M6" s="73">
        <v>0</v>
      </c>
      <c r="N6" s="74">
        <v>0</v>
      </c>
      <c r="O6" s="73">
        <v>0</v>
      </c>
      <c r="P6" s="74">
        <v>1155643</v>
      </c>
      <c r="Q6" s="73">
        <v>3925455.7843960002</v>
      </c>
      <c r="R6" s="71" t="s">
        <v>625</v>
      </c>
      <c r="S6" s="71">
        <v>7414000005</v>
      </c>
      <c r="W6" s="3">
        <v>3373</v>
      </c>
      <c r="X6">
        <v>0</v>
      </c>
      <c r="AA6" s="3" t="s">
        <v>389</v>
      </c>
      <c r="AB6" s="93">
        <v>1511.5635400000001</v>
      </c>
      <c r="AC6">
        <v>1511.5635400000001</v>
      </c>
    </row>
    <row r="7" spans="1:30" x14ac:dyDescent="0.25">
      <c r="A7" t="e">
        <f>#REF!&amp;#REF!</f>
        <v>#REF!</v>
      </c>
      <c r="B7" s="71">
        <v>1000001249</v>
      </c>
      <c r="C7" s="71" t="s">
        <v>622</v>
      </c>
      <c r="D7" s="71" t="s">
        <v>404</v>
      </c>
      <c r="E7" s="71" t="s">
        <v>623</v>
      </c>
      <c r="F7" s="71" t="s">
        <v>624</v>
      </c>
      <c r="G7" s="74">
        <v>460</v>
      </c>
      <c r="H7" s="72">
        <v>137.94899000000001</v>
      </c>
      <c r="I7" s="73">
        <v>63456.535400000001</v>
      </c>
      <c r="J7" s="72">
        <v>139.5491304347826</v>
      </c>
      <c r="K7" s="73">
        <v>-736.06460000000004</v>
      </c>
      <c r="L7" s="74">
        <v>0</v>
      </c>
      <c r="M7" s="73">
        <v>0</v>
      </c>
      <c r="N7" s="74">
        <v>0</v>
      </c>
      <c r="O7" s="73">
        <v>0</v>
      </c>
      <c r="P7" s="74">
        <v>460</v>
      </c>
      <c r="Q7" s="73">
        <v>63456.535400000001</v>
      </c>
      <c r="R7" s="71" t="s">
        <v>625</v>
      </c>
      <c r="S7" s="71">
        <v>7414000005</v>
      </c>
      <c r="W7" s="3">
        <v>59181</v>
      </c>
      <c r="X7">
        <v>7073205.105556001</v>
      </c>
      <c r="AA7" s="3" t="s">
        <v>406</v>
      </c>
      <c r="AB7" s="93">
        <v>699922.94494199997</v>
      </c>
      <c r="AC7">
        <v>699922.94494199997</v>
      </c>
    </row>
    <row r="8" spans="1:30" x14ac:dyDescent="0.25">
      <c r="A8" t="e">
        <f>#REF!&amp;#REF!</f>
        <v>#REF!</v>
      </c>
      <c r="B8" s="71">
        <v>1000001249</v>
      </c>
      <c r="C8" s="71" t="s">
        <v>622</v>
      </c>
      <c r="D8" s="71" t="s">
        <v>405</v>
      </c>
      <c r="E8" s="71" t="s">
        <v>623</v>
      </c>
      <c r="F8" s="71" t="s">
        <v>624</v>
      </c>
      <c r="G8" s="74">
        <v>100570</v>
      </c>
      <c r="H8" s="72">
        <v>3.6096119999999998</v>
      </c>
      <c r="I8" s="73">
        <v>363018.67884000001</v>
      </c>
      <c r="J8" s="72">
        <v>3.6610171025156606</v>
      </c>
      <c r="K8" s="73">
        <v>-5169.8111600000002</v>
      </c>
      <c r="L8" s="74">
        <v>0</v>
      </c>
      <c r="M8" s="73">
        <v>0</v>
      </c>
      <c r="N8" s="74">
        <v>0</v>
      </c>
      <c r="O8" s="73">
        <v>0</v>
      </c>
      <c r="P8" s="74">
        <v>100570</v>
      </c>
      <c r="Q8" s="73">
        <v>363018.67884000001</v>
      </c>
      <c r="R8" s="71" t="s">
        <v>625</v>
      </c>
      <c r="S8" s="71">
        <v>7414000005</v>
      </c>
      <c r="W8" s="3">
        <v>64518</v>
      </c>
      <c r="X8">
        <v>85628899.491292</v>
      </c>
      <c r="AA8" s="3" t="s">
        <v>405</v>
      </c>
      <c r="AB8" s="93">
        <v>335704.74483600003</v>
      </c>
      <c r="AC8">
        <v>335704.74483600003</v>
      </c>
    </row>
    <row r="9" spans="1:30" x14ac:dyDescent="0.25">
      <c r="A9" t="str">
        <f t="shared" ref="A9:A40" si="0">B7&amp;D7</f>
        <v xml:space="preserve">1000001249SVIVE20 ED          </v>
      </c>
      <c r="B9" s="71">
        <v>1000001249</v>
      </c>
      <c r="C9" s="71" t="s">
        <v>622</v>
      </c>
      <c r="D9" s="71" t="s">
        <v>406</v>
      </c>
      <c r="E9" s="71" t="s">
        <v>623</v>
      </c>
      <c r="F9" s="71" t="s">
        <v>624</v>
      </c>
      <c r="G9" s="74">
        <v>33104</v>
      </c>
      <c r="H9" s="72">
        <v>2.1897980000000001</v>
      </c>
      <c r="I9" s="73">
        <v>72491.072992000001</v>
      </c>
      <c r="J9" s="72">
        <v>2.232305763653939</v>
      </c>
      <c r="K9" s="73">
        <v>-1407.1770079999999</v>
      </c>
      <c r="L9" s="74">
        <v>0</v>
      </c>
      <c r="M9" s="73">
        <v>0</v>
      </c>
      <c r="N9" s="74">
        <v>0</v>
      </c>
      <c r="O9" s="73">
        <v>0</v>
      </c>
      <c r="P9" s="74">
        <v>33104</v>
      </c>
      <c r="Q9" s="73">
        <v>72491.072992000001</v>
      </c>
      <c r="R9" s="71" t="s">
        <v>625</v>
      </c>
      <c r="S9" s="71">
        <v>7414000005</v>
      </c>
      <c r="W9" s="3">
        <v>65723</v>
      </c>
      <c r="X9">
        <v>0</v>
      </c>
      <c r="AA9" s="3" t="s">
        <v>21</v>
      </c>
      <c r="AB9" s="93">
        <v>1037139.253318</v>
      </c>
      <c r="AC9">
        <v>1037139.253318</v>
      </c>
    </row>
    <row r="10" spans="1:30" x14ac:dyDescent="0.25">
      <c r="A10" t="str">
        <f t="shared" si="0"/>
        <v xml:space="preserve">1000001249SVIVE35 ED          </v>
      </c>
      <c r="B10" s="71">
        <v>1000001573</v>
      </c>
      <c r="C10" s="71" t="s">
        <v>626</v>
      </c>
      <c r="D10" s="71" t="s">
        <v>357</v>
      </c>
      <c r="E10" s="71" t="s">
        <v>623</v>
      </c>
      <c r="F10" s="71" t="s">
        <v>624</v>
      </c>
      <c r="G10" s="74">
        <v>0</v>
      </c>
      <c r="H10" s="72">
        <v>0</v>
      </c>
      <c r="I10" s="73">
        <v>0</v>
      </c>
      <c r="J10" s="72">
        <v>0</v>
      </c>
      <c r="K10" s="73">
        <v>0</v>
      </c>
      <c r="L10" s="74">
        <v>0</v>
      </c>
      <c r="M10" s="73">
        <v>0</v>
      </c>
      <c r="N10" s="74">
        <v>0</v>
      </c>
      <c r="O10" s="73">
        <v>0</v>
      </c>
      <c r="P10" s="74">
        <v>0</v>
      </c>
      <c r="Q10" s="73">
        <v>0</v>
      </c>
      <c r="R10" s="71" t="s">
        <v>625</v>
      </c>
      <c r="S10" s="71">
        <v>7414000005</v>
      </c>
      <c r="W10" s="3">
        <v>71358</v>
      </c>
      <c r="X10">
        <v>0</v>
      </c>
      <c r="AB10"/>
      <c r="AC10"/>
    </row>
    <row r="11" spans="1:30" x14ac:dyDescent="0.25">
      <c r="A11" t="str">
        <f t="shared" si="0"/>
        <v xml:space="preserve">1000001249SVIVE50 ED          </v>
      </c>
      <c r="B11" s="71">
        <v>1000001573</v>
      </c>
      <c r="C11" s="71" t="s">
        <v>626</v>
      </c>
      <c r="D11" s="71" t="s">
        <v>358</v>
      </c>
      <c r="E11" s="71" t="s">
        <v>623</v>
      </c>
      <c r="F11" s="71" t="s">
        <v>624</v>
      </c>
      <c r="G11" s="74">
        <v>0</v>
      </c>
      <c r="H11" s="72">
        <v>0</v>
      </c>
      <c r="I11" s="73">
        <v>0</v>
      </c>
      <c r="J11" s="72">
        <v>0</v>
      </c>
      <c r="K11" s="73">
        <v>0</v>
      </c>
      <c r="L11" s="74">
        <v>0</v>
      </c>
      <c r="M11" s="73">
        <v>0</v>
      </c>
      <c r="N11" s="74">
        <v>0</v>
      </c>
      <c r="O11" s="73">
        <v>0</v>
      </c>
      <c r="P11" s="74">
        <v>0</v>
      </c>
      <c r="Q11" s="73">
        <v>0</v>
      </c>
      <c r="R11" s="71" t="s">
        <v>625</v>
      </c>
      <c r="S11" s="71">
        <v>7414000005</v>
      </c>
      <c r="W11" s="3">
        <v>71610</v>
      </c>
      <c r="X11">
        <v>0</v>
      </c>
      <c r="AB11"/>
      <c r="AC11"/>
    </row>
    <row r="12" spans="1:30" x14ac:dyDescent="0.25">
      <c r="A12" t="str">
        <f t="shared" si="0"/>
        <v xml:space="preserve">1000001573AC *                </v>
      </c>
      <c r="B12" s="71">
        <v>1000001573</v>
      </c>
      <c r="C12" s="71" t="s">
        <v>626</v>
      </c>
      <c r="D12" s="71" t="s">
        <v>506</v>
      </c>
      <c r="E12" s="71" t="s">
        <v>623</v>
      </c>
      <c r="F12" s="71" t="s">
        <v>624</v>
      </c>
      <c r="G12" s="74">
        <v>0</v>
      </c>
      <c r="H12" s="72">
        <v>0</v>
      </c>
      <c r="I12" s="73">
        <v>0</v>
      </c>
      <c r="J12" s="72">
        <v>0</v>
      </c>
      <c r="K12" s="73">
        <v>0</v>
      </c>
      <c r="L12" s="74">
        <v>0</v>
      </c>
      <c r="M12" s="73">
        <v>0</v>
      </c>
      <c r="N12" s="74">
        <v>0</v>
      </c>
      <c r="O12" s="73">
        <v>0</v>
      </c>
      <c r="P12" s="74">
        <v>0</v>
      </c>
      <c r="Q12" s="73">
        <v>0</v>
      </c>
      <c r="R12" s="71" t="s">
        <v>625</v>
      </c>
      <c r="S12" s="71">
        <v>7414000005</v>
      </c>
      <c r="W12" s="3">
        <v>72636</v>
      </c>
      <c r="X12">
        <v>590705.56090499996</v>
      </c>
      <c r="AB12"/>
      <c r="AC12"/>
    </row>
    <row r="13" spans="1:30" x14ac:dyDescent="0.25">
      <c r="A13" t="str">
        <f t="shared" si="0"/>
        <v xml:space="preserve">1000001573ACWI *              </v>
      </c>
      <c r="B13" s="71">
        <v>1000001573</v>
      </c>
      <c r="C13" s="71" t="s">
        <v>626</v>
      </c>
      <c r="D13" s="71" t="s">
        <v>359</v>
      </c>
      <c r="E13" s="71" t="s">
        <v>623</v>
      </c>
      <c r="F13" s="71" t="s">
        <v>624</v>
      </c>
      <c r="G13" s="74">
        <v>0</v>
      </c>
      <c r="H13" s="72">
        <v>0</v>
      </c>
      <c r="I13" s="73">
        <v>0</v>
      </c>
      <c r="J13" s="72">
        <v>0</v>
      </c>
      <c r="K13" s="73">
        <v>0</v>
      </c>
      <c r="L13" s="74">
        <v>0</v>
      </c>
      <c r="M13" s="73">
        <v>0</v>
      </c>
      <c r="N13" s="74">
        <v>0</v>
      </c>
      <c r="O13" s="73">
        <v>0</v>
      </c>
      <c r="P13" s="74">
        <v>0</v>
      </c>
      <c r="Q13" s="73">
        <v>0</v>
      </c>
      <c r="R13" s="71" t="s">
        <v>625</v>
      </c>
      <c r="S13" s="71">
        <v>7414000005</v>
      </c>
      <c r="W13" s="3">
        <v>72637</v>
      </c>
      <c r="X13">
        <v>114141051.80555297</v>
      </c>
      <c r="AB13"/>
      <c r="AC13"/>
    </row>
    <row r="14" spans="1:30" x14ac:dyDescent="0.25">
      <c r="A14" t="str">
        <f t="shared" si="0"/>
        <v xml:space="preserve">1000001573ALFA A              </v>
      </c>
      <c r="B14" s="71">
        <v>1000001573</v>
      </c>
      <c r="C14" s="71" t="s">
        <v>626</v>
      </c>
      <c r="D14" s="71" t="s">
        <v>627</v>
      </c>
      <c r="E14" s="71" t="s">
        <v>623</v>
      </c>
      <c r="F14" s="71" t="s">
        <v>624</v>
      </c>
      <c r="G14" s="74">
        <v>450</v>
      </c>
      <c r="H14" s="72">
        <v>9802.1143969999994</v>
      </c>
      <c r="I14" s="73">
        <v>4410951.4786499999</v>
      </c>
      <c r="J14" s="72">
        <v>9982.2999999999993</v>
      </c>
      <c r="K14" s="73">
        <v>-81083.521349999995</v>
      </c>
      <c r="L14" s="74">
        <v>0</v>
      </c>
      <c r="M14" s="73">
        <v>0</v>
      </c>
      <c r="N14" s="74">
        <v>0</v>
      </c>
      <c r="O14" s="73">
        <v>0</v>
      </c>
      <c r="P14" s="74">
        <v>450</v>
      </c>
      <c r="Q14" s="73">
        <v>4410951.4786499999</v>
      </c>
      <c r="R14" s="71" t="s">
        <v>625</v>
      </c>
      <c r="S14" s="71">
        <v>7414000005</v>
      </c>
      <c r="W14" s="3">
        <v>75016</v>
      </c>
      <c r="X14">
        <v>44909763.822194993</v>
      </c>
      <c r="AB14"/>
      <c r="AC14"/>
    </row>
    <row r="15" spans="1:30" x14ac:dyDescent="0.25">
      <c r="A15" t="str">
        <f t="shared" si="0"/>
        <v xml:space="preserve">1000001573ALSEA *             </v>
      </c>
      <c r="B15" s="71">
        <v>1000001573</v>
      </c>
      <c r="C15" s="71" t="s">
        <v>626</v>
      </c>
      <c r="D15" s="71" t="s">
        <v>502</v>
      </c>
      <c r="E15" s="71" t="s">
        <v>623</v>
      </c>
      <c r="F15" s="71" t="s">
        <v>624</v>
      </c>
      <c r="G15" s="74">
        <v>156</v>
      </c>
      <c r="H15" s="72">
        <v>9469.6491050000004</v>
      </c>
      <c r="I15" s="73">
        <v>1477265.2603800001</v>
      </c>
      <c r="J15" s="72">
        <v>9977.4</v>
      </c>
      <c r="K15" s="73">
        <v>-79209.139620000002</v>
      </c>
      <c r="L15" s="74">
        <v>0</v>
      </c>
      <c r="M15" s="73">
        <v>0</v>
      </c>
      <c r="N15" s="74">
        <v>0</v>
      </c>
      <c r="O15" s="73">
        <v>0</v>
      </c>
      <c r="P15" s="74">
        <v>156</v>
      </c>
      <c r="Q15" s="73">
        <v>1477265.2603800001</v>
      </c>
      <c r="R15" s="71" t="s">
        <v>625</v>
      </c>
      <c r="S15" s="71">
        <v>7414000005</v>
      </c>
      <c r="W15" s="3">
        <v>75017</v>
      </c>
      <c r="X15">
        <v>76147.90798100004</v>
      </c>
      <c r="AB15"/>
      <c r="AC15"/>
    </row>
    <row r="16" spans="1:30" x14ac:dyDescent="0.25">
      <c r="A16" t="str">
        <f t="shared" si="0"/>
        <v xml:space="preserve">1000001573AMX 0129            </v>
      </c>
      <c r="B16" s="71">
        <v>1000001573</v>
      </c>
      <c r="C16" s="71" t="s">
        <v>626</v>
      </c>
      <c r="D16" s="71" t="s">
        <v>360</v>
      </c>
      <c r="E16" s="71" t="s">
        <v>623</v>
      </c>
      <c r="F16" s="71" t="s">
        <v>624</v>
      </c>
      <c r="G16" s="74">
        <v>0</v>
      </c>
      <c r="H16" s="72">
        <v>0</v>
      </c>
      <c r="I16" s="73">
        <v>0</v>
      </c>
      <c r="J16" s="72">
        <v>0</v>
      </c>
      <c r="K16" s="73">
        <v>0</v>
      </c>
      <c r="L16" s="74">
        <v>0</v>
      </c>
      <c r="M16" s="73">
        <v>0</v>
      </c>
      <c r="N16" s="74">
        <v>0</v>
      </c>
      <c r="O16" s="73">
        <v>0</v>
      </c>
      <c r="P16" s="74">
        <v>0</v>
      </c>
      <c r="Q16" s="73">
        <v>0</v>
      </c>
      <c r="R16" s="71" t="s">
        <v>625</v>
      </c>
      <c r="S16" s="71">
        <v>7414000005</v>
      </c>
      <c r="W16" s="3">
        <v>75218</v>
      </c>
      <c r="X16">
        <v>0</v>
      </c>
      <c r="AB16"/>
      <c r="AC16"/>
    </row>
    <row r="17" spans="1:29" x14ac:dyDescent="0.25">
      <c r="A17" t="str">
        <f t="shared" si="0"/>
        <v xml:space="preserve">1000001573AMX 0131X           </v>
      </c>
      <c r="B17" s="71">
        <v>1000001573</v>
      </c>
      <c r="C17" s="71" t="s">
        <v>626</v>
      </c>
      <c r="D17" s="71" t="s">
        <v>551</v>
      </c>
      <c r="E17" s="71" t="s">
        <v>623</v>
      </c>
      <c r="F17" s="71" t="s">
        <v>624</v>
      </c>
      <c r="G17" s="74">
        <v>0</v>
      </c>
      <c r="H17" s="72">
        <v>0</v>
      </c>
      <c r="I17" s="73">
        <v>0</v>
      </c>
      <c r="J17" s="72">
        <v>0</v>
      </c>
      <c r="K17" s="73">
        <v>0</v>
      </c>
      <c r="L17" s="74">
        <v>0</v>
      </c>
      <c r="M17" s="73">
        <v>0</v>
      </c>
      <c r="N17" s="74">
        <v>0</v>
      </c>
      <c r="O17" s="73">
        <v>0</v>
      </c>
      <c r="P17" s="74">
        <v>0</v>
      </c>
      <c r="Q17" s="73">
        <v>0</v>
      </c>
      <c r="R17" s="71" t="s">
        <v>625</v>
      </c>
      <c r="S17" s="71">
        <v>7414000005</v>
      </c>
      <c r="W17" s="3">
        <v>75219</v>
      </c>
      <c r="X17">
        <v>25336545.785209004</v>
      </c>
      <c r="AB17"/>
      <c r="AC17"/>
    </row>
    <row r="18" spans="1:29" x14ac:dyDescent="0.25">
      <c r="A18" t="str">
        <f t="shared" si="0"/>
        <v xml:space="preserve">1000001573AMX B               </v>
      </c>
      <c r="B18" s="71">
        <v>1000001573</v>
      </c>
      <c r="C18" s="71" t="s">
        <v>626</v>
      </c>
      <c r="D18" s="71" t="s">
        <v>361</v>
      </c>
      <c r="E18" s="71" t="s">
        <v>623</v>
      </c>
      <c r="F18" s="71" t="s">
        <v>624</v>
      </c>
      <c r="G18" s="74">
        <v>0</v>
      </c>
      <c r="H18" s="72">
        <v>0</v>
      </c>
      <c r="I18" s="73">
        <v>0</v>
      </c>
      <c r="J18" s="72">
        <v>0</v>
      </c>
      <c r="K18" s="73">
        <v>0</v>
      </c>
      <c r="L18" s="74">
        <v>0</v>
      </c>
      <c r="M18" s="73">
        <v>0</v>
      </c>
      <c r="N18" s="74">
        <v>0</v>
      </c>
      <c r="O18" s="73">
        <v>0</v>
      </c>
      <c r="P18" s="74">
        <v>0</v>
      </c>
      <c r="Q18" s="73">
        <v>0</v>
      </c>
      <c r="R18" s="71" t="s">
        <v>625</v>
      </c>
      <c r="S18" s="71">
        <v>7414000005</v>
      </c>
      <c r="W18" s="3">
        <v>75220</v>
      </c>
      <c r="X18">
        <v>1741899.1168169999</v>
      </c>
      <c r="AB18"/>
      <c r="AC18"/>
    </row>
    <row r="19" spans="1:29" x14ac:dyDescent="0.25">
      <c r="A19" t="str">
        <f t="shared" si="0"/>
        <v xml:space="preserve">1000001573ASUR B              </v>
      </c>
      <c r="B19" s="71">
        <v>1000001573</v>
      </c>
      <c r="C19" s="71" t="s">
        <v>626</v>
      </c>
      <c r="D19" s="71" t="s">
        <v>552</v>
      </c>
      <c r="E19" s="71" t="s">
        <v>623</v>
      </c>
      <c r="F19" s="71" t="s">
        <v>624</v>
      </c>
      <c r="G19" s="74">
        <v>62970</v>
      </c>
      <c r="H19" s="72">
        <v>100.000484</v>
      </c>
      <c r="I19" s="73">
        <v>6297030.4774799999</v>
      </c>
      <c r="J19" s="72">
        <v>100</v>
      </c>
      <c r="K19" s="73">
        <v>30.47748</v>
      </c>
      <c r="L19" s="74">
        <v>0</v>
      </c>
      <c r="M19" s="73">
        <v>0</v>
      </c>
      <c r="N19" s="74">
        <v>0</v>
      </c>
      <c r="O19" s="73">
        <v>0</v>
      </c>
      <c r="P19" s="74">
        <v>62970</v>
      </c>
      <c r="Q19" s="73">
        <v>6297030.4774799999</v>
      </c>
      <c r="R19" s="71" t="s">
        <v>625</v>
      </c>
      <c r="S19" s="71">
        <v>7414000005</v>
      </c>
      <c r="W19" s="3">
        <v>75221</v>
      </c>
      <c r="X19">
        <v>25513333.958753999</v>
      </c>
      <c r="AB19"/>
      <c r="AC19"/>
    </row>
    <row r="20" spans="1:29" x14ac:dyDescent="0.25">
      <c r="A20" t="str">
        <f t="shared" si="0"/>
        <v xml:space="preserve">1000001573BIMBO A             </v>
      </c>
      <c r="B20" s="71">
        <v>1000001573</v>
      </c>
      <c r="C20" s="71" t="s">
        <v>626</v>
      </c>
      <c r="D20" s="71" t="s">
        <v>362</v>
      </c>
      <c r="E20" s="71" t="s">
        <v>623</v>
      </c>
      <c r="F20" s="71" t="s">
        <v>624</v>
      </c>
      <c r="G20" s="74">
        <v>0</v>
      </c>
      <c r="H20" s="72">
        <v>0</v>
      </c>
      <c r="I20" s="73">
        <v>0</v>
      </c>
      <c r="J20" s="72">
        <v>0</v>
      </c>
      <c r="K20" s="73">
        <v>0</v>
      </c>
      <c r="L20" s="74">
        <v>0</v>
      </c>
      <c r="M20" s="73">
        <v>0</v>
      </c>
      <c r="N20" s="74">
        <v>0</v>
      </c>
      <c r="O20" s="73">
        <v>0</v>
      </c>
      <c r="P20" s="74">
        <v>0</v>
      </c>
      <c r="Q20" s="73">
        <v>0</v>
      </c>
      <c r="R20" s="71" t="s">
        <v>625</v>
      </c>
      <c r="S20" s="71">
        <v>7414000005</v>
      </c>
      <c r="W20" s="3">
        <v>75222</v>
      </c>
      <c r="X20">
        <v>20441199.008912005</v>
      </c>
      <c r="AB20"/>
      <c r="AC20"/>
    </row>
    <row r="21" spans="1:29" x14ac:dyDescent="0.25">
      <c r="A21" t="str">
        <f t="shared" si="0"/>
        <v xml:space="preserve">1000001573BLADEX 24           </v>
      </c>
      <c r="B21" s="71">
        <v>1000001573</v>
      </c>
      <c r="C21" s="71" t="s">
        <v>626</v>
      </c>
      <c r="D21" s="71" t="s">
        <v>364</v>
      </c>
      <c r="E21" s="71" t="s">
        <v>623</v>
      </c>
      <c r="F21" s="71" t="s">
        <v>624</v>
      </c>
      <c r="G21" s="74">
        <v>6325880</v>
      </c>
      <c r="H21" s="72">
        <v>9.190137</v>
      </c>
      <c r="I21" s="73">
        <v>58135703.845559999</v>
      </c>
      <c r="J21" s="72">
        <v>8.211578032240574</v>
      </c>
      <c r="K21" s="73">
        <v>6190246.6029700004</v>
      </c>
      <c r="L21" s="74">
        <v>0</v>
      </c>
      <c r="M21" s="73">
        <v>0</v>
      </c>
      <c r="N21" s="74">
        <v>0</v>
      </c>
      <c r="O21" s="73">
        <v>0</v>
      </c>
      <c r="P21" s="74">
        <v>6325880</v>
      </c>
      <c r="Q21" s="73">
        <v>58135703.845559999</v>
      </c>
      <c r="R21" s="71" t="s">
        <v>625</v>
      </c>
      <c r="S21" s="71">
        <v>7414000005</v>
      </c>
      <c r="W21" s="3">
        <v>75223</v>
      </c>
      <c r="X21">
        <v>0</v>
      </c>
      <c r="AB21"/>
      <c r="AC21"/>
    </row>
    <row r="22" spans="1:29" x14ac:dyDescent="0.25">
      <c r="A22" t="str">
        <f t="shared" si="0"/>
        <v xml:space="preserve">1000001573CEMEX CPO           </v>
      </c>
      <c r="B22" s="71">
        <v>1000001573</v>
      </c>
      <c r="C22" s="71" t="s">
        <v>626</v>
      </c>
      <c r="D22" s="71" t="s">
        <v>613</v>
      </c>
      <c r="E22" s="71" t="s">
        <v>623</v>
      </c>
      <c r="F22" s="71" t="s">
        <v>624</v>
      </c>
      <c r="G22" s="74">
        <v>914440</v>
      </c>
      <c r="H22" s="72">
        <v>8.2580650000000002</v>
      </c>
      <c r="I22" s="73">
        <v>7551504.9585999995</v>
      </c>
      <c r="J22" s="72">
        <v>8.2501711100000001</v>
      </c>
      <c r="K22" s="73">
        <v>7218.4887716000003</v>
      </c>
      <c r="L22" s="74">
        <v>0</v>
      </c>
      <c r="M22" s="73">
        <v>0</v>
      </c>
      <c r="N22" s="74">
        <v>0</v>
      </c>
      <c r="O22" s="73">
        <v>0</v>
      </c>
      <c r="P22" s="74">
        <v>914440</v>
      </c>
      <c r="Q22" s="73">
        <v>7551504.9585999995</v>
      </c>
      <c r="R22" s="71" t="s">
        <v>625</v>
      </c>
      <c r="S22" s="71">
        <v>7414000005</v>
      </c>
      <c r="W22" s="3">
        <v>75224</v>
      </c>
      <c r="X22">
        <v>0</v>
      </c>
      <c r="AB22"/>
      <c r="AC22"/>
    </row>
    <row r="23" spans="1:29" x14ac:dyDescent="0.25">
      <c r="A23" t="str">
        <f t="shared" si="0"/>
        <v xml:space="preserve">1000001573CETES 250123        </v>
      </c>
      <c r="B23" s="71">
        <v>1000001573</v>
      </c>
      <c r="C23" s="71" t="s">
        <v>626</v>
      </c>
      <c r="D23" s="71" t="s">
        <v>365</v>
      </c>
      <c r="E23" s="71" t="s">
        <v>623</v>
      </c>
      <c r="F23" s="71" t="s">
        <v>624</v>
      </c>
      <c r="G23" s="74">
        <v>0</v>
      </c>
      <c r="H23" s="72">
        <v>0</v>
      </c>
      <c r="I23" s="73">
        <v>0</v>
      </c>
      <c r="J23" s="72">
        <v>0</v>
      </c>
      <c r="K23" s="73">
        <v>0</v>
      </c>
      <c r="L23" s="74">
        <v>0</v>
      </c>
      <c r="M23" s="73">
        <v>0</v>
      </c>
      <c r="N23" s="74">
        <v>0</v>
      </c>
      <c r="O23" s="73">
        <v>0</v>
      </c>
      <c r="P23" s="74">
        <v>0</v>
      </c>
      <c r="Q23" s="73">
        <v>0</v>
      </c>
      <c r="R23" s="71" t="s">
        <v>625</v>
      </c>
      <c r="S23" s="71">
        <v>7414000005</v>
      </c>
      <c r="W23" s="3">
        <v>75225</v>
      </c>
      <c r="X23">
        <v>0</v>
      </c>
      <c r="AB23"/>
      <c r="AC23"/>
    </row>
    <row r="24" spans="1:29" x14ac:dyDescent="0.25">
      <c r="A24" t="str">
        <f t="shared" si="0"/>
        <v xml:space="preserve">1000001573CETES 260219        </v>
      </c>
      <c r="B24" s="71">
        <v>1000001573</v>
      </c>
      <c r="C24" s="71" t="s">
        <v>626</v>
      </c>
      <c r="D24" s="71" t="s">
        <v>367</v>
      </c>
      <c r="E24" s="71" t="s">
        <v>623</v>
      </c>
      <c r="F24" s="71" t="s">
        <v>624</v>
      </c>
      <c r="G24" s="74">
        <v>0</v>
      </c>
      <c r="H24" s="72">
        <v>0</v>
      </c>
      <c r="I24" s="73">
        <v>0</v>
      </c>
      <c r="J24" s="72">
        <v>0</v>
      </c>
      <c r="K24" s="73">
        <v>0</v>
      </c>
      <c r="L24" s="74">
        <v>0</v>
      </c>
      <c r="M24" s="73">
        <v>0</v>
      </c>
      <c r="N24" s="74">
        <v>0</v>
      </c>
      <c r="O24" s="73">
        <v>0</v>
      </c>
      <c r="P24" s="74">
        <v>0</v>
      </c>
      <c r="Q24" s="73">
        <v>0</v>
      </c>
      <c r="R24" s="71" t="s">
        <v>625</v>
      </c>
      <c r="S24" s="71">
        <v>7414000005</v>
      </c>
      <c r="W24" s="3">
        <v>75226</v>
      </c>
      <c r="X24">
        <v>0</v>
      </c>
      <c r="AB24"/>
      <c r="AC24"/>
    </row>
    <row r="25" spans="1:29" x14ac:dyDescent="0.25">
      <c r="A25" t="str">
        <f t="shared" si="0"/>
        <v xml:space="preserve">1000001573EEM *               </v>
      </c>
      <c r="B25" s="71">
        <v>1000001573</v>
      </c>
      <c r="C25" s="71" t="s">
        <v>626</v>
      </c>
      <c r="D25" s="71" t="s">
        <v>368</v>
      </c>
      <c r="E25" s="71" t="s">
        <v>623</v>
      </c>
      <c r="F25" s="71" t="s">
        <v>624</v>
      </c>
      <c r="G25" s="74">
        <v>0</v>
      </c>
      <c r="H25" s="72">
        <v>0</v>
      </c>
      <c r="I25" s="73">
        <v>0</v>
      </c>
      <c r="J25" s="72">
        <v>0</v>
      </c>
      <c r="K25" s="73">
        <v>0</v>
      </c>
      <c r="L25" s="74">
        <v>0</v>
      </c>
      <c r="M25" s="73">
        <v>0</v>
      </c>
      <c r="N25" s="74">
        <v>0</v>
      </c>
      <c r="O25" s="73">
        <v>0</v>
      </c>
      <c r="P25" s="74">
        <v>0</v>
      </c>
      <c r="Q25" s="73">
        <v>0</v>
      </c>
      <c r="R25" s="71" t="s">
        <v>625</v>
      </c>
      <c r="S25" s="71">
        <v>7414000005</v>
      </c>
      <c r="W25" s="3">
        <v>75227</v>
      </c>
      <c r="X25">
        <v>0</v>
      </c>
      <c r="AB25"/>
      <c r="AC25"/>
    </row>
    <row r="26" spans="1:29" x14ac:dyDescent="0.25">
      <c r="A26" t="str">
        <f t="shared" si="0"/>
        <v xml:space="preserve">1000001573EPP *               </v>
      </c>
      <c r="B26" s="71">
        <v>1000001573</v>
      </c>
      <c r="C26" s="71" t="s">
        <v>626</v>
      </c>
      <c r="D26" s="71" t="s">
        <v>369</v>
      </c>
      <c r="E26" s="71" t="s">
        <v>623</v>
      </c>
      <c r="F26" s="71" t="s">
        <v>624</v>
      </c>
      <c r="G26" s="74">
        <v>0</v>
      </c>
      <c r="H26" s="72">
        <v>0</v>
      </c>
      <c r="I26" s="73">
        <v>0</v>
      </c>
      <c r="J26" s="72">
        <v>0</v>
      </c>
      <c r="K26" s="73">
        <v>0</v>
      </c>
      <c r="L26" s="74">
        <v>0</v>
      </c>
      <c r="M26" s="73">
        <v>0</v>
      </c>
      <c r="N26" s="74">
        <v>0</v>
      </c>
      <c r="O26" s="73">
        <v>0</v>
      </c>
      <c r="P26" s="74">
        <v>0</v>
      </c>
      <c r="Q26" s="73">
        <v>0</v>
      </c>
      <c r="R26" s="71" t="s">
        <v>625</v>
      </c>
      <c r="S26" s="71">
        <v>7414000005</v>
      </c>
      <c r="W26" s="3">
        <v>75228</v>
      </c>
      <c r="X26">
        <v>0</v>
      </c>
      <c r="AB26"/>
      <c r="AC26"/>
    </row>
    <row r="27" spans="1:29" x14ac:dyDescent="0.25">
      <c r="A27" t="str">
        <f t="shared" si="0"/>
        <v xml:space="preserve">1000001573EWJ *               </v>
      </c>
      <c r="B27" s="71">
        <v>1000001573</v>
      </c>
      <c r="C27" s="71" t="s">
        <v>626</v>
      </c>
      <c r="D27" s="71" t="s">
        <v>370</v>
      </c>
      <c r="E27" s="71" t="s">
        <v>623</v>
      </c>
      <c r="F27" s="71" t="s">
        <v>624</v>
      </c>
      <c r="G27" s="74">
        <v>0</v>
      </c>
      <c r="H27" s="72">
        <v>0</v>
      </c>
      <c r="I27" s="73">
        <v>0</v>
      </c>
      <c r="J27" s="72">
        <v>0</v>
      </c>
      <c r="K27" s="73">
        <v>0</v>
      </c>
      <c r="L27" s="74">
        <v>0</v>
      </c>
      <c r="M27" s="73">
        <v>0</v>
      </c>
      <c r="N27" s="74">
        <v>0</v>
      </c>
      <c r="O27" s="73">
        <v>0</v>
      </c>
      <c r="P27" s="74">
        <v>0</v>
      </c>
      <c r="Q27" s="73">
        <v>0</v>
      </c>
      <c r="R27" s="71" t="s">
        <v>625</v>
      </c>
      <c r="S27" s="71">
        <v>7414000005</v>
      </c>
      <c r="W27" s="3">
        <v>77704</v>
      </c>
      <c r="X27">
        <v>0</v>
      </c>
      <c r="AB27"/>
      <c r="AC27"/>
    </row>
    <row r="28" spans="1:29" x14ac:dyDescent="0.25">
      <c r="A28" t="str">
        <f t="shared" si="0"/>
        <v xml:space="preserve">1000001573FEMSA UBD           </v>
      </c>
      <c r="B28" s="71">
        <v>1000001573</v>
      </c>
      <c r="C28" s="71" t="s">
        <v>626</v>
      </c>
      <c r="D28" s="71" t="s">
        <v>371</v>
      </c>
      <c r="E28" s="71" t="s">
        <v>623</v>
      </c>
      <c r="F28" s="71" t="s">
        <v>624</v>
      </c>
      <c r="G28" s="74">
        <v>0</v>
      </c>
      <c r="H28" s="72">
        <v>0</v>
      </c>
      <c r="I28" s="73">
        <v>0</v>
      </c>
      <c r="J28" s="72">
        <v>0</v>
      </c>
      <c r="K28" s="73">
        <v>0</v>
      </c>
      <c r="L28" s="74">
        <v>0</v>
      </c>
      <c r="M28" s="73">
        <v>0</v>
      </c>
      <c r="N28" s="74">
        <v>0</v>
      </c>
      <c r="O28" s="73">
        <v>0</v>
      </c>
      <c r="P28" s="74">
        <v>0</v>
      </c>
      <c r="Q28" s="73">
        <v>0</v>
      </c>
      <c r="R28" s="71" t="s">
        <v>625</v>
      </c>
      <c r="S28" s="71">
        <v>7414000005</v>
      </c>
      <c r="W28" s="3">
        <v>78665</v>
      </c>
      <c r="X28">
        <v>530545967.33873898</v>
      </c>
      <c r="AB28"/>
      <c r="AC28"/>
    </row>
    <row r="29" spans="1:29" x14ac:dyDescent="0.25">
      <c r="A29" t="str">
        <f t="shared" si="0"/>
        <v xml:space="preserve">1000001573GAP B               </v>
      </c>
      <c r="B29" s="71">
        <v>1000001573</v>
      </c>
      <c r="C29" s="71" t="s">
        <v>626</v>
      </c>
      <c r="D29" s="71" t="s">
        <v>372</v>
      </c>
      <c r="E29" s="71" t="s">
        <v>623</v>
      </c>
      <c r="F29" s="71" t="s">
        <v>624</v>
      </c>
      <c r="G29" s="74">
        <v>0</v>
      </c>
      <c r="H29" s="72">
        <v>0</v>
      </c>
      <c r="I29" s="73">
        <v>0</v>
      </c>
      <c r="J29" s="72">
        <v>0</v>
      </c>
      <c r="K29" s="73">
        <v>0</v>
      </c>
      <c r="L29" s="74">
        <v>0</v>
      </c>
      <c r="M29" s="73">
        <v>0</v>
      </c>
      <c r="N29" s="74">
        <v>0</v>
      </c>
      <c r="O29" s="73">
        <v>0</v>
      </c>
      <c r="P29" s="74">
        <v>0</v>
      </c>
      <c r="Q29" s="73">
        <v>0</v>
      </c>
      <c r="R29" s="71" t="s">
        <v>625</v>
      </c>
      <c r="S29" s="71">
        <v>7414000005</v>
      </c>
      <c r="W29" s="3">
        <v>78666</v>
      </c>
      <c r="X29">
        <v>1539821985.9903059</v>
      </c>
      <c r="AB29"/>
      <c r="AC29"/>
    </row>
    <row r="30" spans="1:29" x14ac:dyDescent="0.25">
      <c r="A30" t="str">
        <f t="shared" si="0"/>
        <v xml:space="preserve">1000001573GCC *               </v>
      </c>
      <c r="B30" s="71">
        <v>1000001573</v>
      </c>
      <c r="C30" s="71" t="s">
        <v>626</v>
      </c>
      <c r="D30" s="71" t="s">
        <v>373</v>
      </c>
      <c r="E30" s="71" t="s">
        <v>623</v>
      </c>
      <c r="F30" s="71" t="s">
        <v>624</v>
      </c>
      <c r="G30" s="74">
        <v>0</v>
      </c>
      <c r="H30" s="72">
        <v>0</v>
      </c>
      <c r="I30" s="73">
        <v>0</v>
      </c>
      <c r="J30" s="72">
        <v>0</v>
      </c>
      <c r="K30" s="73">
        <v>0</v>
      </c>
      <c r="L30" s="74">
        <v>0</v>
      </c>
      <c r="M30" s="73">
        <v>0</v>
      </c>
      <c r="N30" s="74">
        <v>0</v>
      </c>
      <c r="O30" s="73">
        <v>0</v>
      </c>
      <c r="P30" s="74">
        <v>0</v>
      </c>
      <c r="Q30" s="73">
        <v>0</v>
      </c>
      <c r="R30" s="71" t="s">
        <v>625</v>
      </c>
      <c r="S30" s="71">
        <v>7414000005</v>
      </c>
      <c r="W30" s="3">
        <v>78669</v>
      </c>
      <c r="X30">
        <v>1728508607.6036761</v>
      </c>
      <c r="AB30"/>
      <c r="AC30"/>
    </row>
    <row r="31" spans="1:29" x14ac:dyDescent="0.25">
      <c r="A31" t="str">
        <f t="shared" si="0"/>
        <v xml:space="preserve">1000001573GENTERA *           </v>
      </c>
      <c r="B31" s="71">
        <v>1000001573</v>
      </c>
      <c r="C31" s="71" t="s">
        <v>626</v>
      </c>
      <c r="D31" s="71" t="s">
        <v>374</v>
      </c>
      <c r="E31" s="71" t="s">
        <v>623</v>
      </c>
      <c r="F31" s="71" t="s">
        <v>624</v>
      </c>
      <c r="G31" s="74">
        <v>0</v>
      </c>
      <c r="H31" s="72">
        <v>0</v>
      </c>
      <c r="I31" s="73">
        <v>0</v>
      </c>
      <c r="J31" s="72">
        <v>0</v>
      </c>
      <c r="K31" s="73">
        <v>0</v>
      </c>
      <c r="L31" s="74">
        <v>0</v>
      </c>
      <c r="M31" s="73">
        <v>0</v>
      </c>
      <c r="N31" s="74">
        <v>0</v>
      </c>
      <c r="O31" s="73">
        <v>0</v>
      </c>
      <c r="P31" s="74">
        <v>0</v>
      </c>
      <c r="Q31" s="73">
        <v>0</v>
      </c>
      <c r="R31" s="71" t="s">
        <v>625</v>
      </c>
      <c r="S31" s="71">
        <v>7414000005</v>
      </c>
      <c r="W31" s="3">
        <v>79041</v>
      </c>
      <c r="X31">
        <v>0</v>
      </c>
      <c r="AB31"/>
      <c r="AC31"/>
    </row>
    <row r="32" spans="1:29" x14ac:dyDescent="0.25">
      <c r="A32" t="str">
        <f t="shared" si="0"/>
        <v xml:space="preserve">1000001573GFNORTE O           </v>
      </c>
      <c r="B32" s="71">
        <v>1000001573</v>
      </c>
      <c r="C32" s="71" t="s">
        <v>626</v>
      </c>
      <c r="D32" s="71" t="s">
        <v>375</v>
      </c>
      <c r="E32" s="71" t="s">
        <v>623</v>
      </c>
      <c r="F32" s="71" t="s">
        <v>624</v>
      </c>
      <c r="G32" s="74">
        <v>50300</v>
      </c>
      <c r="H32" s="72">
        <v>98.730349000000004</v>
      </c>
      <c r="I32" s="73">
        <v>4966136.5547000002</v>
      </c>
      <c r="J32" s="72">
        <v>95.551114380000001</v>
      </c>
      <c r="K32" s="73">
        <v>159915.50138599999</v>
      </c>
      <c r="L32" s="74">
        <v>0</v>
      </c>
      <c r="M32" s="73">
        <v>0</v>
      </c>
      <c r="N32" s="74">
        <v>0</v>
      </c>
      <c r="O32" s="73">
        <v>0</v>
      </c>
      <c r="P32" s="74">
        <v>50300</v>
      </c>
      <c r="Q32" s="73">
        <v>4966136.5547000002</v>
      </c>
      <c r="R32" s="71" t="s">
        <v>625</v>
      </c>
      <c r="S32" s="71">
        <v>7414000005</v>
      </c>
      <c r="W32" s="3">
        <v>79042</v>
      </c>
      <c r="X32">
        <v>0</v>
      </c>
      <c r="AB32"/>
      <c r="AC32"/>
    </row>
    <row r="33" spans="1:29" x14ac:dyDescent="0.25">
      <c r="A33" t="str">
        <f t="shared" si="0"/>
        <v xml:space="preserve">1000001573GMEXICO B           </v>
      </c>
      <c r="B33" s="71">
        <v>1000001573</v>
      </c>
      <c r="C33" s="71" t="s">
        <v>626</v>
      </c>
      <c r="D33" s="71" t="s">
        <v>377</v>
      </c>
      <c r="E33" s="71" t="s">
        <v>623</v>
      </c>
      <c r="F33" s="71" t="s">
        <v>624</v>
      </c>
      <c r="G33" s="74">
        <v>130000</v>
      </c>
      <c r="H33" s="72">
        <v>94.973146999999997</v>
      </c>
      <c r="I33" s="73">
        <v>12346509.109999999</v>
      </c>
      <c r="J33" s="72">
        <v>90.737203046153851</v>
      </c>
      <c r="K33" s="73">
        <v>550672.71400000004</v>
      </c>
      <c r="L33" s="74">
        <v>0</v>
      </c>
      <c r="M33" s="73">
        <v>0</v>
      </c>
      <c r="N33" s="74">
        <v>0</v>
      </c>
      <c r="O33" s="73">
        <v>0</v>
      </c>
      <c r="P33" s="74">
        <v>130000</v>
      </c>
      <c r="Q33" s="73">
        <v>12346509.109999999</v>
      </c>
      <c r="R33" s="71" t="s">
        <v>625</v>
      </c>
      <c r="S33" s="71">
        <v>7414000005</v>
      </c>
      <c r="W33" s="3">
        <v>79043</v>
      </c>
      <c r="X33">
        <v>0</v>
      </c>
      <c r="AB33"/>
      <c r="AC33"/>
    </row>
    <row r="34" spans="1:29" x14ac:dyDescent="0.25">
      <c r="A34" t="str">
        <f t="shared" si="0"/>
        <v xml:space="preserve">1000001573GOBFED 240905       </v>
      </c>
      <c r="B34" s="71">
        <v>1000001573</v>
      </c>
      <c r="C34" s="71" t="s">
        <v>626</v>
      </c>
      <c r="D34" s="71" t="s">
        <v>378</v>
      </c>
      <c r="E34" s="71" t="s">
        <v>623</v>
      </c>
      <c r="F34" s="71" t="s">
        <v>624</v>
      </c>
      <c r="G34" s="74">
        <v>100000</v>
      </c>
      <c r="H34" s="72">
        <v>91.911821000000003</v>
      </c>
      <c r="I34" s="73">
        <v>9191182.0999999996</v>
      </c>
      <c r="J34" s="72">
        <v>89.152324980000003</v>
      </c>
      <c r="K34" s="73">
        <v>275949.60200000001</v>
      </c>
      <c r="L34" s="74">
        <v>0</v>
      </c>
      <c r="M34" s="73">
        <v>0</v>
      </c>
      <c r="N34" s="74">
        <v>0</v>
      </c>
      <c r="O34" s="73">
        <v>0</v>
      </c>
      <c r="P34" s="74">
        <v>100000</v>
      </c>
      <c r="Q34" s="73">
        <v>9191182.0999999996</v>
      </c>
      <c r="R34" s="71" t="s">
        <v>625</v>
      </c>
      <c r="S34" s="71">
        <v>7414000005</v>
      </c>
      <c r="W34" s="3">
        <v>79044</v>
      </c>
      <c r="X34">
        <v>0</v>
      </c>
      <c r="AB34"/>
      <c r="AC34"/>
    </row>
    <row r="35" spans="1:29" x14ac:dyDescent="0.25">
      <c r="A35" t="str">
        <f t="shared" si="0"/>
        <v xml:space="preserve">1000001573GOBFED 250306       </v>
      </c>
      <c r="B35" s="71">
        <v>1000001573</v>
      </c>
      <c r="C35" s="71" t="s">
        <v>626</v>
      </c>
      <c r="D35" s="71" t="s">
        <v>499</v>
      </c>
      <c r="E35" s="71" t="s">
        <v>623</v>
      </c>
      <c r="F35" s="71" t="s">
        <v>624</v>
      </c>
      <c r="G35" s="74">
        <v>22560</v>
      </c>
      <c r="H35" s="72">
        <v>92.954503000000003</v>
      </c>
      <c r="I35" s="73">
        <v>2097053.5876800001</v>
      </c>
      <c r="J35" s="72">
        <v>93.280131854822699</v>
      </c>
      <c r="K35" s="73">
        <v>-7346.1869648000002</v>
      </c>
      <c r="L35" s="74">
        <v>0</v>
      </c>
      <c r="M35" s="73">
        <v>0</v>
      </c>
      <c r="N35" s="74">
        <v>0</v>
      </c>
      <c r="O35" s="73">
        <v>0</v>
      </c>
      <c r="P35" s="74">
        <v>22560</v>
      </c>
      <c r="Q35" s="73">
        <v>2097053.5876800001</v>
      </c>
      <c r="R35" s="71" t="s">
        <v>625</v>
      </c>
      <c r="S35" s="71">
        <v>7414000005</v>
      </c>
      <c r="W35" s="3">
        <v>79045</v>
      </c>
      <c r="X35">
        <v>39567273.015353002</v>
      </c>
      <c r="AB35"/>
      <c r="AC35"/>
    </row>
    <row r="36" spans="1:29" x14ac:dyDescent="0.25">
      <c r="A36" t="str">
        <f t="shared" si="0"/>
        <v xml:space="preserve">1000001573GOBFED 260305       </v>
      </c>
      <c r="B36" s="71">
        <v>1000001573</v>
      </c>
      <c r="C36" s="71" t="s">
        <v>626</v>
      </c>
      <c r="D36" s="71" t="s">
        <v>379</v>
      </c>
      <c r="E36" s="71" t="s">
        <v>623</v>
      </c>
      <c r="F36" s="71" t="s">
        <v>624</v>
      </c>
      <c r="G36" s="74">
        <v>30000</v>
      </c>
      <c r="H36" s="72">
        <v>88.698122999999995</v>
      </c>
      <c r="I36" s="73">
        <v>2660943.69</v>
      </c>
      <c r="J36" s="72">
        <v>87.674765210000004</v>
      </c>
      <c r="K36" s="73">
        <v>30700.733700000001</v>
      </c>
      <c r="L36" s="74">
        <v>0</v>
      </c>
      <c r="M36" s="73">
        <v>0</v>
      </c>
      <c r="N36" s="74">
        <v>0</v>
      </c>
      <c r="O36" s="73">
        <v>0</v>
      </c>
      <c r="P36" s="74">
        <v>30000</v>
      </c>
      <c r="Q36" s="73">
        <v>2660943.69</v>
      </c>
      <c r="R36" s="71" t="s">
        <v>625</v>
      </c>
      <c r="S36" s="71">
        <v>7414000005</v>
      </c>
      <c r="W36" s="3">
        <v>79046</v>
      </c>
      <c r="X36">
        <v>0</v>
      </c>
      <c r="AB36"/>
      <c r="AC36"/>
    </row>
    <row r="37" spans="1:29" x14ac:dyDescent="0.25">
      <c r="A37" t="str">
        <f t="shared" si="0"/>
        <v xml:space="preserve">1000001573GOBFED 260903       </v>
      </c>
      <c r="B37" s="71">
        <v>1000001573</v>
      </c>
      <c r="C37" s="71" t="s">
        <v>626</v>
      </c>
      <c r="D37" s="71" t="s">
        <v>380</v>
      </c>
      <c r="E37" s="71" t="s">
        <v>623</v>
      </c>
      <c r="F37" s="71" t="s">
        <v>624</v>
      </c>
      <c r="G37" s="74">
        <v>127260</v>
      </c>
      <c r="H37" s="72">
        <v>93.314192000000006</v>
      </c>
      <c r="I37" s="73">
        <v>11875164.07392</v>
      </c>
      <c r="J37" s="72">
        <v>93.692293291034105</v>
      </c>
      <c r="K37" s="73">
        <v>-48117.170296999997</v>
      </c>
      <c r="L37" s="74">
        <v>0</v>
      </c>
      <c r="M37" s="73">
        <v>0</v>
      </c>
      <c r="N37" s="74">
        <v>0</v>
      </c>
      <c r="O37" s="73">
        <v>0</v>
      </c>
      <c r="P37" s="74">
        <v>127260</v>
      </c>
      <c r="Q37" s="73">
        <v>11875164.07392</v>
      </c>
      <c r="R37" s="71" t="s">
        <v>625</v>
      </c>
      <c r="S37" s="71">
        <v>7414000005</v>
      </c>
      <c r="W37" s="3">
        <v>80862</v>
      </c>
      <c r="X37">
        <v>65025110.951007992</v>
      </c>
      <c r="AB37"/>
      <c r="AC37"/>
    </row>
    <row r="38" spans="1:29" x14ac:dyDescent="0.25">
      <c r="A38" t="str">
        <f t="shared" si="0"/>
        <v xml:space="preserve">1000001573GOBFED 270304       </v>
      </c>
      <c r="B38" s="71">
        <v>1000001573</v>
      </c>
      <c r="C38" s="71" t="s">
        <v>626</v>
      </c>
      <c r="D38" s="71" t="s">
        <v>507</v>
      </c>
      <c r="E38" s="71" t="s">
        <v>623</v>
      </c>
      <c r="F38" s="71" t="s">
        <v>624</v>
      </c>
      <c r="G38" s="74">
        <v>76690</v>
      </c>
      <c r="H38" s="72">
        <v>94.864168000000006</v>
      </c>
      <c r="I38" s="73">
        <v>7275133.0439200001</v>
      </c>
      <c r="J38" s="72">
        <v>96.404140225417919</v>
      </c>
      <c r="K38" s="73">
        <v>-118100.4699673</v>
      </c>
      <c r="L38" s="74">
        <v>0</v>
      </c>
      <c r="M38" s="73">
        <v>0</v>
      </c>
      <c r="N38" s="74">
        <v>0</v>
      </c>
      <c r="O38" s="73">
        <v>0</v>
      </c>
      <c r="P38" s="74">
        <v>76690</v>
      </c>
      <c r="Q38" s="73">
        <v>7275133.0439200001</v>
      </c>
      <c r="R38" s="71" t="s">
        <v>625</v>
      </c>
      <c r="S38" s="71">
        <v>7414000005</v>
      </c>
      <c r="W38" s="3">
        <v>142481</v>
      </c>
      <c r="X38">
        <v>1058388.8999999999</v>
      </c>
      <c r="AB38"/>
      <c r="AC38"/>
    </row>
    <row r="39" spans="1:29" x14ac:dyDescent="0.25">
      <c r="A39" t="str">
        <f t="shared" si="0"/>
        <v xml:space="preserve">1000001573GOBFED 270603       </v>
      </c>
      <c r="B39" s="71">
        <v>1000001573</v>
      </c>
      <c r="C39" s="71" t="s">
        <v>626</v>
      </c>
      <c r="D39" s="71" t="s">
        <v>381</v>
      </c>
      <c r="E39" s="71" t="s">
        <v>623</v>
      </c>
      <c r="F39" s="71" t="s">
        <v>624</v>
      </c>
      <c r="G39" s="74">
        <v>297490</v>
      </c>
      <c r="H39" s="72">
        <v>94.870157000000006</v>
      </c>
      <c r="I39" s="73">
        <v>28222923.005929999</v>
      </c>
      <c r="J39" s="72">
        <v>97.509016819287709</v>
      </c>
      <c r="K39" s="73">
        <v>-785034.40763989999</v>
      </c>
      <c r="L39" s="74">
        <v>0</v>
      </c>
      <c r="M39" s="73">
        <v>0</v>
      </c>
      <c r="N39" s="74">
        <v>0</v>
      </c>
      <c r="O39" s="73">
        <v>0</v>
      </c>
      <c r="P39" s="74">
        <v>297490</v>
      </c>
      <c r="Q39" s="73">
        <v>28222923.005929999</v>
      </c>
      <c r="R39" s="71" t="s">
        <v>625</v>
      </c>
      <c r="S39" s="71">
        <v>7414000005</v>
      </c>
      <c r="W39" s="3">
        <v>142482</v>
      </c>
      <c r="X39">
        <v>208796.14</v>
      </c>
      <c r="AB39"/>
      <c r="AC39"/>
    </row>
    <row r="40" spans="1:29" x14ac:dyDescent="0.25">
      <c r="A40" t="str">
        <f t="shared" si="0"/>
        <v xml:space="preserve">1000001573GOBFED 290301       </v>
      </c>
      <c r="B40" s="71">
        <v>1000001573</v>
      </c>
      <c r="C40" s="71" t="s">
        <v>626</v>
      </c>
      <c r="D40" s="71" t="s">
        <v>382</v>
      </c>
      <c r="E40" s="71" t="s">
        <v>623</v>
      </c>
      <c r="F40" s="71" t="s">
        <v>624</v>
      </c>
      <c r="G40" s="74">
        <v>51006</v>
      </c>
      <c r="H40" s="72">
        <v>89.489464999999996</v>
      </c>
      <c r="I40" s="73">
        <v>4564499.6517899996</v>
      </c>
      <c r="J40" s="72">
        <v>91.081365976159276</v>
      </c>
      <c r="K40" s="73">
        <v>-81196.501189980001</v>
      </c>
      <c r="L40" s="74">
        <v>0</v>
      </c>
      <c r="M40" s="73">
        <v>0</v>
      </c>
      <c r="N40" s="74">
        <v>0</v>
      </c>
      <c r="O40" s="73">
        <v>0</v>
      </c>
      <c r="P40" s="74">
        <v>51006</v>
      </c>
      <c r="Q40" s="73">
        <v>4564499.6517899996</v>
      </c>
      <c r="R40" s="71" t="s">
        <v>625</v>
      </c>
      <c r="S40" s="71">
        <v>7414000005</v>
      </c>
      <c r="W40" s="3">
        <v>143510</v>
      </c>
      <c r="X40">
        <v>0</v>
      </c>
      <c r="AB40"/>
      <c r="AC40"/>
    </row>
    <row r="41" spans="1:29" x14ac:dyDescent="0.25">
      <c r="A41" t="str">
        <f t="shared" ref="A41:A70" si="1">B39&amp;D39</f>
        <v xml:space="preserve">1000001573GOBFED 290531       </v>
      </c>
      <c r="B41" s="71">
        <v>1000001573</v>
      </c>
      <c r="C41" s="71" t="s">
        <v>626</v>
      </c>
      <c r="D41" s="71" t="s">
        <v>383</v>
      </c>
      <c r="E41" s="71" t="s">
        <v>623</v>
      </c>
      <c r="F41" s="71" t="s">
        <v>624</v>
      </c>
      <c r="G41" s="74">
        <v>199640</v>
      </c>
      <c r="H41" s="72">
        <v>86.197128000000006</v>
      </c>
      <c r="I41" s="73">
        <v>17208394.633919999</v>
      </c>
      <c r="J41" s="72">
        <v>89.833009196265778</v>
      </c>
      <c r="K41" s="73">
        <v>-725867.32202249998</v>
      </c>
      <c r="L41" s="74">
        <v>0</v>
      </c>
      <c r="M41" s="73">
        <v>0</v>
      </c>
      <c r="N41" s="74">
        <v>0</v>
      </c>
      <c r="O41" s="73">
        <v>0</v>
      </c>
      <c r="P41" s="74">
        <v>199640</v>
      </c>
      <c r="Q41" s="73">
        <v>17208394.633919999</v>
      </c>
      <c r="R41" s="71" t="s">
        <v>625</v>
      </c>
      <c r="S41" s="71">
        <v>7414000005</v>
      </c>
      <c r="W41" s="3">
        <v>147309</v>
      </c>
      <c r="X41">
        <v>323537018.66242701</v>
      </c>
      <c r="AB41"/>
      <c r="AC41"/>
    </row>
    <row r="42" spans="1:29" x14ac:dyDescent="0.25">
      <c r="A42" t="str">
        <f t="shared" si="1"/>
        <v xml:space="preserve">1000001573GOBFED 310529       </v>
      </c>
      <c r="B42" s="71">
        <v>1000001573</v>
      </c>
      <c r="C42" s="71" t="s">
        <v>626</v>
      </c>
      <c r="D42" s="71" t="s">
        <v>427</v>
      </c>
      <c r="E42" s="71" t="s">
        <v>623</v>
      </c>
      <c r="F42" s="71" t="s">
        <v>624</v>
      </c>
      <c r="G42" s="74">
        <v>195699</v>
      </c>
      <c r="H42" s="72">
        <v>86.469353999999996</v>
      </c>
      <c r="I42" s="73">
        <v>16921966.108445998</v>
      </c>
      <c r="J42" s="72">
        <v>89.838096089999993</v>
      </c>
      <c r="K42" s="73">
        <v>-659259.45827090996</v>
      </c>
      <c r="L42" s="74">
        <v>0</v>
      </c>
      <c r="M42" s="73">
        <v>0</v>
      </c>
      <c r="N42" s="74">
        <v>0</v>
      </c>
      <c r="O42" s="73">
        <v>0</v>
      </c>
      <c r="P42" s="74">
        <v>195699</v>
      </c>
      <c r="Q42" s="73">
        <v>16921966.108445998</v>
      </c>
      <c r="R42" s="71" t="s">
        <v>625</v>
      </c>
      <c r="S42" s="71">
        <v>7414000005</v>
      </c>
      <c r="W42" s="3">
        <v>147310</v>
      </c>
      <c r="X42">
        <v>150734629.05490997</v>
      </c>
      <c r="AB42"/>
      <c r="AC42"/>
    </row>
    <row r="43" spans="1:29" x14ac:dyDescent="0.25">
      <c r="A43" t="str">
        <f t="shared" si="1"/>
        <v xml:space="preserve">1000001573GOBFED 330526       </v>
      </c>
      <c r="B43" s="71">
        <v>1000001573</v>
      </c>
      <c r="C43" s="71" t="s">
        <v>626</v>
      </c>
      <c r="D43" s="71" t="s">
        <v>384</v>
      </c>
      <c r="E43" s="71" t="s">
        <v>623</v>
      </c>
      <c r="F43" s="71" t="s">
        <v>624</v>
      </c>
      <c r="G43" s="74">
        <v>137652</v>
      </c>
      <c r="H43" s="72">
        <v>81.738860000000003</v>
      </c>
      <c r="I43" s="73">
        <v>11251517.55672</v>
      </c>
      <c r="J43" s="72">
        <v>86.051241614074627</v>
      </c>
      <c r="K43" s="73">
        <v>-593607.95394060004</v>
      </c>
      <c r="L43" s="74">
        <v>0</v>
      </c>
      <c r="M43" s="73">
        <v>0</v>
      </c>
      <c r="N43" s="74">
        <v>0</v>
      </c>
      <c r="O43" s="73">
        <v>0</v>
      </c>
      <c r="P43" s="74">
        <v>137652</v>
      </c>
      <c r="Q43" s="73">
        <v>11251517.55672</v>
      </c>
      <c r="R43" s="71" t="s">
        <v>625</v>
      </c>
      <c r="S43" s="71">
        <v>7414000005</v>
      </c>
      <c r="W43" s="3">
        <v>147311</v>
      </c>
      <c r="X43">
        <v>214272265.07934496</v>
      </c>
      <c r="AB43"/>
      <c r="AC43"/>
    </row>
    <row r="44" spans="1:29" x14ac:dyDescent="0.25">
      <c r="A44" t="str">
        <f t="shared" si="1"/>
        <v xml:space="preserve">1000001573GOBFED 341123       </v>
      </c>
      <c r="B44" s="71">
        <v>1000001573</v>
      </c>
      <c r="C44" s="71" t="s">
        <v>626</v>
      </c>
      <c r="D44" s="71" t="s">
        <v>385</v>
      </c>
      <c r="E44" s="71" t="s">
        <v>623</v>
      </c>
      <c r="F44" s="71" t="s">
        <v>624</v>
      </c>
      <c r="G44" s="74">
        <v>48434</v>
      </c>
      <c r="H44" s="72">
        <v>83.200761</v>
      </c>
      <c r="I44" s="73">
        <v>4029745.658274</v>
      </c>
      <c r="J44" s="72">
        <v>91.282563010000004</v>
      </c>
      <c r="K44" s="73">
        <v>-391433.99855234002</v>
      </c>
      <c r="L44" s="74">
        <v>0</v>
      </c>
      <c r="M44" s="73">
        <v>0</v>
      </c>
      <c r="N44" s="74">
        <v>0</v>
      </c>
      <c r="O44" s="73">
        <v>0</v>
      </c>
      <c r="P44" s="74">
        <v>48434</v>
      </c>
      <c r="Q44" s="73">
        <v>4029745.658274</v>
      </c>
      <c r="R44" s="71" t="s">
        <v>625</v>
      </c>
      <c r="S44" s="71">
        <v>7414000005</v>
      </c>
      <c r="W44" s="3">
        <v>147312</v>
      </c>
      <c r="X44">
        <v>36745765.443085</v>
      </c>
      <c r="AB44"/>
      <c r="AC44"/>
    </row>
    <row r="45" spans="1:29" x14ac:dyDescent="0.25">
      <c r="A45" t="str">
        <f t="shared" si="1"/>
        <v xml:space="preserve">1000001573GOBFED 421113       </v>
      </c>
      <c r="B45" s="71">
        <v>1000001573</v>
      </c>
      <c r="C45" s="71" t="s">
        <v>626</v>
      </c>
      <c r="D45" s="71" t="s">
        <v>386</v>
      </c>
      <c r="E45" s="71" t="s">
        <v>623</v>
      </c>
      <c r="F45" s="71" t="s">
        <v>624</v>
      </c>
      <c r="G45" s="74">
        <v>133615</v>
      </c>
      <c r="H45" s="72">
        <v>82.159907000000004</v>
      </c>
      <c r="I45" s="73">
        <v>10977795.973804999</v>
      </c>
      <c r="J45" s="72">
        <v>84.040670625018151</v>
      </c>
      <c r="K45" s="73">
        <v>-251298.2317568</v>
      </c>
      <c r="L45" s="74">
        <v>0</v>
      </c>
      <c r="M45" s="73">
        <v>0</v>
      </c>
      <c r="N45" s="74">
        <v>0</v>
      </c>
      <c r="O45" s="73">
        <v>0</v>
      </c>
      <c r="P45" s="74">
        <v>133615</v>
      </c>
      <c r="Q45" s="73">
        <v>10977795.973804999</v>
      </c>
      <c r="R45" s="71" t="s">
        <v>625</v>
      </c>
      <c r="S45" s="71">
        <v>7414000005</v>
      </c>
      <c r="W45" s="3">
        <v>147313</v>
      </c>
      <c r="X45">
        <v>27558259.843445003</v>
      </c>
      <c r="AB45"/>
      <c r="AC45"/>
    </row>
    <row r="46" spans="1:29" x14ac:dyDescent="0.25">
      <c r="A46" t="str">
        <f t="shared" si="1"/>
        <v xml:space="preserve">1000001573GOBFED 471107       </v>
      </c>
      <c r="B46" s="71">
        <v>1000001573</v>
      </c>
      <c r="C46" s="71" t="s">
        <v>626</v>
      </c>
      <c r="D46" s="71" t="s">
        <v>387</v>
      </c>
      <c r="E46" s="71" t="s">
        <v>623</v>
      </c>
      <c r="F46" s="71" t="s">
        <v>624</v>
      </c>
      <c r="G46" s="74">
        <v>0</v>
      </c>
      <c r="H46" s="72">
        <v>0</v>
      </c>
      <c r="I46" s="73">
        <v>0</v>
      </c>
      <c r="J46" s="72">
        <v>0</v>
      </c>
      <c r="K46" s="73">
        <v>0</v>
      </c>
      <c r="L46" s="74">
        <v>0</v>
      </c>
      <c r="M46" s="73">
        <v>0</v>
      </c>
      <c r="N46" s="74">
        <v>0</v>
      </c>
      <c r="O46" s="73">
        <v>0</v>
      </c>
      <c r="P46" s="74">
        <v>0</v>
      </c>
      <c r="Q46" s="73">
        <v>0</v>
      </c>
      <c r="R46" s="71" t="s">
        <v>625</v>
      </c>
      <c r="S46" s="71">
        <v>7414000005</v>
      </c>
      <c r="W46" s="3">
        <v>147314</v>
      </c>
      <c r="X46">
        <v>1497059163.4891174</v>
      </c>
      <c r="AB46"/>
      <c r="AC46"/>
    </row>
    <row r="47" spans="1:29" x14ac:dyDescent="0.25">
      <c r="A47" t="str">
        <f t="shared" si="1"/>
        <v xml:space="preserve">1000001573GOBFED 530731       </v>
      </c>
      <c r="B47" s="71">
        <v>1000001573</v>
      </c>
      <c r="C47" s="71" t="s">
        <v>626</v>
      </c>
      <c r="D47" s="71" t="s">
        <v>503</v>
      </c>
      <c r="E47" s="71" t="s">
        <v>623</v>
      </c>
      <c r="F47" s="71" t="s">
        <v>624</v>
      </c>
      <c r="G47" s="74">
        <v>0</v>
      </c>
      <c r="H47" s="72">
        <v>0</v>
      </c>
      <c r="I47" s="73">
        <v>0</v>
      </c>
      <c r="J47" s="72">
        <v>0</v>
      </c>
      <c r="K47" s="73">
        <v>0</v>
      </c>
      <c r="L47" s="74">
        <v>0</v>
      </c>
      <c r="M47" s="73">
        <v>0</v>
      </c>
      <c r="N47" s="74">
        <v>0</v>
      </c>
      <c r="O47" s="73">
        <v>0</v>
      </c>
      <c r="P47" s="74">
        <v>0</v>
      </c>
      <c r="Q47" s="73">
        <v>0</v>
      </c>
      <c r="R47" s="71" t="s">
        <v>625</v>
      </c>
      <c r="S47" s="71">
        <v>7414000005</v>
      </c>
      <c r="W47" s="3">
        <v>147491</v>
      </c>
      <c r="X47">
        <v>1600297.8591159999</v>
      </c>
      <c r="AB47"/>
      <c r="AC47"/>
    </row>
    <row r="48" spans="1:29" x14ac:dyDescent="0.25">
      <c r="A48" t="str">
        <f t="shared" si="1"/>
        <v xml:space="preserve">1000001573GRUMA B             </v>
      </c>
      <c r="B48" s="71">
        <v>1000001573</v>
      </c>
      <c r="C48" s="71" t="s">
        <v>626</v>
      </c>
      <c r="D48" s="71" t="s">
        <v>388</v>
      </c>
      <c r="E48" s="71" t="s">
        <v>623</v>
      </c>
      <c r="F48" s="71" t="s">
        <v>624</v>
      </c>
      <c r="G48" s="74">
        <v>0</v>
      </c>
      <c r="H48" s="72">
        <v>0</v>
      </c>
      <c r="I48" s="73">
        <v>0</v>
      </c>
      <c r="J48" s="72">
        <v>0</v>
      </c>
      <c r="K48" s="73">
        <v>0</v>
      </c>
      <c r="L48" s="74">
        <v>0</v>
      </c>
      <c r="M48" s="73">
        <v>0</v>
      </c>
      <c r="N48" s="74">
        <v>0</v>
      </c>
      <c r="O48" s="73">
        <v>0</v>
      </c>
      <c r="P48" s="74">
        <v>0</v>
      </c>
      <c r="Q48" s="73">
        <v>0</v>
      </c>
      <c r="R48" s="71" t="s">
        <v>625</v>
      </c>
      <c r="S48" s="71">
        <v>7414000005</v>
      </c>
      <c r="W48" s="3">
        <v>147492</v>
      </c>
      <c r="X48">
        <v>42426821.603606999</v>
      </c>
      <c r="AB48"/>
      <c r="AC48"/>
    </row>
    <row r="49" spans="1:29" x14ac:dyDescent="0.25">
      <c r="A49" t="str">
        <f t="shared" si="1"/>
        <v xml:space="preserve">1000001573HERDEZ *            </v>
      </c>
      <c r="B49" s="71">
        <v>1000001573</v>
      </c>
      <c r="C49" s="71" t="s">
        <v>626</v>
      </c>
      <c r="D49" s="71" t="s">
        <v>539</v>
      </c>
      <c r="E49" s="71" t="s">
        <v>623</v>
      </c>
      <c r="F49" s="71" t="s">
        <v>624</v>
      </c>
      <c r="G49" s="74">
        <v>0</v>
      </c>
      <c r="H49" s="72">
        <v>0</v>
      </c>
      <c r="I49" s="73">
        <v>0</v>
      </c>
      <c r="J49" s="72">
        <v>0</v>
      </c>
      <c r="K49" s="73">
        <v>0</v>
      </c>
      <c r="L49" s="74">
        <v>0</v>
      </c>
      <c r="M49" s="73">
        <v>0</v>
      </c>
      <c r="N49" s="74">
        <v>0</v>
      </c>
      <c r="O49" s="73">
        <v>0</v>
      </c>
      <c r="P49" s="74">
        <v>0</v>
      </c>
      <c r="Q49" s="73">
        <v>0</v>
      </c>
      <c r="R49" s="71" t="s">
        <v>625</v>
      </c>
      <c r="S49" s="71">
        <v>7414000005</v>
      </c>
      <c r="W49" s="3">
        <v>152965</v>
      </c>
      <c r="X49">
        <v>21394557.376568999</v>
      </c>
      <c r="AB49"/>
      <c r="AC49"/>
    </row>
    <row r="50" spans="1:29" x14ac:dyDescent="0.25">
      <c r="A50" t="str">
        <f t="shared" si="1"/>
        <v xml:space="preserve">1000001573IVV *               </v>
      </c>
      <c r="B50" s="71">
        <v>1000001573</v>
      </c>
      <c r="C50" s="71" t="s">
        <v>626</v>
      </c>
      <c r="D50" s="71" t="s">
        <v>540</v>
      </c>
      <c r="E50" s="71" t="s">
        <v>623</v>
      </c>
      <c r="F50" s="71" t="s">
        <v>624</v>
      </c>
      <c r="G50" s="74">
        <v>0</v>
      </c>
      <c r="H50" s="72">
        <v>0</v>
      </c>
      <c r="I50" s="73">
        <v>0</v>
      </c>
      <c r="J50" s="72">
        <v>0</v>
      </c>
      <c r="K50" s="73">
        <v>0</v>
      </c>
      <c r="L50" s="74">
        <v>0</v>
      </c>
      <c r="M50" s="73">
        <v>0</v>
      </c>
      <c r="N50" s="74">
        <v>0</v>
      </c>
      <c r="O50" s="73">
        <v>0</v>
      </c>
      <c r="P50" s="74">
        <v>0</v>
      </c>
      <c r="Q50" s="73">
        <v>0</v>
      </c>
      <c r="R50" s="71" t="s">
        <v>625</v>
      </c>
      <c r="S50" s="71">
        <v>7414000005</v>
      </c>
      <c r="W50" s="3">
        <v>152971</v>
      </c>
      <c r="X50">
        <v>48516978.176933996</v>
      </c>
      <c r="AB50"/>
      <c r="AC50"/>
    </row>
    <row r="51" spans="1:29" x14ac:dyDescent="0.25">
      <c r="A51" t="str">
        <f t="shared" si="1"/>
        <v xml:space="preserve">1000001573KOF UBL             </v>
      </c>
      <c r="B51" s="71">
        <v>1000001573</v>
      </c>
      <c r="C51" s="71" t="s">
        <v>626</v>
      </c>
      <c r="D51" s="71" t="s">
        <v>553</v>
      </c>
      <c r="E51" s="71" t="s">
        <v>623</v>
      </c>
      <c r="F51" s="71" t="s">
        <v>624</v>
      </c>
      <c r="G51" s="74">
        <v>0</v>
      </c>
      <c r="H51" s="72">
        <v>0</v>
      </c>
      <c r="I51" s="73">
        <v>0</v>
      </c>
      <c r="J51" s="72">
        <v>0</v>
      </c>
      <c r="K51" s="73">
        <v>0</v>
      </c>
      <c r="L51" s="74">
        <v>0</v>
      </c>
      <c r="M51" s="73">
        <v>0</v>
      </c>
      <c r="N51" s="74">
        <v>0</v>
      </c>
      <c r="O51" s="73">
        <v>0</v>
      </c>
      <c r="P51" s="74">
        <v>0</v>
      </c>
      <c r="Q51" s="73">
        <v>0</v>
      </c>
      <c r="R51" s="71" t="s">
        <v>625</v>
      </c>
      <c r="S51" s="71">
        <v>7414000005</v>
      </c>
      <c r="W51" s="3">
        <v>152974</v>
      </c>
      <c r="X51">
        <v>45561979.920111999</v>
      </c>
      <c r="AB51"/>
      <c r="AC51"/>
    </row>
    <row r="52" spans="1:29" x14ac:dyDescent="0.25">
      <c r="A52" t="str">
        <f t="shared" si="1"/>
        <v xml:space="preserve">1000001573LACOMER UBC         </v>
      </c>
      <c r="B52" s="71">
        <v>1000001573</v>
      </c>
      <c r="C52" s="71" t="s">
        <v>626</v>
      </c>
      <c r="D52" s="71" t="s">
        <v>628</v>
      </c>
      <c r="E52" s="71" t="s">
        <v>623</v>
      </c>
      <c r="F52" s="71" t="s">
        <v>624</v>
      </c>
      <c r="G52" s="74">
        <v>60000</v>
      </c>
      <c r="H52" s="72">
        <v>99.999184999999997</v>
      </c>
      <c r="I52" s="73">
        <v>5999951.0999999996</v>
      </c>
      <c r="J52" s="72">
        <v>100</v>
      </c>
      <c r="K52" s="73">
        <v>-48.9</v>
      </c>
      <c r="L52" s="74">
        <v>0</v>
      </c>
      <c r="M52" s="73">
        <v>0</v>
      </c>
      <c r="N52" s="74">
        <v>0</v>
      </c>
      <c r="O52" s="73">
        <v>0</v>
      </c>
      <c r="P52" s="74">
        <v>60000</v>
      </c>
      <c r="Q52" s="73">
        <v>5999951.0999999996</v>
      </c>
      <c r="R52" s="71" t="s">
        <v>625</v>
      </c>
      <c r="S52" s="71">
        <v>7414000005</v>
      </c>
      <c r="W52" s="3">
        <v>152976</v>
      </c>
      <c r="X52">
        <v>13971531.55848</v>
      </c>
      <c r="AB52"/>
      <c r="AC52"/>
    </row>
    <row r="53" spans="1:29" x14ac:dyDescent="0.25">
      <c r="A53" t="str">
        <f t="shared" si="1"/>
        <v xml:space="preserve">1000001573LIVEPOL C-1         </v>
      </c>
      <c r="B53" s="71">
        <v>1000001573</v>
      </c>
      <c r="C53" s="71" t="s">
        <v>626</v>
      </c>
      <c r="D53" s="71" t="s">
        <v>544</v>
      </c>
      <c r="E53" s="71" t="s">
        <v>623</v>
      </c>
      <c r="F53" s="71" t="s">
        <v>624</v>
      </c>
      <c r="G53" s="74">
        <v>0</v>
      </c>
      <c r="H53" s="72">
        <v>0</v>
      </c>
      <c r="I53" s="73">
        <v>0</v>
      </c>
      <c r="J53" s="72">
        <v>0</v>
      </c>
      <c r="K53" s="73">
        <v>0</v>
      </c>
      <c r="L53" s="74">
        <v>0</v>
      </c>
      <c r="M53" s="73">
        <v>0</v>
      </c>
      <c r="N53" s="74">
        <v>0</v>
      </c>
      <c r="O53" s="73">
        <v>0</v>
      </c>
      <c r="P53" s="74">
        <v>0</v>
      </c>
      <c r="Q53" s="73">
        <v>0</v>
      </c>
      <c r="R53" s="71" t="s">
        <v>625</v>
      </c>
      <c r="S53" s="71">
        <v>7414000005</v>
      </c>
      <c r="W53" s="3">
        <v>152979</v>
      </c>
      <c r="X53">
        <v>14227629.13974</v>
      </c>
      <c r="AB53"/>
      <c r="AC53"/>
    </row>
    <row r="54" spans="1:29" x14ac:dyDescent="0.25">
      <c r="A54" t="str">
        <f t="shared" si="1"/>
        <v xml:space="preserve">1000001573MEGA 24X            </v>
      </c>
      <c r="B54" s="71">
        <v>1000001573</v>
      </c>
      <c r="C54" s="71" t="s">
        <v>626</v>
      </c>
      <c r="D54" s="71" t="s">
        <v>541</v>
      </c>
      <c r="E54" s="71" t="s">
        <v>623</v>
      </c>
      <c r="F54" s="71" t="s">
        <v>624</v>
      </c>
      <c r="G54" s="74">
        <v>0</v>
      </c>
      <c r="H54" s="72">
        <v>0</v>
      </c>
      <c r="I54" s="73">
        <v>0</v>
      </c>
      <c r="J54" s="72">
        <v>0</v>
      </c>
      <c r="K54" s="73">
        <v>0</v>
      </c>
      <c r="L54" s="74">
        <v>0</v>
      </c>
      <c r="M54" s="73">
        <v>0</v>
      </c>
      <c r="N54" s="74">
        <v>0</v>
      </c>
      <c r="O54" s="73">
        <v>0</v>
      </c>
      <c r="P54" s="74">
        <v>0</v>
      </c>
      <c r="Q54" s="73">
        <v>0</v>
      </c>
      <c r="R54" s="71" t="s">
        <v>625</v>
      </c>
      <c r="S54" s="71">
        <v>7414000005</v>
      </c>
      <c r="W54" s="3">
        <v>152981</v>
      </c>
      <c r="X54">
        <v>4310317.4885139996</v>
      </c>
      <c r="AB54"/>
      <c r="AC54"/>
    </row>
    <row r="55" spans="1:29" x14ac:dyDescent="0.25">
      <c r="A55" t="str">
        <f t="shared" si="1"/>
        <v xml:space="preserve">1000001573NEMAK A             </v>
      </c>
      <c r="B55" s="71">
        <v>1000001573</v>
      </c>
      <c r="C55" s="71" t="s">
        <v>626</v>
      </c>
      <c r="D55" s="71" t="s">
        <v>501</v>
      </c>
      <c r="E55" s="71" t="s">
        <v>623</v>
      </c>
      <c r="F55" s="71" t="s">
        <v>624</v>
      </c>
      <c r="G55" s="74">
        <v>0</v>
      </c>
      <c r="H55" s="72">
        <v>0</v>
      </c>
      <c r="I55" s="73">
        <v>0</v>
      </c>
      <c r="J55" s="72">
        <v>0</v>
      </c>
      <c r="K55" s="73">
        <v>0</v>
      </c>
      <c r="L55" s="74">
        <v>0</v>
      </c>
      <c r="M55" s="73">
        <v>0</v>
      </c>
      <c r="N55" s="74">
        <v>0</v>
      </c>
      <c r="O55" s="73">
        <v>0</v>
      </c>
      <c r="P55" s="74">
        <v>0</v>
      </c>
      <c r="Q55" s="73">
        <v>0</v>
      </c>
      <c r="R55" s="71" t="s">
        <v>625</v>
      </c>
      <c r="S55" s="71">
        <v>7414000005</v>
      </c>
      <c r="W55" s="3">
        <v>152983</v>
      </c>
      <c r="X55">
        <v>898958.82356799999</v>
      </c>
      <c r="AB55"/>
      <c r="AC55"/>
    </row>
    <row r="56" spans="1:29" x14ac:dyDescent="0.25">
      <c r="A56" t="str">
        <f t="shared" si="1"/>
        <v xml:space="preserve">1000001573R A                 </v>
      </c>
      <c r="B56" s="71">
        <v>1000001573</v>
      </c>
      <c r="C56" s="71" t="s">
        <v>626</v>
      </c>
      <c r="D56" s="71" t="s">
        <v>389</v>
      </c>
      <c r="E56" s="71" t="s">
        <v>623</v>
      </c>
      <c r="F56" s="71" t="s">
        <v>624</v>
      </c>
      <c r="G56" s="74">
        <v>1539540</v>
      </c>
      <c r="H56" s="72">
        <v>3.3967719999999999</v>
      </c>
      <c r="I56" s="73">
        <v>5229466.3648800002</v>
      </c>
      <c r="J56" s="72">
        <v>3.345312008781844</v>
      </c>
      <c r="K56" s="73">
        <v>79224.71488</v>
      </c>
      <c r="L56" s="74">
        <v>0</v>
      </c>
      <c r="M56" s="73">
        <v>0</v>
      </c>
      <c r="N56" s="74">
        <v>0</v>
      </c>
      <c r="O56" s="73">
        <v>0</v>
      </c>
      <c r="P56" s="74">
        <v>1539540</v>
      </c>
      <c r="Q56" s="73">
        <v>5229466.3648800002</v>
      </c>
      <c r="R56" s="71" t="s">
        <v>625</v>
      </c>
      <c r="S56" s="71">
        <v>7414000005</v>
      </c>
      <c r="W56" s="3">
        <v>153030</v>
      </c>
      <c r="X56">
        <v>0</v>
      </c>
      <c r="AB56"/>
      <c r="AC56"/>
    </row>
    <row r="57" spans="1:29" x14ac:dyDescent="0.25">
      <c r="A57" t="str">
        <f t="shared" si="1"/>
        <v xml:space="preserve">1000001573SPSM *              </v>
      </c>
      <c r="B57" s="71">
        <v>1000001573</v>
      </c>
      <c r="C57" s="71" t="s">
        <v>626</v>
      </c>
      <c r="D57" s="71" t="s">
        <v>500</v>
      </c>
      <c r="E57" s="71" t="s">
        <v>623</v>
      </c>
      <c r="F57" s="71" t="s">
        <v>624</v>
      </c>
      <c r="G57" s="74">
        <v>0</v>
      </c>
      <c r="H57" s="72">
        <v>0</v>
      </c>
      <c r="I57" s="73">
        <v>0</v>
      </c>
      <c r="J57" s="72">
        <v>0</v>
      </c>
      <c r="K57" s="73">
        <v>0</v>
      </c>
      <c r="L57" s="74">
        <v>0</v>
      </c>
      <c r="M57" s="73">
        <v>0</v>
      </c>
      <c r="N57" s="74">
        <v>0</v>
      </c>
      <c r="O57" s="73">
        <v>0</v>
      </c>
      <c r="P57" s="74">
        <v>0</v>
      </c>
      <c r="Q57" s="73">
        <v>0</v>
      </c>
      <c r="R57" s="71" t="s">
        <v>625</v>
      </c>
      <c r="S57" s="71">
        <v>7414000005</v>
      </c>
      <c r="W57" s="3">
        <v>156622</v>
      </c>
      <c r="X57">
        <v>203705476.38309199</v>
      </c>
      <c r="AB57"/>
      <c r="AC57"/>
    </row>
    <row r="58" spans="1:29" x14ac:dyDescent="0.25">
      <c r="A58" t="str">
        <f t="shared" si="1"/>
        <v xml:space="preserve">1000001573STERGOB ED          </v>
      </c>
      <c r="B58" s="71">
        <v>1000001573</v>
      </c>
      <c r="C58" s="71" t="s">
        <v>626</v>
      </c>
      <c r="D58" s="71" t="s">
        <v>391</v>
      </c>
      <c r="E58" s="71" t="s">
        <v>623</v>
      </c>
      <c r="F58" s="71" t="s">
        <v>624</v>
      </c>
      <c r="G58" s="74">
        <v>16836</v>
      </c>
      <c r="H58" s="72">
        <v>775.69178699999998</v>
      </c>
      <c r="I58" s="73">
        <v>13059546.925931999</v>
      </c>
      <c r="J58" s="72">
        <v>763.85295237784271</v>
      </c>
      <c r="K58" s="73">
        <v>199318.61969863999</v>
      </c>
      <c r="L58" s="74">
        <v>0</v>
      </c>
      <c r="M58" s="73">
        <v>0</v>
      </c>
      <c r="N58" s="74">
        <v>0</v>
      </c>
      <c r="O58" s="73">
        <v>0</v>
      </c>
      <c r="P58" s="74">
        <v>16836</v>
      </c>
      <c r="Q58" s="73">
        <v>13059546.925931999</v>
      </c>
      <c r="R58" s="71" t="s">
        <v>625</v>
      </c>
      <c r="S58" s="71">
        <v>7414000005</v>
      </c>
      <c r="W58" s="3">
        <v>159246</v>
      </c>
      <c r="X58">
        <v>13674935.246929999</v>
      </c>
      <c r="AB58"/>
      <c r="AC58"/>
    </row>
    <row r="59" spans="1:29" x14ac:dyDescent="0.25">
      <c r="A59" t="str">
        <f t="shared" si="1"/>
        <v xml:space="preserve">1000001573TRAXION A           </v>
      </c>
      <c r="B59" s="71">
        <v>1000001573</v>
      </c>
      <c r="C59" s="71" t="s">
        <v>626</v>
      </c>
      <c r="D59" s="71" t="s">
        <v>392</v>
      </c>
      <c r="E59" s="71" t="s">
        <v>623</v>
      </c>
      <c r="F59" s="71" t="s">
        <v>624</v>
      </c>
      <c r="G59" s="74">
        <v>11953</v>
      </c>
      <c r="H59" s="72">
        <v>747.17843200000004</v>
      </c>
      <c r="I59" s="73">
        <v>8931023.797696</v>
      </c>
      <c r="J59" s="72">
        <v>721.08853855769598</v>
      </c>
      <c r="K59" s="73">
        <v>311852.49631586001</v>
      </c>
      <c r="L59" s="74">
        <v>0</v>
      </c>
      <c r="M59" s="73">
        <v>0</v>
      </c>
      <c r="N59" s="74">
        <v>0</v>
      </c>
      <c r="O59" s="73">
        <v>0</v>
      </c>
      <c r="P59" s="74">
        <v>11953</v>
      </c>
      <c r="Q59" s="73">
        <v>8931023.797696</v>
      </c>
      <c r="R59" s="71" t="s">
        <v>625</v>
      </c>
      <c r="S59" s="71">
        <v>7414000005</v>
      </c>
      <c r="W59" s="3">
        <v>420310</v>
      </c>
      <c r="X59">
        <v>30183384.691780999</v>
      </c>
      <c r="AB59"/>
      <c r="AC59"/>
    </row>
    <row r="60" spans="1:29" x14ac:dyDescent="0.25">
      <c r="A60" t="str">
        <f t="shared" si="1"/>
        <v xml:space="preserve">1000001573UDIBONO 251204      </v>
      </c>
      <c r="B60" s="71">
        <v>1000001573</v>
      </c>
      <c r="C60" s="71" t="s">
        <v>626</v>
      </c>
      <c r="D60" s="71" t="s">
        <v>393</v>
      </c>
      <c r="E60" s="71" t="s">
        <v>623</v>
      </c>
      <c r="F60" s="71" t="s">
        <v>624</v>
      </c>
      <c r="G60" s="74">
        <v>7339</v>
      </c>
      <c r="H60" s="72">
        <v>765.92388300000005</v>
      </c>
      <c r="I60" s="73">
        <v>5621115.3773370003</v>
      </c>
      <c r="J60" s="72">
        <v>763.17169451999996</v>
      </c>
      <c r="K60" s="73">
        <v>20198.31125472</v>
      </c>
      <c r="L60" s="74">
        <v>0</v>
      </c>
      <c r="M60" s="73">
        <v>0</v>
      </c>
      <c r="N60" s="74">
        <v>0</v>
      </c>
      <c r="O60" s="73">
        <v>0</v>
      </c>
      <c r="P60" s="74">
        <v>7339</v>
      </c>
      <c r="Q60" s="73">
        <v>5621115.3773370003</v>
      </c>
      <c r="R60" s="71" t="s">
        <v>625</v>
      </c>
      <c r="S60" s="71">
        <v>7414000005</v>
      </c>
      <c r="W60" s="3">
        <v>536741</v>
      </c>
      <c r="X60">
        <v>12707620.423643999</v>
      </c>
      <c r="AB60"/>
      <c r="AC60"/>
    </row>
    <row r="61" spans="1:29" x14ac:dyDescent="0.25">
      <c r="A61" t="str">
        <f t="shared" si="1"/>
        <v xml:space="preserve">1000001573UDIBONO 261203      </v>
      </c>
      <c r="B61" s="71">
        <v>1000001573</v>
      </c>
      <c r="C61" s="71" t="s">
        <v>626</v>
      </c>
      <c r="D61" s="71" t="s">
        <v>394</v>
      </c>
      <c r="E61" s="71" t="s">
        <v>623</v>
      </c>
      <c r="F61" s="71" t="s">
        <v>624</v>
      </c>
      <c r="G61" s="74">
        <v>9785</v>
      </c>
      <c r="H61" s="72">
        <v>684.88915799999995</v>
      </c>
      <c r="I61" s="73">
        <v>6701640.4110300001</v>
      </c>
      <c r="J61" s="72">
        <v>684.87030049223301</v>
      </c>
      <c r="K61" s="73">
        <v>184.5207135</v>
      </c>
      <c r="L61" s="74">
        <v>0</v>
      </c>
      <c r="M61" s="73">
        <v>0</v>
      </c>
      <c r="N61" s="74">
        <v>0</v>
      </c>
      <c r="O61" s="73">
        <v>0</v>
      </c>
      <c r="P61" s="74">
        <v>9785</v>
      </c>
      <c r="Q61" s="73">
        <v>6701640.4110300001</v>
      </c>
      <c r="R61" s="71" t="s">
        <v>625</v>
      </c>
      <c r="S61" s="71">
        <v>7414000005</v>
      </c>
      <c r="W61" s="3">
        <v>541079</v>
      </c>
      <c r="X61">
        <v>365894.79542500002</v>
      </c>
      <c r="AB61"/>
      <c r="AC61"/>
    </row>
    <row r="62" spans="1:29" x14ac:dyDescent="0.25">
      <c r="A62" t="str">
        <f t="shared" si="1"/>
        <v xml:space="preserve">1000001573UDIBONO 281130      </v>
      </c>
      <c r="B62" s="71">
        <v>1000001573</v>
      </c>
      <c r="C62" s="71" t="s">
        <v>626</v>
      </c>
      <c r="D62" s="71" t="s">
        <v>395</v>
      </c>
      <c r="E62" s="71" t="s">
        <v>623</v>
      </c>
      <c r="F62" s="71" t="s">
        <v>624</v>
      </c>
      <c r="G62" s="74">
        <v>9988</v>
      </c>
      <c r="H62" s="72">
        <v>772.926965</v>
      </c>
      <c r="I62" s="73">
        <v>7719994.52642</v>
      </c>
      <c r="J62" s="72">
        <v>803.0700557177563</v>
      </c>
      <c r="K62" s="73">
        <v>-301069.19008894998</v>
      </c>
      <c r="L62" s="74">
        <v>0</v>
      </c>
      <c r="M62" s="73">
        <v>0</v>
      </c>
      <c r="N62" s="74">
        <v>0</v>
      </c>
      <c r="O62" s="73">
        <v>0</v>
      </c>
      <c r="P62" s="74">
        <v>9988</v>
      </c>
      <c r="Q62" s="73">
        <v>7719994.52642</v>
      </c>
      <c r="R62" s="71" t="s">
        <v>625</v>
      </c>
      <c r="S62" s="71">
        <v>7414000005</v>
      </c>
      <c r="W62" s="3">
        <v>1002455</v>
      </c>
      <c r="X62">
        <v>8938949.8599999994</v>
      </c>
      <c r="AB62"/>
      <c r="AC62"/>
    </row>
    <row r="63" spans="1:29" x14ac:dyDescent="0.25">
      <c r="A63" t="str">
        <f t="shared" si="1"/>
        <v xml:space="preserve">1000001573UDIBONO 311127      </v>
      </c>
      <c r="B63" s="71">
        <v>1000001573</v>
      </c>
      <c r="C63" s="71" t="s">
        <v>626</v>
      </c>
      <c r="D63" s="71" t="s">
        <v>396</v>
      </c>
      <c r="E63" s="71" t="s">
        <v>623</v>
      </c>
      <c r="F63" s="71" t="s">
        <v>624</v>
      </c>
      <c r="G63" s="74">
        <v>10025</v>
      </c>
      <c r="H63" s="72">
        <v>721.59464000000003</v>
      </c>
      <c r="I63" s="73">
        <v>7233986.2659999998</v>
      </c>
      <c r="J63" s="72">
        <v>764.96141248000004</v>
      </c>
      <c r="K63" s="73">
        <v>-434751.89411200001</v>
      </c>
      <c r="L63" s="74">
        <v>0</v>
      </c>
      <c r="M63" s="73">
        <v>0</v>
      </c>
      <c r="N63" s="74">
        <v>0</v>
      </c>
      <c r="O63" s="73">
        <v>0</v>
      </c>
      <c r="P63" s="74">
        <v>10025</v>
      </c>
      <c r="Q63" s="73">
        <v>7233986.2659999998</v>
      </c>
      <c r="R63" s="71" t="s">
        <v>625</v>
      </c>
      <c r="S63" s="71">
        <v>7414000005</v>
      </c>
      <c r="W63" s="3">
        <v>1005849</v>
      </c>
      <c r="X63">
        <v>26196890.727880001</v>
      </c>
      <c r="AB63"/>
      <c r="AC63"/>
    </row>
    <row r="64" spans="1:29" x14ac:dyDescent="0.25">
      <c r="A64" t="str">
        <f t="shared" si="1"/>
        <v xml:space="preserve">1000001573UDIBONO 351122      </v>
      </c>
      <c r="B64" s="71">
        <v>1000001573</v>
      </c>
      <c r="C64" s="71" t="s">
        <v>626</v>
      </c>
      <c r="D64" s="71" t="s">
        <v>397</v>
      </c>
      <c r="E64" s="71" t="s">
        <v>623</v>
      </c>
      <c r="F64" s="71" t="s">
        <v>624</v>
      </c>
      <c r="G64" s="74">
        <v>2547</v>
      </c>
      <c r="H64" s="72">
        <v>635.96311900000001</v>
      </c>
      <c r="I64" s="73">
        <v>1619798.064093</v>
      </c>
      <c r="J64" s="72">
        <v>647.93802047999998</v>
      </c>
      <c r="K64" s="73">
        <v>-30500.07406956</v>
      </c>
      <c r="L64" s="74">
        <v>0</v>
      </c>
      <c r="M64" s="73">
        <v>0</v>
      </c>
      <c r="N64" s="74">
        <v>0</v>
      </c>
      <c r="O64" s="73">
        <v>0</v>
      </c>
      <c r="P64" s="74">
        <v>2547</v>
      </c>
      <c r="Q64" s="73">
        <v>1619798.064093</v>
      </c>
      <c r="R64" s="71" t="s">
        <v>625</v>
      </c>
      <c r="S64" s="71">
        <v>7414000005</v>
      </c>
      <c r="W64" s="3">
        <v>1006090</v>
      </c>
      <c r="X64">
        <v>0</v>
      </c>
      <c r="AB64"/>
      <c r="AC64"/>
    </row>
    <row r="65" spans="1:29" x14ac:dyDescent="0.25">
      <c r="A65" t="str">
        <f t="shared" si="1"/>
        <v xml:space="preserve">1000001573UDIBONO 401115      </v>
      </c>
      <c r="B65" s="71">
        <v>1000001573</v>
      </c>
      <c r="C65" s="71" t="s">
        <v>626</v>
      </c>
      <c r="D65" s="71" t="s">
        <v>398</v>
      </c>
      <c r="E65" s="71" t="s">
        <v>623</v>
      </c>
      <c r="F65" s="71" t="s">
        <v>624</v>
      </c>
      <c r="G65" s="74">
        <v>10420</v>
      </c>
      <c r="H65" s="72">
        <v>709.36974099999998</v>
      </c>
      <c r="I65" s="73">
        <v>7391632.7012200002</v>
      </c>
      <c r="J65" s="72">
        <v>768.26333123999996</v>
      </c>
      <c r="K65" s="73">
        <v>-613671.21030080004</v>
      </c>
      <c r="L65" s="74">
        <v>0</v>
      </c>
      <c r="M65" s="73">
        <v>0</v>
      </c>
      <c r="N65" s="74">
        <v>0</v>
      </c>
      <c r="O65" s="73">
        <v>0</v>
      </c>
      <c r="P65" s="74">
        <v>10420</v>
      </c>
      <c r="Q65" s="73">
        <v>7391632.7012200002</v>
      </c>
      <c r="R65" s="71" t="s">
        <v>625</v>
      </c>
      <c r="S65" s="71">
        <v>7414000005</v>
      </c>
      <c r="W65" s="3">
        <v>1008774</v>
      </c>
      <c r="X65">
        <v>1559113499.5463722</v>
      </c>
      <c r="AB65"/>
      <c r="AC65"/>
    </row>
    <row r="66" spans="1:29" x14ac:dyDescent="0.25">
      <c r="A66" t="str">
        <f t="shared" si="1"/>
        <v xml:space="preserve">1000001573UDIBONO 431112      </v>
      </c>
      <c r="B66" s="71">
        <v>1000001573</v>
      </c>
      <c r="C66" s="71" t="s">
        <v>626</v>
      </c>
      <c r="D66" s="71" t="s">
        <v>399</v>
      </c>
      <c r="E66" s="71" t="s">
        <v>623</v>
      </c>
      <c r="F66" s="71" t="s">
        <v>624</v>
      </c>
      <c r="G66" s="74">
        <v>17073</v>
      </c>
      <c r="H66" s="72">
        <v>694.41118700000004</v>
      </c>
      <c r="I66" s="73">
        <v>11855682.195651</v>
      </c>
      <c r="J66" s="72">
        <v>724.24373434549693</v>
      </c>
      <c r="K66" s="73">
        <v>-509331.08082967001</v>
      </c>
      <c r="L66" s="74">
        <v>0</v>
      </c>
      <c r="M66" s="73">
        <v>0</v>
      </c>
      <c r="N66" s="74">
        <v>0</v>
      </c>
      <c r="O66" s="73">
        <v>0</v>
      </c>
      <c r="P66" s="74">
        <v>17073</v>
      </c>
      <c r="Q66" s="73">
        <v>11855682.195651</v>
      </c>
      <c r="R66" s="71" t="s">
        <v>625</v>
      </c>
      <c r="S66" s="71">
        <v>7414000005</v>
      </c>
      <c r="W66" s="3">
        <v>1008775</v>
      </c>
      <c r="X66">
        <v>14393577.809906</v>
      </c>
      <c r="AB66"/>
      <c r="AC66"/>
    </row>
    <row r="67" spans="1:29" x14ac:dyDescent="0.25">
      <c r="A67" t="str">
        <f t="shared" si="1"/>
        <v xml:space="preserve">1000001573UDIBONO 461108      </v>
      </c>
      <c r="B67" s="71">
        <v>1000001573</v>
      </c>
      <c r="C67" s="71" t="s">
        <v>626</v>
      </c>
      <c r="D67" s="71" t="s">
        <v>400</v>
      </c>
      <c r="E67" s="71" t="s">
        <v>623</v>
      </c>
      <c r="F67" s="71" t="s">
        <v>624</v>
      </c>
      <c r="G67" s="74">
        <v>0</v>
      </c>
      <c r="H67" s="72">
        <v>0</v>
      </c>
      <c r="I67" s="73">
        <v>0</v>
      </c>
      <c r="J67" s="72">
        <v>0</v>
      </c>
      <c r="K67" s="73">
        <v>0</v>
      </c>
      <c r="L67" s="74">
        <v>0</v>
      </c>
      <c r="M67" s="73">
        <v>0</v>
      </c>
      <c r="N67" s="74">
        <v>0</v>
      </c>
      <c r="O67" s="73">
        <v>0</v>
      </c>
      <c r="P67" s="74">
        <v>0</v>
      </c>
      <c r="Q67" s="73">
        <v>0</v>
      </c>
      <c r="R67" s="71" t="s">
        <v>625</v>
      </c>
      <c r="S67" s="71">
        <v>7414000005</v>
      </c>
      <c r="W67" s="3">
        <v>1008776</v>
      </c>
      <c r="X67">
        <v>90062885.478432983</v>
      </c>
      <c r="AB67"/>
      <c r="AC67"/>
    </row>
    <row r="68" spans="1:29" x14ac:dyDescent="0.25">
      <c r="A68" t="str">
        <f t="shared" si="1"/>
        <v xml:space="preserve">1000001573UDIBONO 501103      </v>
      </c>
      <c r="B68" s="71">
        <v>1000001573</v>
      </c>
      <c r="C68" s="71" t="s">
        <v>626</v>
      </c>
      <c r="D68" s="71" t="s">
        <v>401</v>
      </c>
      <c r="E68" s="71" t="s">
        <v>623</v>
      </c>
      <c r="F68" s="71" t="s">
        <v>624</v>
      </c>
      <c r="G68" s="74">
        <v>0</v>
      </c>
      <c r="H68" s="72">
        <v>0</v>
      </c>
      <c r="I68" s="73">
        <v>0</v>
      </c>
      <c r="J68" s="72">
        <v>0</v>
      </c>
      <c r="K68" s="73">
        <v>0</v>
      </c>
      <c r="L68" s="74">
        <v>0</v>
      </c>
      <c r="M68" s="73">
        <v>0</v>
      </c>
      <c r="N68" s="74">
        <v>0</v>
      </c>
      <c r="O68" s="73">
        <v>0</v>
      </c>
      <c r="P68" s="74">
        <v>0</v>
      </c>
      <c r="Q68" s="73">
        <v>0</v>
      </c>
      <c r="R68" s="71" t="s">
        <v>625</v>
      </c>
      <c r="S68" s="71">
        <v>7414000005</v>
      </c>
      <c r="W68" s="3">
        <v>1008777</v>
      </c>
      <c r="X68">
        <v>30469637.100000001</v>
      </c>
      <c r="AB68"/>
      <c r="AC68"/>
    </row>
    <row r="69" spans="1:29" x14ac:dyDescent="0.25">
      <c r="A69" t="str">
        <f t="shared" si="1"/>
        <v xml:space="preserve">1000001573VESTA *             </v>
      </c>
      <c r="B69" s="71">
        <v>1000001573</v>
      </c>
      <c r="C69" s="71" t="s">
        <v>626</v>
      </c>
      <c r="D69" s="71" t="s">
        <v>402</v>
      </c>
      <c r="E69" s="71" t="s">
        <v>623</v>
      </c>
      <c r="F69" s="71" t="s">
        <v>624</v>
      </c>
      <c r="G69" s="74">
        <v>0</v>
      </c>
      <c r="H69" s="72">
        <v>0</v>
      </c>
      <c r="I69" s="73">
        <v>0</v>
      </c>
      <c r="J69" s="72">
        <v>0</v>
      </c>
      <c r="K69" s="73">
        <v>0</v>
      </c>
      <c r="L69" s="74">
        <v>0</v>
      </c>
      <c r="M69" s="73">
        <v>0</v>
      </c>
      <c r="N69" s="74">
        <v>0</v>
      </c>
      <c r="O69" s="73">
        <v>0</v>
      </c>
      <c r="P69" s="74">
        <v>0</v>
      </c>
      <c r="Q69" s="73">
        <v>0</v>
      </c>
      <c r="R69" s="71" t="s">
        <v>625</v>
      </c>
      <c r="S69" s="71">
        <v>7414000005</v>
      </c>
      <c r="W69" s="3">
        <v>1008778</v>
      </c>
      <c r="X69">
        <v>2673834.7000000002</v>
      </c>
      <c r="AB69"/>
      <c r="AC69"/>
    </row>
    <row r="70" spans="1:29" x14ac:dyDescent="0.25">
      <c r="A70" t="str">
        <f t="shared" si="1"/>
        <v xml:space="preserve">1000001573VGK *               </v>
      </c>
      <c r="B70" s="71">
        <v>1000001573</v>
      </c>
      <c r="C70" s="71" t="s">
        <v>626</v>
      </c>
      <c r="D70" s="71" t="s">
        <v>403</v>
      </c>
      <c r="E70" s="71" t="s">
        <v>623</v>
      </c>
      <c r="F70" s="71" t="s">
        <v>624</v>
      </c>
      <c r="G70" s="74">
        <v>0</v>
      </c>
      <c r="H70" s="72">
        <v>0</v>
      </c>
      <c r="I70" s="73">
        <v>0</v>
      </c>
      <c r="J70" s="72">
        <v>0</v>
      </c>
      <c r="K70" s="73">
        <v>0</v>
      </c>
      <c r="L70" s="74">
        <v>0</v>
      </c>
      <c r="M70" s="73">
        <v>0</v>
      </c>
      <c r="N70" s="74">
        <v>0</v>
      </c>
      <c r="O70" s="73">
        <v>0</v>
      </c>
      <c r="P70" s="74">
        <v>0</v>
      </c>
      <c r="Q70" s="73">
        <v>0</v>
      </c>
      <c r="R70" s="71" t="s">
        <v>625</v>
      </c>
      <c r="S70" s="71">
        <v>7414000005</v>
      </c>
      <c r="W70" s="3">
        <v>1010322</v>
      </c>
      <c r="X70">
        <v>27265.21</v>
      </c>
      <c r="AB70"/>
      <c r="AC70"/>
    </row>
    <row r="71" spans="1:29" x14ac:dyDescent="0.25">
      <c r="A71" t="str">
        <f t="shared" ref="A71:A134" si="2">B69&amp;D69</f>
        <v xml:space="preserve">1000001573VOO *               </v>
      </c>
      <c r="B71" s="71">
        <v>1000001940</v>
      </c>
      <c r="C71" s="71" t="s">
        <v>626</v>
      </c>
      <c r="D71" s="71" t="s">
        <v>389</v>
      </c>
      <c r="E71" s="71" t="s">
        <v>623</v>
      </c>
      <c r="F71" s="71" t="s">
        <v>624</v>
      </c>
      <c r="G71" s="74">
        <v>40609029</v>
      </c>
      <c r="H71" s="72">
        <v>3.3967719999999999</v>
      </c>
      <c r="I71" s="73">
        <v>137939612.65438801</v>
      </c>
      <c r="J71" s="72">
        <v>3.1614010871818681</v>
      </c>
      <c r="K71" s="73">
        <v>9558184.2243879996</v>
      </c>
      <c r="L71" s="74">
        <v>0</v>
      </c>
      <c r="M71" s="73">
        <v>0</v>
      </c>
      <c r="N71" s="74">
        <v>0</v>
      </c>
      <c r="O71" s="73">
        <v>0</v>
      </c>
      <c r="P71" s="74">
        <v>40609029</v>
      </c>
      <c r="Q71" s="73">
        <v>137939612.65438801</v>
      </c>
      <c r="R71" s="71" t="s">
        <v>625</v>
      </c>
      <c r="S71" s="71">
        <v>7414000005</v>
      </c>
      <c r="W71" s="3">
        <v>1010401</v>
      </c>
      <c r="X71">
        <v>52831071.346625999</v>
      </c>
      <c r="AB71"/>
      <c r="AC71"/>
    </row>
    <row r="72" spans="1:29" x14ac:dyDescent="0.25">
      <c r="A72" t="str">
        <f t="shared" si="2"/>
        <v xml:space="preserve">1000001573WALMEX *            </v>
      </c>
      <c r="B72" s="71">
        <v>1000002191</v>
      </c>
      <c r="C72" s="71" t="s">
        <v>629</v>
      </c>
      <c r="D72" s="71" t="s">
        <v>389</v>
      </c>
      <c r="E72" s="71" t="s">
        <v>623</v>
      </c>
      <c r="F72" s="71" t="s">
        <v>624</v>
      </c>
      <c r="G72" s="74">
        <v>4364510</v>
      </c>
      <c r="H72" s="72">
        <v>3.3967719999999999</v>
      </c>
      <c r="I72" s="73">
        <v>14825245.361719999</v>
      </c>
      <c r="J72" s="72">
        <v>3.2390575116106963</v>
      </c>
      <c r="K72" s="73">
        <v>688346.46172000002</v>
      </c>
      <c r="L72" s="74">
        <v>0</v>
      </c>
      <c r="M72" s="73">
        <v>0</v>
      </c>
      <c r="N72" s="74">
        <v>0</v>
      </c>
      <c r="O72" s="73">
        <v>0</v>
      </c>
      <c r="P72" s="74">
        <v>4364510</v>
      </c>
      <c r="Q72" s="73">
        <v>14825245.361719999</v>
      </c>
      <c r="R72" s="71" t="s">
        <v>625</v>
      </c>
      <c r="S72" s="71">
        <v>7414000005</v>
      </c>
      <c r="W72" s="3">
        <v>1012259</v>
      </c>
      <c r="X72">
        <v>25086330.927329</v>
      </c>
      <c r="AB72"/>
      <c r="AC72"/>
    </row>
    <row r="73" spans="1:29" x14ac:dyDescent="0.25">
      <c r="A73" t="str">
        <f t="shared" si="2"/>
        <v xml:space="preserve">1000001940STERGOB ED          </v>
      </c>
      <c r="B73" s="71">
        <v>1000002191</v>
      </c>
      <c r="C73" s="71" t="s">
        <v>629</v>
      </c>
      <c r="D73" s="71" t="s">
        <v>404</v>
      </c>
      <c r="E73" s="71" t="s">
        <v>623</v>
      </c>
      <c r="F73" s="71" t="s">
        <v>624</v>
      </c>
      <c r="G73" s="74">
        <v>70008</v>
      </c>
      <c r="H73" s="72">
        <v>137.94899000000001</v>
      </c>
      <c r="I73" s="73">
        <v>9657532.8919200003</v>
      </c>
      <c r="J73" s="72">
        <v>125.89539438349902</v>
      </c>
      <c r="K73" s="73">
        <v>843848.12191999995</v>
      </c>
      <c r="L73" s="74">
        <v>0</v>
      </c>
      <c r="M73" s="73">
        <v>0</v>
      </c>
      <c r="N73" s="74">
        <v>0</v>
      </c>
      <c r="O73" s="73">
        <v>0</v>
      </c>
      <c r="P73" s="74">
        <v>70008</v>
      </c>
      <c r="Q73" s="73">
        <v>9657532.8919200003</v>
      </c>
      <c r="R73" s="71" t="s">
        <v>625</v>
      </c>
      <c r="S73" s="71">
        <v>7414000005</v>
      </c>
      <c r="W73" s="3">
        <v>1012260</v>
      </c>
      <c r="X73">
        <v>57642568.212480001</v>
      </c>
      <c r="AB73"/>
      <c r="AC73"/>
    </row>
    <row r="74" spans="1:29" x14ac:dyDescent="0.25">
      <c r="A74" t="str">
        <f t="shared" si="2"/>
        <v xml:space="preserve">1000002191STERGOB ED          </v>
      </c>
      <c r="B74" s="71">
        <v>1000002191</v>
      </c>
      <c r="C74" s="71" t="s">
        <v>629</v>
      </c>
      <c r="D74" s="71" t="s">
        <v>405</v>
      </c>
      <c r="E74" s="71" t="s">
        <v>623</v>
      </c>
      <c r="F74" s="71" t="s">
        <v>624</v>
      </c>
      <c r="G74" s="74">
        <v>26635745</v>
      </c>
      <c r="H74" s="72">
        <v>3.6096119999999998</v>
      </c>
      <c r="I74" s="73">
        <v>96144704.780939996</v>
      </c>
      <c r="J74" s="72">
        <v>3.3352528247285744</v>
      </c>
      <c r="K74" s="73">
        <v>7307761.03094</v>
      </c>
      <c r="L74" s="74">
        <v>0</v>
      </c>
      <c r="M74" s="73">
        <v>0</v>
      </c>
      <c r="N74" s="74">
        <v>0</v>
      </c>
      <c r="O74" s="73">
        <v>0</v>
      </c>
      <c r="P74" s="74">
        <v>26635745</v>
      </c>
      <c r="Q74" s="73">
        <v>96144704.780939996</v>
      </c>
      <c r="R74" s="71" t="s">
        <v>625</v>
      </c>
      <c r="S74" s="71">
        <v>7414000005</v>
      </c>
      <c r="W74" s="3">
        <v>1013187</v>
      </c>
      <c r="X74">
        <v>93135769.234126002</v>
      </c>
      <c r="AB74"/>
      <c r="AC74"/>
    </row>
    <row r="75" spans="1:29" x14ac:dyDescent="0.25">
      <c r="A75" t="str">
        <f t="shared" si="2"/>
        <v xml:space="preserve">1000002191SVIVE20 ED          </v>
      </c>
      <c r="B75" s="71">
        <v>1000002191</v>
      </c>
      <c r="C75" s="71" t="s">
        <v>629</v>
      </c>
      <c r="D75" s="71" t="s">
        <v>406</v>
      </c>
      <c r="E75" s="71" t="s">
        <v>623</v>
      </c>
      <c r="F75" s="71" t="s">
        <v>624</v>
      </c>
      <c r="G75" s="74">
        <v>51055134</v>
      </c>
      <c r="H75" s="72">
        <v>2.1897980000000001</v>
      </c>
      <c r="I75" s="73">
        <v>111800430.322932</v>
      </c>
      <c r="J75" s="72">
        <v>2.0729244216654097</v>
      </c>
      <c r="K75" s="73">
        <v>5966996.2029320002</v>
      </c>
      <c r="L75" s="74">
        <v>0</v>
      </c>
      <c r="M75" s="73">
        <v>0</v>
      </c>
      <c r="N75" s="74">
        <v>0</v>
      </c>
      <c r="O75" s="73">
        <v>0</v>
      </c>
      <c r="P75" s="74">
        <v>51055134</v>
      </c>
      <c r="Q75" s="73">
        <v>111800430.322932</v>
      </c>
      <c r="R75" s="71" t="s">
        <v>625</v>
      </c>
      <c r="S75" s="71">
        <v>7414000005</v>
      </c>
      <c r="W75" s="3">
        <v>1013407</v>
      </c>
      <c r="X75">
        <v>190285425.87468797</v>
      </c>
      <c r="AB75"/>
      <c r="AC75"/>
    </row>
    <row r="76" spans="1:29" x14ac:dyDescent="0.25">
      <c r="A76" t="str">
        <f t="shared" si="2"/>
        <v xml:space="preserve">1000002191SVIVE35 ED          </v>
      </c>
      <c r="B76" s="71">
        <v>1000002191</v>
      </c>
      <c r="C76" s="71" t="s">
        <v>629</v>
      </c>
      <c r="D76" s="71" t="s">
        <v>407</v>
      </c>
      <c r="E76" s="71" t="s">
        <v>623</v>
      </c>
      <c r="F76" s="71" t="s">
        <v>624</v>
      </c>
      <c r="G76" s="74">
        <v>31505157</v>
      </c>
      <c r="H76" s="72">
        <v>2.7668819999999998</v>
      </c>
      <c r="I76" s="73">
        <v>87171051.810473993</v>
      </c>
      <c r="J76" s="72">
        <v>2.6324677039381204</v>
      </c>
      <c r="K76" s="73">
        <v>4234743.5004740003</v>
      </c>
      <c r="L76" s="74">
        <v>0</v>
      </c>
      <c r="M76" s="73">
        <v>0</v>
      </c>
      <c r="N76" s="74">
        <v>0</v>
      </c>
      <c r="O76" s="73">
        <v>0</v>
      </c>
      <c r="P76" s="74">
        <v>31505157</v>
      </c>
      <c r="Q76" s="73">
        <v>87171051.810473993</v>
      </c>
      <c r="R76" s="71" t="s">
        <v>625</v>
      </c>
      <c r="S76" s="71">
        <v>7414000005</v>
      </c>
      <c r="W76" s="3">
        <v>1014057</v>
      </c>
      <c r="X76">
        <v>725795131.93028402</v>
      </c>
      <c r="AB76"/>
      <c r="AC76"/>
    </row>
    <row r="77" spans="1:29" x14ac:dyDescent="0.25">
      <c r="A77" t="str">
        <f t="shared" si="2"/>
        <v xml:space="preserve">1000002191SVIVE50 ED          </v>
      </c>
      <c r="B77" s="71">
        <v>1000002677</v>
      </c>
      <c r="C77" s="71" t="s">
        <v>630</v>
      </c>
      <c r="D77" s="71" t="s">
        <v>389</v>
      </c>
      <c r="E77" s="71" t="s">
        <v>623</v>
      </c>
      <c r="F77" s="71" t="s">
        <v>624</v>
      </c>
      <c r="G77" s="74">
        <v>445</v>
      </c>
      <c r="H77" s="72">
        <v>3.3967719999999999</v>
      </c>
      <c r="I77" s="73">
        <v>1511.5635400000001</v>
      </c>
      <c r="J77" s="72">
        <v>3.3845393258426966</v>
      </c>
      <c r="K77" s="73">
        <v>5.4435399999999996</v>
      </c>
      <c r="L77" s="74">
        <v>0</v>
      </c>
      <c r="M77" s="73">
        <v>0</v>
      </c>
      <c r="N77" s="74">
        <v>0</v>
      </c>
      <c r="O77" s="73">
        <v>0</v>
      </c>
      <c r="P77" s="74">
        <v>445</v>
      </c>
      <c r="Q77" s="73">
        <v>1511.5635400000001</v>
      </c>
      <c r="R77" s="71" t="s">
        <v>625</v>
      </c>
      <c r="S77" s="71">
        <v>7414000005</v>
      </c>
      <c r="W77" s="3">
        <v>1015473</v>
      </c>
      <c r="X77">
        <v>52143416.156460993</v>
      </c>
      <c r="AB77"/>
      <c r="AC77"/>
    </row>
    <row r="78" spans="1:29" x14ac:dyDescent="0.25">
      <c r="A78" t="str">
        <f t="shared" si="2"/>
        <v xml:space="preserve">1000002191SVIVE60 ED          </v>
      </c>
      <c r="B78" s="71">
        <v>1000002677</v>
      </c>
      <c r="C78" s="71" t="s">
        <v>630</v>
      </c>
      <c r="D78" s="71" t="s">
        <v>405</v>
      </c>
      <c r="E78" s="71" t="s">
        <v>623</v>
      </c>
      <c r="F78" s="71" t="s">
        <v>624</v>
      </c>
      <c r="G78" s="74">
        <v>93003</v>
      </c>
      <c r="H78" s="72">
        <v>3.6096119999999998</v>
      </c>
      <c r="I78" s="73">
        <v>335704.74483600003</v>
      </c>
      <c r="J78" s="72">
        <v>3.6553297205466491</v>
      </c>
      <c r="K78" s="73">
        <v>-4251.8851640000003</v>
      </c>
      <c r="L78" s="74">
        <v>0</v>
      </c>
      <c r="M78" s="73">
        <v>0</v>
      </c>
      <c r="N78" s="74">
        <v>0</v>
      </c>
      <c r="O78" s="73">
        <v>0</v>
      </c>
      <c r="P78" s="74">
        <v>93003</v>
      </c>
      <c r="Q78" s="73">
        <v>335704.74483600003</v>
      </c>
      <c r="R78" s="71" t="s">
        <v>625</v>
      </c>
      <c r="S78" s="71">
        <v>7414000005</v>
      </c>
      <c r="W78" s="3">
        <v>1015474</v>
      </c>
      <c r="X78">
        <v>44656354.053150997</v>
      </c>
      <c r="AB78"/>
      <c r="AC78"/>
    </row>
    <row r="79" spans="1:29" x14ac:dyDescent="0.25">
      <c r="A79" t="str">
        <f t="shared" si="2"/>
        <v xml:space="preserve">1000002677STERGOB ED          </v>
      </c>
      <c r="B79" s="71">
        <v>1000002677</v>
      </c>
      <c r="C79" s="71" t="s">
        <v>630</v>
      </c>
      <c r="D79" s="71" t="s">
        <v>406</v>
      </c>
      <c r="E79" s="71" t="s">
        <v>623</v>
      </c>
      <c r="F79" s="71" t="s">
        <v>624</v>
      </c>
      <c r="G79" s="74">
        <v>319629</v>
      </c>
      <c r="H79" s="72">
        <v>2.1897980000000001</v>
      </c>
      <c r="I79" s="73">
        <v>699922.94494199997</v>
      </c>
      <c r="J79" s="72">
        <v>2.2349533365245331</v>
      </c>
      <c r="K79" s="73">
        <v>-14432.955058</v>
      </c>
      <c r="L79" s="74">
        <v>0</v>
      </c>
      <c r="M79" s="73">
        <v>0</v>
      </c>
      <c r="N79" s="74">
        <v>0</v>
      </c>
      <c r="O79" s="73">
        <v>0</v>
      </c>
      <c r="P79" s="74">
        <v>319629</v>
      </c>
      <c r="Q79" s="73">
        <v>699922.94494199997</v>
      </c>
      <c r="R79" s="71" t="s">
        <v>625</v>
      </c>
      <c r="S79" s="71">
        <v>7414000005</v>
      </c>
      <c r="W79" s="3">
        <v>1018014</v>
      </c>
      <c r="X79">
        <v>4309.26</v>
      </c>
      <c r="AB79"/>
      <c r="AC79"/>
    </row>
    <row r="80" spans="1:29" x14ac:dyDescent="0.25">
      <c r="A80" t="str">
        <f t="shared" si="2"/>
        <v xml:space="preserve">1000002677SVIVE35 ED          </v>
      </c>
      <c r="B80" s="71">
        <v>1000002861</v>
      </c>
      <c r="C80" s="71" t="s">
        <v>631</v>
      </c>
      <c r="D80" s="71" t="s">
        <v>389</v>
      </c>
      <c r="E80" s="71" t="s">
        <v>623</v>
      </c>
      <c r="F80" s="71" t="s">
        <v>624</v>
      </c>
      <c r="G80" s="74">
        <v>3855790</v>
      </c>
      <c r="H80" s="72">
        <v>3.3967719999999999</v>
      </c>
      <c r="I80" s="73">
        <v>13097239.509880001</v>
      </c>
      <c r="J80" s="72">
        <v>3.2850225193799454</v>
      </c>
      <c r="K80" s="73">
        <v>430882.52987999999</v>
      </c>
      <c r="L80" s="74">
        <v>0</v>
      </c>
      <c r="M80" s="73">
        <v>0</v>
      </c>
      <c r="N80" s="74">
        <v>0</v>
      </c>
      <c r="O80" s="73">
        <v>0</v>
      </c>
      <c r="P80" s="74">
        <v>3855790</v>
      </c>
      <c r="Q80" s="73">
        <v>13097239.509880001</v>
      </c>
      <c r="R80" s="71" t="s">
        <v>625</v>
      </c>
      <c r="S80" s="71">
        <v>7414000005</v>
      </c>
      <c r="W80" s="3">
        <v>1018122</v>
      </c>
      <c r="X80">
        <v>59838.68</v>
      </c>
      <c r="AB80"/>
      <c r="AC80"/>
    </row>
    <row r="81" spans="1:29" x14ac:dyDescent="0.25">
      <c r="A81" t="str">
        <f t="shared" si="2"/>
        <v xml:space="preserve">1000002677SVIVE50 ED          </v>
      </c>
      <c r="B81" s="71">
        <v>1000003291</v>
      </c>
      <c r="C81" s="71" t="s">
        <v>632</v>
      </c>
      <c r="D81" s="71" t="s">
        <v>389</v>
      </c>
      <c r="E81" s="71" t="s">
        <v>623</v>
      </c>
      <c r="F81" s="71" t="s">
        <v>624</v>
      </c>
      <c r="G81" s="74">
        <v>17893261</v>
      </c>
      <c r="H81" s="72">
        <v>3.3967719999999999</v>
      </c>
      <c r="I81" s="73">
        <v>60779327.953492001</v>
      </c>
      <c r="J81" s="72">
        <v>3.318134624538255</v>
      </c>
      <c r="K81" s="73">
        <v>1407079.0834919999</v>
      </c>
      <c r="L81" s="74">
        <v>0</v>
      </c>
      <c r="M81" s="73">
        <v>0</v>
      </c>
      <c r="N81" s="74">
        <v>0</v>
      </c>
      <c r="O81" s="73">
        <v>0</v>
      </c>
      <c r="P81" s="74">
        <v>17893261</v>
      </c>
      <c r="Q81" s="73">
        <v>60779327.953492001</v>
      </c>
      <c r="R81" s="71" t="s">
        <v>625</v>
      </c>
      <c r="S81" s="71">
        <v>7414000005</v>
      </c>
      <c r="W81" s="3">
        <v>1018302</v>
      </c>
      <c r="X81">
        <v>2957355.92</v>
      </c>
      <c r="AB81"/>
      <c r="AC81"/>
    </row>
    <row r="82" spans="1:29" x14ac:dyDescent="0.25">
      <c r="A82" t="str">
        <f t="shared" si="2"/>
        <v xml:space="preserve">1000002861STERGOB ED          </v>
      </c>
      <c r="B82" s="71">
        <v>1000003292</v>
      </c>
      <c r="C82" s="71" t="s">
        <v>632</v>
      </c>
      <c r="D82" s="71" t="s">
        <v>389</v>
      </c>
      <c r="E82" s="71" t="s">
        <v>623</v>
      </c>
      <c r="F82" s="71" t="s">
        <v>624</v>
      </c>
      <c r="G82" s="74">
        <v>2526514</v>
      </c>
      <c r="H82" s="72">
        <v>3.3967719999999999</v>
      </c>
      <c r="I82" s="73">
        <v>8581992.0128080007</v>
      </c>
      <c r="J82" s="72">
        <v>3.3173018791900617</v>
      </c>
      <c r="K82" s="73">
        <v>200782.37280799999</v>
      </c>
      <c r="L82" s="74">
        <v>0</v>
      </c>
      <c r="M82" s="73">
        <v>0</v>
      </c>
      <c r="N82" s="74">
        <v>0</v>
      </c>
      <c r="O82" s="73">
        <v>0</v>
      </c>
      <c r="P82" s="74">
        <v>2526514</v>
      </c>
      <c r="Q82" s="73">
        <v>8581992.0128080007</v>
      </c>
      <c r="R82" s="71" t="s">
        <v>625</v>
      </c>
      <c r="S82" s="71">
        <v>7414000005</v>
      </c>
      <c r="W82" s="3">
        <v>1018694</v>
      </c>
      <c r="X82">
        <v>124749306.843133</v>
      </c>
      <c r="AB82"/>
      <c r="AC82"/>
    </row>
    <row r="83" spans="1:29" x14ac:dyDescent="0.25">
      <c r="A83" t="str">
        <f t="shared" si="2"/>
        <v xml:space="preserve">1000003291STERGOB ED          </v>
      </c>
      <c r="B83" s="71">
        <v>1000003293</v>
      </c>
      <c r="C83" s="71" t="s">
        <v>632</v>
      </c>
      <c r="D83" s="71" t="s">
        <v>389</v>
      </c>
      <c r="E83" s="71" t="s">
        <v>623</v>
      </c>
      <c r="F83" s="71" t="s">
        <v>624</v>
      </c>
      <c r="G83" s="74">
        <v>9226443</v>
      </c>
      <c r="H83" s="72">
        <v>3.3967719999999999</v>
      </c>
      <c r="I83" s="73">
        <v>31340123.241996001</v>
      </c>
      <c r="J83" s="72">
        <v>3.3192465417062675</v>
      </c>
      <c r="K83" s="73">
        <v>715284.22199600004</v>
      </c>
      <c r="L83" s="74">
        <v>0</v>
      </c>
      <c r="M83" s="73">
        <v>0</v>
      </c>
      <c r="N83" s="74">
        <v>0</v>
      </c>
      <c r="O83" s="73">
        <v>0</v>
      </c>
      <c r="P83" s="74">
        <v>9226443</v>
      </c>
      <c r="Q83" s="73">
        <v>31340123.241996001</v>
      </c>
      <c r="R83" s="71" t="s">
        <v>625</v>
      </c>
      <c r="S83" s="71">
        <v>7414000005</v>
      </c>
      <c r="W83" s="3">
        <v>1018695</v>
      </c>
      <c r="X83">
        <v>2648670.4919790002</v>
      </c>
      <c r="AB83"/>
      <c r="AC83"/>
    </row>
    <row r="84" spans="1:29" x14ac:dyDescent="0.25">
      <c r="A84" t="str">
        <f t="shared" si="2"/>
        <v xml:space="preserve">1000003292STERGOB ED          </v>
      </c>
      <c r="B84" s="71">
        <v>1000003294</v>
      </c>
      <c r="C84" s="71" t="s">
        <v>633</v>
      </c>
      <c r="D84" s="71" t="s">
        <v>389</v>
      </c>
      <c r="E84" s="71" t="s">
        <v>623</v>
      </c>
      <c r="F84" s="71" t="s">
        <v>624</v>
      </c>
      <c r="G84" s="74">
        <v>810288</v>
      </c>
      <c r="H84" s="72">
        <v>3.3967719999999999</v>
      </c>
      <c r="I84" s="73">
        <v>2752363.5903360001</v>
      </c>
      <c r="J84" s="72">
        <v>3.3192582513871609</v>
      </c>
      <c r="K84" s="73">
        <v>62808.460335999996</v>
      </c>
      <c r="L84" s="74">
        <v>0</v>
      </c>
      <c r="M84" s="73">
        <v>0</v>
      </c>
      <c r="N84" s="74">
        <v>0</v>
      </c>
      <c r="O84" s="73">
        <v>0</v>
      </c>
      <c r="P84" s="74">
        <v>810288</v>
      </c>
      <c r="Q84" s="73">
        <v>2752363.5903360001</v>
      </c>
      <c r="R84" s="71" t="s">
        <v>625</v>
      </c>
      <c r="S84" s="71">
        <v>7414000005</v>
      </c>
      <c r="W84" s="3">
        <v>1018867</v>
      </c>
      <c r="X84">
        <v>29175276.964768</v>
      </c>
      <c r="AB84"/>
      <c r="AC84"/>
    </row>
    <row r="85" spans="1:29" x14ac:dyDescent="0.25">
      <c r="A85" t="str">
        <f t="shared" si="2"/>
        <v xml:space="preserve">1000003293STERGOB ED          </v>
      </c>
      <c r="B85" s="71">
        <v>1000003295</v>
      </c>
      <c r="C85" s="71" t="s">
        <v>634</v>
      </c>
      <c r="D85" s="71" t="s">
        <v>389</v>
      </c>
      <c r="E85" s="71" t="s">
        <v>623</v>
      </c>
      <c r="F85" s="71" t="s">
        <v>624</v>
      </c>
      <c r="G85" s="74">
        <v>24337589</v>
      </c>
      <c r="H85" s="72">
        <v>3.3967719999999999</v>
      </c>
      <c r="I85" s="73">
        <v>82669240.862708002</v>
      </c>
      <c r="J85" s="72">
        <v>3.3250573809920119</v>
      </c>
      <c r="K85" s="73">
        <v>1745360.9227080001</v>
      </c>
      <c r="L85" s="74">
        <v>0</v>
      </c>
      <c r="M85" s="73">
        <v>0</v>
      </c>
      <c r="N85" s="74">
        <v>0</v>
      </c>
      <c r="O85" s="73">
        <v>0</v>
      </c>
      <c r="P85" s="74">
        <v>24337589</v>
      </c>
      <c r="Q85" s="73">
        <v>82669240.862708002</v>
      </c>
      <c r="R85" s="71" t="s">
        <v>625</v>
      </c>
      <c r="S85" s="71">
        <v>7414000005</v>
      </c>
      <c r="W85" s="3">
        <v>1018997</v>
      </c>
      <c r="X85">
        <v>0</v>
      </c>
      <c r="AB85"/>
      <c r="AC85"/>
    </row>
    <row r="86" spans="1:29" x14ac:dyDescent="0.25">
      <c r="A86" t="str">
        <f t="shared" si="2"/>
        <v xml:space="preserve">1000003294STERGOB ED          </v>
      </c>
      <c r="B86" s="71">
        <v>1000003296</v>
      </c>
      <c r="C86" s="71" t="s">
        <v>635</v>
      </c>
      <c r="D86" s="71" t="s">
        <v>389</v>
      </c>
      <c r="E86" s="71" t="s">
        <v>623</v>
      </c>
      <c r="F86" s="71" t="s">
        <v>624</v>
      </c>
      <c r="G86" s="74">
        <v>8821206</v>
      </c>
      <c r="H86" s="72">
        <v>3.3967719999999999</v>
      </c>
      <c r="I86" s="73">
        <v>29963625.547031999</v>
      </c>
      <c r="J86" s="72">
        <v>3.3152446411522414</v>
      </c>
      <c r="K86" s="73">
        <v>719169.62703199999</v>
      </c>
      <c r="L86" s="74">
        <v>0</v>
      </c>
      <c r="M86" s="73">
        <v>0</v>
      </c>
      <c r="N86" s="74">
        <v>0</v>
      </c>
      <c r="O86" s="73">
        <v>0</v>
      </c>
      <c r="P86" s="74">
        <v>8821206</v>
      </c>
      <c r="Q86" s="73">
        <v>29963625.547031999</v>
      </c>
      <c r="R86" s="71" t="s">
        <v>625</v>
      </c>
      <c r="S86" s="71">
        <v>7414000005</v>
      </c>
      <c r="W86" s="3">
        <v>1020027</v>
      </c>
      <c r="X86">
        <v>0</v>
      </c>
      <c r="AB86"/>
      <c r="AC86"/>
    </row>
    <row r="87" spans="1:29" x14ac:dyDescent="0.25">
      <c r="A87" t="str">
        <f t="shared" si="2"/>
        <v xml:space="preserve">1000003295STERGOB ED          </v>
      </c>
      <c r="B87" s="71">
        <v>1000003297</v>
      </c>
      <c r="C87" s="71" t="s">
        <v>636</v>
      </c>
      <c r="D87" s="71" t="s">
        <v>389</v>
      </c>
      <c r="E87" s="71" t="s">
        <v>623</v>
      </c>
      <c r="F87" s="71" t="s">
        <v>624</v>
      </c>
      <c r="G87" s="74">
        <v>3179966</v>
      </c>
      <c r="H87" s="72">
        <v>3.3967719999999999</v>
      </c>
      <c r="I87" s="73">
        <v>10801619.469752001</v>
      </c>
      <c r="J87" s="72">
        <v>3.3127502621097205</v>
      </c>
      <c r="K87" s="73">
        <v>267186.26975199999</v>
      </c>
      <c r="L87" s="74">
        <v>0</v>
      </c>
      <c r="M87" s="73">
        <v>0</v>
      </c>
      <c r="N87" s="74">
        <v>0</v>
      </c>
      <c r="O87" s="73">
        <v>0</v>
      </c>
      <c r="P87" s="74">
        <v>3179966</v>
      </c>
      <c r="Q87" s="73">
        <v>10801619.469752001</v>
      </c>
      <c r="R87" s="71" t="s">
        <v>625</v>
      </c>
      <c r="S87" s="71">
        <v>7414000005</v>
      </c>
      <c r="W87" s="3">
        <v>1020029</v>
      </c>
      <c r="X87">
        <v>0</v>
      </c>
      <c r="AB87"/>
      <c r="AC87"/>
    </row>
    <row r="88" spans="1:29" x14ac:dyDescent="0.25">
      <c r="A88" t="str">
        <f t="shared" si="2"/>
        <v xml:space="preserve">1000003296STERGOB ED          </v>
      </c>
      <c r="B88" s="71">
        <v>1000003298</v>
      </c>
      <c r="C88" s="71" t="s">
        <v>637</v>
      </c>
      <c r="D88" s="71" t="s">
        <v>389</v>
      </c>
      <c r="E88" s="71" t="s">
        <v>623</v>
      </c>
      <c r="F88" s="71" t="s">
        <v>624</v>
      </c>
      <c r="G88" s="74">
        <v>7796087</v>
      </c>
      <c r="H88" s="72">
        <v>3.3967719999999999</v>
      </c>
      <c r="I88" s="73">
        <v>26481530.031164002</v>
      </c>
      <c r="J88" s="72">
        <v>3.322790358804359</v>
      </c>
      <c r="K88" s="73">
        <v>576767.31116399996</v>
      </c>
      <c r="L88" s="74">
        <v>0</v>
      </c>
      <c r="M88" s="73">
        <v>0</v>
      </c>
      <c r="N88" s="74">
        <v>0</v>
      </c>
      <c r="O88" s="73">
        <v>0</v>
      </c>
      <c r="P88" s="74">
        <v>7796087</v>
      </c>
      <c r="Q88" s="73">
        <v>26481530.031164002</v>
      </c>
      <c r="R88" s="71" t="s">
        <v>625</v>
      </c>
      <c r="S88" s="71">
        <v>7414000005</v>
      </c>
      <c r="W88" s="3">
        <v>1020040</v>
      </c>
      <c r="X88">
        <v>0</v>
      </c>
      <c r="AB88"/>
      <c r="AC88"/>
    </row>
    <row r="89" spans="1:29" x14ac:dyDescent="0.25">
      <c r="A89" t="str">
        <f t="shared" si="2"/>
        <v xml:space="preserve">1000003297STERGOB ED          </v>
      </c>
      <c r="B89" s="71">
        <v>1000003299</v>
      </c>
      <c r="C89" s="71" t="s">
        <v>638</v>
      </c>
      <c r="D89" s="71" t="s">
        <v>389</v>
      </c>
      <c r="E89" s="71" t="s">
        <v>623</v>
      </c>
      <c r="F89" s="71" t="s">
        <v>624</v>
      </c>
      <c r="G89" s="74">
        <v>28469656</v>
      </c>
      <c r="H89" s="72">
        <v>3.3967719999999999</v>
      </c>
      <c r="I89" s="73">
        <v>96704930.350431994</v>
      </c>
      <c r="J89" s="72">
        <v>3.3137096229754235</v>
      </c>
      <c r="K89" s="73">
        <v>2364757.3004319998</v>
      </c>
      <c r="L89" s="74">
        <v>0</v>
      </c>
      <c r="M89" s="73">
        <v>0</v>
      </c>
      <c r="N89" s="74">
        <v>0</v>
      </c>
      <c r="O89" s="73">
        <v>0</v>
      </c>
      <c r="P89" s="74">
        <v>28469656</v>
      </c>
      <c r="Q89" s="73">
        <v>96704930.350431994</v>
      </c>
      <c r="R89" s="71" t="s">
        <v>625</v>
      </c>
      <c r="S89" s="71">
        <v>7414000005</v>
      </c>
      <c r="W89" s="3">
        <v>1021018</v>
      </c>
      <c r="X89">
        <v>1843646607.1411059</v>
      </c>
      <c r="AB89"/>
      <c r="AC89"/>
    </row>
    <row r="90" spans="1:29" x14ac:dyDescent="0.25">
      <c r="A90" t="str">
        <f t="shared" si="2"/>
        <v xml:space="preserve">1000003298STERGOB ED          </v>
      </c>
      <c r="B90" s="71">
        <v>1000003300</v>
      </c>
      <c r="C90" s="71" t="s">
        <v>639</v>
      </c>
      <c r="D90" s="71" t="s">
        <v>389</v>
      </c>
      <c r="E90" s="71" t="s">
        <v>623</v>
      </c>
      <c r="F90" s="71" t="s">
        <v>624</v>
      </c>
      <c r="G90" s="74">
        <v>3169188</v>
      </c>
      <c r="H90" s="72">
        <v>3.3967719999999999</v>
      </c>
      <c r="I90" s="73">
        <v>10765009.061136</v>
      </c>
      <c r="J90" s="72">
        <v>3.3152605651668505</v>
      </c>
      <c r="K90" s="73">
        <v>258325.061136</v>
      </c>
      <c r="L90" s="74">
        <v>0</v>
      </c>
      <c r="M90" s="73">
        <v>0</v>
      </c>
      <c r="N90" s="74">
        <v>0</v>
      </c>
      <c r="O90" s="73">
        <v>0</v>
      </c>
      <c r="P90" s="74">
        <v>3169188</v>
      </c>
      <c r="Q90" s="73">
        <v>10765009.061136</v>
      </c>
      <c r="R90" s="71" t="s">
        <v>625</v>
      </c>
      <c r="S90" s="71">
        <v>7414000005</v>
      </c>
      <c r="W90" s="3">
        <v>1021427</v>
      </c>
      <c r="X90">
        <v>0</v>
      </c>
      <c r="AB90"/>
      <c r="AC90"/>
    </row>
    <row r="91" spans="1:29" x14ac:dyDescent="0.25">
      <c r="A91" t="str">
        <f t="shared" si="2"/>
        <v xml:space="preserve">1000003299STERGOB ED          </v>
      </c>
      <c r="B91" s="71">
        <v>1000003301</v>
      </c>
      <c r="C91" s="71" t="s">
        <v>640</v>
      </c>
      <c r="D91" s="71" t="s">
        <v>389</v>
      </c>
      <c r="E91" s="71" t="s">
        <v>623</v>
      </c>
      <c r="F91" s="71" t="s">
        <v>624</v>
      </c>
      <c r="G91" s="74">
        <v>6320761</v>
      </c>
      <c r="H91" s="72">
        <v>3.3967719999999999</v>
      </c>
      <c r="I91" s="73">
        <v>21470183.983491998</v>
      </c>
      <c r="J91" s="72">
        <v>3.3152966929140337</v>
      </c>
      <c r="K91" s="73">
        <v>514985.94349199999</v>
      </c>
      <c r="L91" s="74">
        <v>0</v>
      </c>
      <c r="M91" s="73">
        <v>0</v>
      </c>
      <c r="N91" s="74">
        <v>0</v>
      </c>
      <c r="O91" s="73">
        <v>0</v>
      </c>
      <c r="P91" s="74">
        <v>6320761</v>
      </c>
      <c r="Q91" s="73">
        <v>21470183.983491998</v>
      </c>
      <c r="R91" s="71" t="s">
        <v>625</v>
      </c>
      <c r="S91" s="71">
        <v>7414000005</v>
      </c>
      <c r="W91" s="3">
        <v>1024556</v>
      </c>
      <c r="X91">
        <v>1202406286.1068883</v>
      </c>
      <c r="AB91"/>
      <c r="AC91"/>
    </row>
    <row r="92" spans="1:29" x14ac:dyDescent="0.25">
      <c r="A92" t="str">
        <f t="shared" si="2"/>
        <v xml:space="preserve">1000003300STERGOB ED          </v>
      </c>
      <c r="B92" s="71">
        <v>1000003302</v>
      </c>
      <c r="C92" s="71" t="s">
        <v>641</v>
      </c>
      <c r="D92" s="71" t="s">
        <v>389</v>
      </c>
      <c r="E92" s="71" t="s">
        <v>623</v>
      </c>
      <c r="F92" s="71" t="s">
        <v>624</v>
      </c>
      <c r="G92" s="74">
        <v>4114455</v>
      </c>
      <c r="H92" s="72">
        <v>3.3967719999999999</v>
      </c>
      <c r="I92" s="73">
        <v>13975865.53926</v>
      </c>
      <c r="J92" s="72">
        <v>3.3142978207320288</v>
      </c>
      <c r="K92" s="73">
        <v>339336.29926</v>
      </c>
      <c r="L92" s="74">
        <v>0</v>
      </c>
      <c r="M92" s="73">
        <v>0</v>
      </c>
      <c r="N92" s="74">
        <v>0</v>
      </c>
      <c r="O92" s="73">
        <v>0</v>
      </c>
      <c r="P92" s="74">
        <v>4114455</v>
      </c>
      <c r="Q92" s="73">
        <v>13975865.53926</v>
      </c>
      <c r="R92" s="71" t="s">
        <v>625</v>
      </c>
      <c r="S92" s="71">
        <v>7414000005</v>
      </c>
      <c r="W92" s="3">
        <v>1024836</v>
      </c>
      <c r="X92">
        <v>4492036.28</v>
      </c>
      <c r="AB92"/>
      <c r="AC92"/>
    </row>
    <row r="93" spans="1:29" x14ac:dyDescent="0.25">
      <c r="A93" t="str">
        <f t="shared" si="2"/>
        <v xml:space="preserve">1000003301STERGOB ED          </v>
      </c>
      <c r="B93" s="71">
        <v>1000003305</v>
      </c>
      <c r="C93" s="71" t="s">
        <v>642</v>
      </c>
      <c r="D93" s="71" t="s">
        <v>389</v>
      </c>
      <c r="E93" s="71" t="s">
        <v>623</v>
      </c>
      <c r="F93" s="71" t="s">
        <v>624</v>
      </c>
      <c r="G93" s="74">
        <v>3098938</v>
      </c>
      <c r="H93" s="72">
        <v>3.3967719999999999</v>
      </c>
      <c r="I93" s="73">
        <v>10526385.828136001</v>
      </c>
      <c r="J93" s="72">
        <v>3.3176955879723957</v>
      </c>
      <c r="K93" s="73">
        <v>245052.898136</v>
      </c>
      <c r="L93" s="74">
        <v>0</v>
      </c>
      <c r="M93" s="73">
        <v>0</v>
      </c>
      <c r="N93" s="74">
        <v>0</v>
      </c>
      <c r="O93" s="73">
        <v>0</v>
      </c>
      <c r="P93" s="74">
        <v>3098938</v>
      </c>
      <c r="Q93" s="73">
        <v>10526385.828136001</v>
      </c>
      <c r="R93" s="71" t="s">
        <v>625</v>
      </c>
      <c r="S93" s="71">
        <v>7414000005</v>
      </c>
      <c r="W93" s="3">
        <v>2000123</v>
      </c>
      <c r="X93">
        <v>0</v>
      </c>
      <c r="AB93"/>
      <c r="AC93"/>
    </row>
    <row r="94" spans="1:29" x14ac:dyDescent="0.25">
      <c r="A94" t="str">
        <f t="shared" si="2"/>
        <v xml:space="preserve">1000003302STERGOB ED          </v>
      </c>
      <c r="B94" s="71">
        <v>1000003307</v>
      </c>
      <c r="C94" s="71" t="s">
        <v>643</v>
      </c>
      <c r="D94" s="71" t="s">
        <v>389</v>
      </c>
      <c r="E94" s="71" t="s">
        <v>623</v>
      </c>
      <c r="F94" s="71" t="s">
        <v>624</v>
      </c>
      <c r="G94" s="74">
        <v>2113</v>
      </c>
      <c r="H94" s="72">
        <v>3.3967719999999999</v>
      </c>
      <c r="I94" s="73">
        <v>7177.3792359999998</v>
      </c>
      <c r="J94" s="72">
        <v>3.3172314245149077</v>
      </c>
      <c r="K94" s="73">
        <v>168.06923599999999</v>
      </c>
      <c r="L94" s="74">
        <v>0</v>
      </c>
      <c r="M94" s="73">
        <v>0</v>
      </c>
      <c r="N94" s="74">
        <v>0</v>
      </c>
      <c r="O94" s="73">
        <v>0</v>
      </c>
      <c r="P94" s="74">
        <v>2113</v>
      </c>
      <c r="Q94" s="73">
        <v>7177.3792359999998</v>
      </c>
      <c r="R94" s="71" t="s">
        <v>625</v>
      </c>
      <c r="S94" s="71">
        <v>7414000005</v>
      </c>
      <c r="W94" s="3">
        <v>2000146</v>
      </c>
      <c r="X94">
        <v>0</v>
      </c>
      <c r="AB94"/>
      <c r="AC94"/>
    </row>
    <row r="95" spans="1:29" x14ac:dyDescent="0.25">
      <c r="A95" t="str">
        <f t="shared" si="2"/>
        <v xml:space="preserve">1000003305STERGOB ED          </v>
      </c>
      <c r="B95" s="71">
        <v>1000003315</v>
      </c>
      <c r="C95" s="71" t="s">
        <v>644</v>
      </c>
      <c r="D95" s="71" t="s">
        <v>615</v>
      </c>
      <c r="E95" s="71" t="s">
        <v>623</v>
      </c>
      <c r="F95" s="71" t="s">
        <v>624</v>
      </c>
      <c r="G95" s="74">
        <v>1000000</v>
      </c>
      <c r="H95" s="72">
        <v>9.0839700000000008</v>
      </c>
      <c r="I95" s="73">
        <v>9083970</v>
      </c>
      <c r="J95" s="72">
        <v>8.9878796600000008</v>
      </c>
      <c r="K95" s="73">
        <v>96090.34</v>
      </c>
      <c r="L95" s="74">
        <v>0</v>
      </c>
      <c r="M95" s="73">
        <v>0</v>
      </c>
      <c r="N95" s="74">
        <v>0</v>
      </c>
      <c r="O95" s="73">
        <v>0</v>
      </c>
      <c r="P95" s="74">
        <v>1000000</v>
      </c>
      <c r="Q95" s="73">
        <v>9083970</v>
      </c>
      <c r="R95" s="71" t="s">
        <v>625</v>
      </c>
      <c r="S95" s="71">
        <v>7414000005</v>
      </c>
      <c r="W95" s="3">
        <v>2000182</v>
      </c>
      <c r="X95">
        <v>12347.138266</v>
      </c>
      <c r="AB95"/>
      <c r="AC95"/>
    </row>
    <row r="96" spans="1:29" x14ac:dyDescent="0.25">
      <c r="A96" t="str">
        <f t="shared" si="2"/>
        <v xml:space="preserve">1000003307STERGOB ED          </v>
      </c>
      <c r="B96" s="71">
        <v>1000003315</v>
      </c>
      <c r="C96" s="71" t="s">
        <v>644</v>
      </c>
      <c r="D96" s="71" t="s">
        <v>366</v>
      </c>
      <c r="E96" s="71" t="s">
        <v>623</v>
      </c>
      <c r="F96" s="71" t="s">
        <v>624</v>
      </c>
      <c r="G96" s="74">
        <v>0</v>
      </c>
      <c r="H96" s="72">
        <v>0</v>
      </c>
      <c r="I96" s="73">
        <v>13205115.26</v>
      </c>
      <c r="J96" s="72">
        <v>0</v>
      </c>
      <c r="K96" s="73">
        <v>0</v>
      </c>
      <c r="L96" s="74">
        <v>0</v>
      </c>
      <c r="M96" s="73">
        <v>0</v>
      </c>
      <c r="N96" s="74">
        <v>0</v>
      </c>
      <c r="O96" s="73">
        <v>0</v>
      </c>
      <c r="P96" s="74">
        <v>0</v>
      </c>
      <c r="Q96" s="73">
        <v>13205115.26</v>
      </c>
      <c r="R96" s="71" t="s">
        <v>625</v>
      </c>
      <c r="S96" s="71">
        <v>7414000005</v>
      </c>
      <c r="W96" s="3">
        <v>2000183</v>
      </c>
      <c r="X96">
        <v>36325491.774582997</v>
      </c>
      <c r="AB96"/>
      <c r="AC96"/>
    </row>
    <row r="97" spans="1:29" x14ac:dyDescent="0.25">
      <c r="A97" t="str">
        <f t="shared" si="2"/>
        <v xml:space="preserve">1000003315CETES 250306        </v>
      </c>
      <c r="B97" s="71">
        <v>1000003633</v>
      </c>
      <c r="C97" s="71" t="s">
        <v>645</v>
      </c>
      <c r="D97" s="71" t="s">
        <v>389</v>
      </c>
      <c r="E97" s="71" t="s">
        <v>623</v>
      </c>
      <c r="F97" s="71" t="s">
        <v>624</v>
      </c>
      <c r="G97" s="74">
        <v>6684001</v>
      </c>
      <c r="H97" s="72">
        <v>3.3967719999999999</v>
      </c>
      <c r="I97" s="73">
        <v>22704027.444772001</v>
      </c>
      <c r="J97" s="72">
        <v>3.3649632742424784</v>
      </c>
      <c r="K97" s="73">
        <v>212609.554772</v>
      </c>
      <c r="L97" s="74">
        <v>0</v>
      </c>
      <c r="M97" s="73">
        <v>0</v>
      </c>
      <c r="N97" s="74">
        <v>0</v>
      </c>
      <c r="O97" s="73">
        <v>0</v>
      </c>
      <c r="P97" s="74">
        <v>6684001</v>
      </c>
      <c r="Q97" s="73">
        <v>22704027.444772001</v>
      </c>
      <c r="R97" s="71" t="s">
        <v>625</v>
      </c>
      <c r="S97" s="71">
        <v>7414000005</v>
      </c>
      <c r="W97" s="3">
        <v>2000216</v>
      </c>
      <c r="X97">
        <v>922574612.25220394</v>
      </c>
      <c r="AB97"/>
      <c r="AC97"/>
    </row>
    <row r="98" spans="1:29" x14ac:dyDescent="0.25">
      <c r="A98" t="str">
        <f t="shared" si="2"/>
        <v>1000003315EFECTIVO</v>
      </c>
      <c r="B98" s="71">
        <v>1000003633</v>
      </c>
      <c r="C98" s="71" t="s">
        <v>645</v>
      </c>
      <c r="D98" s="71" t="s">
        <v>404</v>
      </c>
      <c r="E98" s="71" t="s">
        <v>623</v>
      </c>
      <c r="F98" s="71" t="s">
        <v>624</v>
      </c>
      <c r="G98" s="74">
        <v>559952</v>
      </c>
      <c r="H98" s="72">
        <v>137.94899000000001</v>
      </c>
      <c r="I98" s="73">
        <v>77244812.848480001</v>
      </c>
      <c r="J98" s="72">
        <v>140.51184022916249</v>
      </c>
      <c r="K98" s="73">
        <v>-742431.23273000005</v>
      </c>
      <c r="L98" s="74">
        <v>5021</v>
      </c>
      <c r="M98" s="73">
        <v>692641.88</v>
      </c>
      <c r="N98" s="74">
        <v>0</v>
      </c>
      <c r="O98" s="73">
        <v>0</v>
      </c>
      <c r="P98" s="74">
        <v>564973</v>
      </c>
      <c r="Q98" s="73">
        <v>77937454.728479996</v>
      </c>
      <c r="R98" s="71" t="s">
        <v>625</v>
      </c>
      <c r="S98" s="71">
        <v>7414000005</v>
      </c>
      <c r="W98" s="3">
        <v>2000217</v>
      </c>
      <c r="X98">
        <v>264795717.92865101</v>
      </c>
      <c r="AB98"/>
      <c r="AC98"/>
    </row>
    <row r="99" spans="1:29" x14ac:dyDescent="0.25">
      <c r="A99" t="str">
        <f t="shared" si="2"/>
        <v xml:space="preserve">1000003633STERGOB ED          </v>
      </c>
      <c r="B99" s="71">
        <v>1000003633</v>
      </c>
      <c r="C99" s="71" t="s">
        <v>645</v>
      </c>
      <c r="D99" s="71" t="s">
        <v>405</v>
      </c>
      <c r="E99" s="71" t="s">
        <v>623</v>
      </c>
      <c r="F99" s="71" t="s">
        <v>624</v>
      </c>
      <c r="G99" s="74">
        <v>67503934</v>
      </c>
      <c r="H99" s="72">
        <v>3.6096119999999998</v>
      </c>
      <c r="I99" s="73">
        <v>243663010.213608</v>
      </c>
      <c r="J99" s="72">
        <v>3.6791899858754897</v>
      </c>
      <c r="K99" s="73">
        <v>-2988264.55688</v>
      </c>
      <c r="L99" s="74">
        <v>473326</v>
      </c>
      <c r="M99" s="73">
        <v>1708523.21</v>
      </c>
      <c r="N99" s="74">
        <v>0</v>
      </c>
      <c r="O99" s="73">
        <v>0</v>
      </c>
      <c r="P99" s="74">
        <v>67977260</v>
      </c>
      <c r="Q99" s="73">
        <v>245371533.42360801</v>
      </c>
      <c r="R99" s="71" t="s">
        <v>625</v>
      </c>
      <c r="S99" s="71">
        <v>7414000005</v>
      </c>
      <c r="W99" s="3">
        <v>2000218</v>
      </c>
      <c r="X99">
        <v>155645696.975986</v>
      </c>
      <c r="AB99"/>
      <c r="AC99"/>
    </row>
    <row r="100" spans="1:29" x14ac:dyDescent="0.25">
      <c r="A100" t="str">
        <f t="shared" si="2"/>
        <v xml:space="preserve">1000003633SVIVE20 ED          </v>
      </c>
      <c r="B100" s="71">
        <v>1000003633</v>
      </c>
      <c r="C100" s="71" t="s">
        <v>645</v>
      </c>
      <c r="D100" s="71" t="s">
        <v>406</v>
      </c>
      <c r="E100" s="71" t="s">
        <v>623</v>
      </c>
      <c r="F100" s="71" t="s">
        <v>624</v>
      </c>
      <c r="G100" s="74">
        <v>31592596</v>
      </c>
      <c r="H100" s="72">
        <v>2.1897980000000001</v>
      </c>
      <c r="I100" s="73">
        <v>69181403.535607994</v>
      </c>
      <c r="J100" s="72">
        <v>2.2407874993875145</v>
      </c>
      <c r="K100" s="73">
        <v>-1211876.611822</v>
      </c>
      <c r="L100" s="74">
        <v>182215</v>
      </c>
      <c r="M100" s="73">
        <v>399014.04</v>
      </c>
      <c r="N100" s="74">
        <v>0</v>
      </c>
      <c r="O100" s="73">
        <v>0</v>
      </c>
      <c r="P100" s="74">
        <v>31774811</v>
      </c>
      <c r="Q100" s="73">
        <v>69580417.575608</v>
      </c>
      <c r="R100" s="71" t="s">
        <v>625</v>
      </c>
      <c r="S100" s="71">
        <v>7414000005</v>
      </c>
      <c r="W100" s="3">
        <v>2000219</v>
      </c>
      <c r="X100">
        <v>2369479045.8979201</v>
      </c>
      <c r="AB100"/>
      <c r="AC100"/>
    </row>
    <row r="101" spans="1:29" x14ac:dyDescent="0.25">
      <c r="A101" t="str">
        <f t="shared" si="2"/>
        <v xml:space="preserve">1000003633SVIVE35 ED          </v>
      </c>
      <c r="B101" s="71">
        <v>1000003633</v>
      </c>
      <c r="C101" s="71" t="s">
        <v>645</v>
      </c>
      <c r="D101" s="71" t="s">
        <v>407</v>
      </c>
      <c r="E101" s="71" t="s">
        <v>623</v>
      </c>
      <c r="F101" s="71" t="s">
        <v>624</v>
      </c>
      <c r="G101" s="74">
        <v>1644547</v>
      </c>
      <c r="H101" s="72">
        <v>2.7668819999999998</v>
      </c>
      <c r="I101" s="73">
        <v>4550267.4924539998</v>
      </c>
      <c r="J101" s="72">
        <v>2.7954019495946301</v>
      </c>
      <c r="K101" s="73">
        <v>-32240.689827999999</v>
      </c>
      <c r="L101" s="74">
        <v>5299</v>
      </c>
      <c r="M101" s="73">
        <v>14661.71</v>
      </c>
      <c r="N101" s="74">
        <v>0</v>
      </c>
      <c r="O101" s="73">
        <v>0</v>
      </c>
      <c r="P101" s="74">
        <v>1649846</v>
      </c>
      <c r="Q101" s="73">
        <v>4564929.2024539998</v>
      </c>
      <c r="R101" s="71" t="s">
        <v>625</v>
      </c>
      <c r="S101" s="71">
        <v>7414000005</v>
      </c>
      <c r="W101" s="3">
        <v>2000220</v>
      </c>
      <c r="X101">
        <v>671634193.761114</v>
      </c>
      <c r="AB101"/>
      <c r="AC101"/>
    </row>
    <row r="102" spans="1:29" x14ac:dyDescent="0.25">
      <c r="A102" t="str">
        <f t="shared" si="2"/>
        <v xml:space="preserve">1000003633SVIVE50 ED          </v>
      </c>
      <c r="B102" s="71">
        <v>1005849</v>
      </c>
      <c r="C102" s="71" t="s">
        <v>646</v>
      </c>
      <c r="D102" s="71" t="s">
        <v>389</v>
      </c>
      <c r="E102" s="71" t="s">
        <v>623</v>
      </c>
      <c r="F102" s="71" t="s">
        <v>624</v>
      </c>
      <c r="G102" s="74">
        <v>7712290</v>
      </c>
      <c r="H102" s="72">
        <v>3.3967719999999999</v>
      </c>
      <c r="I102" s="73">
        <v>26196890.727880001</v>
      </c>
      <c r="J102" s="72">
        <v>3.0015595069687473</v>
      </c>
      <c r="K102" s="73">
        <v>3047993.35788</v>
      </c>
      <c r="L102" s="74">
        <v>0</v>
      </c>
      <c r="M102" s="73">
        <v>0</v>
      </c>
      <c r="N102" s="74">
        <v>0</v>
      </c>
      <c r="O102" s="73">
        <v>0</v>
      </c>
      <c r="P102" s="74">
        <v>7712290</v>
      </c>
      <c r="Q102" s="73">
        <v>26196890.727880001</v>
      </c>
      <c r="R102" s="71" t="s">
        <v>625</v>
      </c>
      <c r="S102" s="71">
        <v>7414000005</v>
      </c>
      <c r="W102" s="3">
        <v>2000221</v>
      </c>
      <c r="X102">
        <v>396460627.13844502</v>
      </c>
      <c r="AB102"/>
      <c r="AC102"/>
    </row>
    <row r="103" spans="1:29" x14ac:dyDescent="0.25">
      <c r="A103" t="str">
        <f t="shared" si="2"/>
        <v xml:space="preserve">1000003633SVIVE60 ED          </v>
      </c>
      <c r="B103" s="71">
        <v>1006090</v>
      </c>
      <c r="C103" s="71" t="s">
        <v>647</v>
      </c>
      <c r="D103" s="71" t="s">
        <v>376</v>
      </c>
      <c r="E103" s="71" t="s">
        <v>623</v>
      </c>
      <c r="F103" s="71" t="s">
        <v>624</v>
      </c>
      <c r="G103" s="74">
        <v>0</v>
      </c>
      <c r="H103" s="72">
        <v>0</v>
      </c>
      <c r="I103" s="73">
        <v>0</v>
      </c>
      <c r="J103" s="72">
        <v>0</v>
      </c>
      <c r="K103" s="73">
        <v>0</v>
      </c>
      <c r="L103" s="74">
        <v>0</v>
      </c>
      <c r="M103" s="73">
        <v>0</v>
      </c>
      <c r="N103" s="74">
        <v>0</v>
      </c>
      <c r="O103" s="73">
        <v>0</v>
      </c>
      <c r="P103" s="74">
        <v>0</v>
      </c>
      <c r="Q103" s="73">
        <v>0</v>
      </c>
      <c r="R103" s="71" t="s">
        <v>625</v>
      </c>
      <c r="S103" s="71">
        <v>7414000005</v>
      </c>
      <c r="W103" s="3">
        <v>2000301</v>
      </c>
      <c r="X103">
        <v>0</v>
      </c>
      <c r="AB103"/>
      <c r="AC103"/>
    </row>
    <row r="104" spans="1:29" x14ac:dyDescent="0.25">
      <c r="A104" t="str">
        <f t="shared" si="2"/>
        <v xml:space="preserve">1005849STERGOB ED          </v>
      </c>
      <c r="B104" s="71">
        <v>1006090</v>
      </c>
      <c r="C104" s="71" t="s">
        <v>647</v>
      </c>
      <c r="D104" s="71" t="s">
        <v>382</v>
      </c>
      <c r="E104" s="71" t="s">
        <v>623</v>
      </c>
      <c r="F104" s="71" t="s">
        <v>624</v>
      </c>
      <c r="G104" s="74">
        <v>0</v>
      </c>
      <c r="H104" s="72">
        <v>0</v>
      </c>
      <c r="I104" s="73">
        <v>0</v>
      </c>
      <c r="J104" s="72">
        <v>0</v>
      </c>
      <c r="K104" s="73">
        <v>0</v>
      </c>
      <c r="L104" s="74">
        <v>0</v>
      </c>
      <c r="M104" s="73">
        <v>0</v>
      </c>
      <c r="N104" s="74">
        <v>0</v>
      </c>
      <c r="O104" s="73">
        <v>0</v>
      </c>
      <c r="P104" s="74">
        <v>0</v>
      </c>
      <c r="Q104" s="73">
        <v>0</v>
      </c>
      <c r="R104" s="71" t="s">
        <v>625</v>
      </c>
      <c r="S104" s="71">
        <v>7414000005</v>
      </c>
      <c r="W104" s="3">
        <v>2000302</v>
      </c>
      <c r="X104">
        <v>1316927.9615189999</v>
      </c>
      <c r="AB104"/>
      <c r="AC104"/>
    </row>
    <row r="105" spans="1:29" x14ac:dyDescent="0.25">
      <c r="A105" t="str">
        <f t="shared" si="2"/>
        <v xml:space="preserve">1006090GOBFED 241205       </v>
      </c>
      <c r="B105" s="71">
        <v>1006090</v>
      </c>
      <c r="C105" s="71" t="s">
        <v>647</v>
      </c>
      <c r="D105" s="71" t="s">
        <v>408</v>
      </c>
      <c r="E105" s="71" t="s">
        <v>623</v>
      </c>
      <c r="F105" s="71" t="s">
        <v>624</v>
      </c>
      <c r="G105" s="74">
        <v>0</v>
      </c>
      <c r="H105" s="72">
        <v>0</v>
      </c>
      <c r="I105" s="73">
        <v>0</v>
      </c>
      <c r="J105" s="72">
        <v>0</v>
      </c>
      <c r="K105" s="73">
        <v>0</v>
      </c>
      <c r="L105" s="74">
        <v>0</v>
      </c>
      <c r="M105" s="73">
        <v>0</v>
      </c>
      <c r="N105" s="74">
        <v>0</v>
      </c>
      <c r="O105" s="73">
        <v>0</v>
      </c>
      <c r="P105" s="74">
        <v>0</v>
      </c>
      <c r="Q105" s="73">
        <v>0</v>
      </c>
      <c r="R105" s="71" t="s">
        <v>625</v>
      </c>
      <c r="S105" s="71">
        <v>7414000005</v>
      </c>
      <c r="W105" s="3">
        <v>2000402</v>
      </c>
      <c r="X105">
        <v>1020121.499424</v>
      </c>
      <c r="AB105"/>
      <c r="AC105"/>
    </row>
    <row r="106" spans="1:29" x14ac:dyDescent="0.25">
      <c r="A106" t="str">
        <f t="shared" si="2"/>
        <v xml:space="preserve">1006090GOBFED 310529       </v>
      </c>
      <c r="B106" s="71">
        <v>1006090</v>
      </c>
      <c r="C106" s="71" t="s">
        <v>647</v>
      </c>
      <c r="D106" s="71" t="s">
        <v>396</v>
      </c>
      <c r="E106" s="71" t="s">
        <v>623</v>
      </c>
      <c r="F106" s="71" t="s">
        <v>624</v>
      </c>
      <c r="G106" s="74">
        <v>0</v>
      </c>
      <c r="H106" s="72">
        <v>0</v>
      </c>
      <c r="I106" s="73">
        <v>0</v>
      </c>
      <c r="J106" s="72">
        <v>0</v>
      </c>
      <c r="K106" s="73">
        <v>0</v>
      </c>
      <c r="L106" s="74">
        <v>0</v>
      </c>
      <c r="M106" s="73">
        <v>0</v>
      </c>
      <c r="N106" s="74">
        <v>0</v>
      </c>
      <c r="O106" s="73">
        <v>0</v>
      </c>
      <c r="P106" s="74">
        <v>0</v>
      </c>
      <c r="Q106" s="73">
        <v>0</v>
      </c>
      <c r="R106" s="71" t="s">
        <v>625</v>
      </c>
      <c r="S106" s="71">
        <v>7414000005</v>
      </c>
      <c r="W106" s="3">
        <v>2000423</v>
      </c>
      <c r="X106">
        <v>1887811.3808290001</v>
      </c>
      <c r="AB106"/>
      <c r="AC106"/>
    </row>
    <row r="107" spans="1:29" x14ac:dyDescent="0.25">
      <c r="A107" t="str">
        <f t="shared" si="2"/>
        <v xml:space="preserve">1006090GOBFED 381118       </v>
      </c>
      <c r="B107" s="71">
        <v>1008774</v>
      </c>
      <c r="C107" s="71" t="s">
        <v>648</v>
      </c>
      <c r="D107" s="71" t="s">
        <v>509</v>
      </c>
      <c r="E107" s="71" t="s">
        <v>623</v>
      </c>
      <c r="F107" s="71" t="s">
        <v>624</v>
      </c>
      <c r="G107" s="74">
        <v>2442610</v>
      </c>
      <c r="H107" s="72">
        <v>99.968271000000001</v>
      </c>
      <c r="I107" s="73">
        <v>244183498.42730999</v>
      </c>
      <c r="J107" s="72">
        <v>99.903049999999993</v>
      </c>
      <c r="K107" s="73">
        <v>159309.46681000001</v>
      </c>
      <c r="L107" s="74">
        <v>0</v>
      </c>
      <c r="M107" s="73">
        <v>0</v>
      </c>
      <c r="N107" s="74">
        <v>0</v>
      </c>
      <c r="O107" s="73">
        <v>0</v>
      </c>
      <c r="P107" s="74">
        <v>2442610</v>
      </c>
      <c r="Q107" s="73">
        <v>244183498.42730999</v>
      </c>
      <c r="R107" s="71" t="s">
        <v>625</v>
      </c>
      <c r="S107" s="71">
        <v>7414000005</v>
      </c>
      <c r="W107" s="3">
        <v>2000424</v>
      </c>
      <c r="X107">
        <v>4443331.693763</v>
      </c>
      <c r="AB107"/>
      <c r="AC107"/>
    </row>
    <row r="108" spans="1:29" x14ac:dyDescent="0.25">
      <c r="A108" t="str">
        <f t="shared" si="2"/>
        <v xml:space="preserve">1006090UDIBONO 401115      </v>
      </c>
      <c r="B108" s="71">
        <v>1008774</v>
      </c>
      <c r="C108" s="71" t="s">
        <v>648</v>
      </c>
      <c r="D108" s="71" t="s">
        <v>364</v>
      </c>
      <c r="E108" s="71" t="s">
        <v>623</v>
      </c>
      <c r="F108" s="71" t="s">
        <v>624</v>
      </c>
      <c r="G108" s="74">
        <v>2892930</v>
      </c>
      <c r="H108" s="72">
        <v>9.190137</v>
      </c>
      <c r="I108" s="73">
        <v>26586423.031410001</v>
      </c>
      <c r="J108" s="72">
        <v>8.1527577010188637</v>
      </c>
      <c r="K108" s="73">
        <v>3001065.6954015</v>
      </c>
      <c r="L108" s="74">
        <v>0</v>
      </c>
      <c r="M108" s="73">
        <v>0</v>
      </c>
      <c r="N108" s="74">
        <v>0</v>
      </c>
      <c r="O108" s="73">
        <v>0</v>
      </c>
      <c r="P108" s="74">
        <v>2892930</v>
      </c>
      <c r="Q108" s="73">
        <v>26586423.031410001</v>
      </c>
      <c r="R108" s="71" t="s">
        <v>625</v>
      </c>
      <c r="S108" s="71">
        <v>7414000005</v>
      </c>
      <c r="W108" s="3">
        <v>2000465</v>
      </c>
      <c r="X108">
        <v>34935585.610114001</v>
      </c>
      <c r="AB108"/>
      <c r="AC108"/>
    </row>
    <row r="109" spans="1:29" x14ac:dyDescent="0.25">
      <c r="A109" t="str">
        <f t="shared" si="2"/>
        <v xml:space="preserve">1008774BONDESF 240815      </v>
      </c>
      <c r="B109" s="71">
        <v>1008774</v>
      </c>
      <c r="C109" s="71" t="s">
        <v>648</v>
      </c>
      <c r="D109" s="71" t="s">
        <v>615</v>
      </c>
      <c r="E109" s="71" t="s">
        <v>623</v>
      </c>
      <c r="F109" s="71" t="s">
        <v>624</v>
      </c>
      <c r="G109" s="74">
        <v>1000000</v>
      </c>
      <c r="H109" s="72">
        <v>9.0839700000000008</v>
      </c>
      <c r="I109" s="73">
        <v>9083970</v>
      </c>
      <c r="J109" s="72">
        <v>8.9878796600000008</v>
      </c>
      <c r="K109" s="73">
        <v>96090.34</v>
      </c>
      <c r="L109" s="74">
        <v>0</v>
      </c>
      <c r="M109" s="73">
        <v>0</v>
      </c>
      <c r="N109" s="74">
        <v>0</v>
      </c>
      <c r="O109" s="73">
        <v>0</v>
      </c>
      <c r="P109" s="74">
        <v>1000000</v>
      </c>
      <c r="Q109" s="73">
        <v>9083970</v>
      </c>
      <c r="R109" s="71" t="s">
        <v>625</v>
      </c>
      <c r="S109" s="71">
        <v>7414000005</v>
      </c>
      <c r="W109" s="3">
        <v>2000467</v>
      </c>
      <c r="X109">
        <v>22901377.689304002</v>
      </c>
      <c r="AB109"/>
      <c r="AC109"/>
    </row>
    <row r="110" spans="1:29" x14ac:dyDescent="0.25">
      <c r="A110" t="str">
        <f t="shared" si="2"/>
        <v xml:space="preserve">1008774CETES 250123        </v>
      </c>
      <c r="B110" s="71">
        <v>1008774</v>
      </c>
      <c r="C110" s="71" t="s">
        <v>648</v>
      </c>
      <c r="D110" s="71" t="s">
        <v>649</v>
      </c>
      <c r="E110" s="71" t="s">
        <v>623</v>
      </c>
      <c r="F110" s="71" t="s">
        <v>624</v>
      </c>
      <c r="G110" s="74">
        <v>1618860</v>
      </c>
      <c r="H110" s="72">
        <v>9.0112480000000001</v>
      </c>
      <c r="I110" s="73">
        <v>14587948.937279999</v>
      </c>
      <c r="J110" s="72">
        <v>8.9969798000000001</v>
      </c>
      <c r="K110" s="73">
        <v>23098.218251999999</v>
      </c>
      <c r="L110" s="74">
        <v>0</v>
      </c>
      <c r="M110" s="73">
        <v>0</v>
      </c>
      <c r="N110" s="74">
        <v>0</v>
      </c>
      <c r="O110" s="73">
        <v>0</v>
      </c>
      <c r="P110" s="74">
        <v>1618860</v>
      </c>
      <c r="Q110" s="73">
        <v>14587948.937279999</v>
      </c>
      <c r="R110" s="71" t="s">
        <v>625</v>
      </c>
      <c r="S110" s="71">
        <v>7414000005</v>
      </c>
      <c r="W110" s="3">
        <v>2000513</v>
      </c>
      <c r="X110">
        <v>0</v>
      </c>
      <c r="AB110"/>
      <c r="AC110"/>
    </row>
    <row r="111" spans="1:29" x14ac:dyDescent="0.25">
      <c r="A111" t="str">
        <f t="shared" si="2"/>
        <v xml:space="preserve">1008774CETES 250306        </v>
      </c>
      <c r="B111" s="71">
        <v>1008774</v>
      </c>
      <c r="C111" s="71" t="s">
        <v>648</v>
      </c>
      <c r="D111" s="71" t="s">
        <v>554</v>
      </c>
      <c r="E111" s="71" t="s">
        <v>623</v>
      </c>
      <c r="F111" s="71" t="s">
        <v>624</v>
      </c>
      <c r="G111" s="74">
        <v>16258930</v>
      </c>
      <c r="H111" s="72">
        <v>8.3813510000000004</v>
      </c>
      <c r="I111" s="73">
        <v>136271799.21443</v>
      </c>
      <c r="J111" s="72">
        <v>8.2786636708894559</v>
      </c>
      <c r="K111" s="73">
        <v>1669586.0958952999</v>
      </c>
      <c r="L111" s="74">
        <v>0</v>
      </c>
      <c r="M111" s="73">
        <v>0</v>
      </c>
      <c r="N111" s="74">
        <v>0</v>
      </c>
      <c r="O111" s="73">
        <v>0</v>
      </c>
      <c r="P111" s="74">
        <v>16258930</v>
      </c>
      <c r="Q111" s="73">
        <v>136271799.21443</v>
      </c>
      <c r="R111" s="71" t="s">
        <v>625</v>
      </c>
      <c r="S111" s="71">
        <v>7414000005</v>
      </c>
      <c r="W111" s="3">
        <v>2000534</v>
      </c>
      <c r="X111">
        <v>437.32162499999998</v>
      </c>
      <c r="AB111"/>
      <c r="AC111"/>
    </row>
    <row r="112" spans="1:29" x14ac:dyDescent="0.25">
      <c r="A112" t="str">
        <f t="shared" si="2"/>
        <v xml:space="preserve">1008774CETES 250403        </v>
      </c>
      <c r="B112" s="71">
        <v>1008774</v>
      </c>
      <c r="C112" s="71" t="s">
        <v>648</v>
      </c>
      <c r="D112" s="71" t="s">
        <v>613</v>
      </c>
      <c r="E112" s="71" t="s">
        <v>623</v>
      </c>
      <c r="F112" s="71" t="s">
        <v>624</v>
      </c>
      <c r="G112" s="74">
        <v>13614860</v>
      </c>
      <c r="H112" s="72">
        <v>8.2580650000000002</v>
      </c>
      <c r="I112" s="73">
        <v>112432398.8459</v>
      </c>
      <c r="J112" s="72">
        <v>8.2251008006336157</v>
      </c>
      <c r="K112" s="73">
        <v>448802.9593854</v>
      </c>
      <c r="L112" s="74">
        <v>0</v>
      </c>
      <c r="M112" s="73">
        <v>0</v>
      </c>
      <c r="N112" s="74">
        <v>0</v>
      </c>
      <c r="O112" s="73">
        <v>0</v>
      </c>
      <c r="P112" s="74">
        <v>13614860</v>
      </c>
      <c r="Q112" s="73">
        <v>112432398.8459</v>
      </c>
      <c r="R112" s="71" t="s">
        <v>625</v>
      </c>
      <c r="S112" s="71">
        <v>7414000005</v>
      </c>
      <c r="W112" s="3">
        <v>2000554</v>
      </c>
      <c r="X112">
        <v>15505122.864607999</v>
      </c>
      <c r="AB112"/>
      <c r="AC112"/>
    </row>
    <row r="113" spans="1:29" x14ac:dyDescent="0.25">
      <c r="A113" t="str">
        <f t="shared" si="2"/>
        <v xml:space="preserve">1008774CETES 251224        </v>
      </c>
      <c r="B113" s="71">
        <v>1008774</v>
      </c>
      <c r="C113" s="71" t="s">
        <v>648</v>
      </c>
      <c r="D113" s="71" t="s">
        <v>375</v>
      </c>
      <c r="E113" s="71" t="s">
        <v>623</v>
      </c>
      <c r="F113" s="71" t="s">
        <v>624</v>
      </c>
      <c r="G113" s="74">
        <v>14326</v>
      </c>
      <c r="H113" s="72">
        <v>98.730349000000004</v>
      </c>
      <c r="I113" s="73">
        <v>1414410.9797739999</v>
      </c>
      <c r="J113" s="72">
        <v>104.81191507</v>
      </c>
      <c r="K113" s="73">
        <v>-87124.515518820001</v>
      </c>
      <c r="L113" s="74">
        <v>0</v>
      </c>
      <c r="M113" s="73">
        <v>0</v>
      </c>
      <c r="N113" s="74">
        <v>0</v>
      </c>
      <c r="O113" s="73">
        <v>0</v>
      </c>
      <c r="P113" s="74">
        <v>14326</v>
      </c>
      <c r="Q113" s="73">
        <v>1414410.9797739999</v>
      </c>
      <c r="R113" s="71" t="s">
        <v>625</v>
      </c>
      <c r="S113" s="71">
        <v>7414000005</v>
      </c>
      <c r="W113" s="3">
        <v>2000569</v>
      </c>
      <c r="X113">
        <v>16110805.096042</v>
      </c>
      <c r="AB113"/>
      <c r="AC113"/>
    </row>
    <row r="114" spans="1:29" x14ac:dyDescent="0.25">
      <c r="A114" t="str">
        <f t="shared" si="2"/>
        <v xml:space="preserve">1008774CETES 260219        </v>
      </c>
      <c r="B114" s="71">
        <v>1008774</v>
      </c>
      <c r="C114" s="71" t="s">
        <v>648</v>
      </c>
      <c r="D114" s="71" t="s">
        <v>376</v>
      </c>
      <c r="E114" s="71" t="s">
        <v>623</v>
      </c>
      <c r="F114" s="71" t="s">
        <v>624</v>
      </c>
      <c r="G114" s="74">
        <v>66800</v>
      </c>
      <c r="H114" s="72">
        <v>99.247497999999993</v>
      </c>
      <c r="I114" s="73">
        <v>6629732.8663999997</v>
      </c>
      <c r="J114" s="72">
        <v>101.04285588</v>
      </c>
      <c r="K114" s="73">
        <v>-119929.906384</v>
      </c>
      <c r="L114" s="74">
        <v>0</v>
      </c>
      <c r="M114" s="73">
        <v>0</v>
      </c>
      <c r="N114" s="74">
        <v>0</v>
      </c>
      <c r="O114" s="73">
        <v>0</v>
      </c>
      <c r="P114" s="74">
        <v>66800</v>
      </c>
      <c r="Q114" s="73">
        <v>6629732.8663999997</v>
      </c>
      <c r="R114" s="71" t="s">
        <v>625</v>
      </c>
      <c r="S114" s="71">
        <v>7414000005</v>
      </c>
      <c r="W114" s="3">
        <v>2000574</v>
      </c>
      <c r="X114">
        <v>6247804.5492439996</v>
      </c>
      <c r="AB114"/>
      <c r="AC114"/>
    </row>
    <row r="115" spans="1:29" x14ac:dyDescent="0.25">
      <c r="A115" t="str">
        <f t="shared" si="2"/>
        <v xml:space="preserve">1008774GOBFED 240905       </v>
      </c>
      <c r="B115" s="71">
        <v>1008774</v>
      </c>
      <c r="C115" s="71" t="s">
        <v>648</v>
      </c>
      <c r="D115" s="71" t="s">
        <v>379</v>
      </c>
      <c r="E115" s="71" t="s">
        <v>623</v>
      </c>
      <c r="F115" s="71" t="s">
        <v>624</v>
      </c>
      <c r="G115" s="74">
        <v>255470</v>
      </c>
      <c r="H115" s="72">
        <v>88.698122999999995</v>
      </c>
      <c r="I115" s="73">
        <v>22659709.482810002</v>
      </c>
      <c r="J115" s="72">
        <v>88.469977723711978</v>
      </c>
      <c r="K115" s="73">
        <v>58284.273733299997</v>
      </c>
      <c r="L115" s="74">
        <v>0</v>
      </c>
      <c r="M115" s="73">
        <v>0</v>
      </c>
      <c r="N115" s="74">
        <v>0</v>
      </c>
      <c r="O115" s="73">
        <v>0</v>
      </c>
      <c r="P115" s="74">
        <v>255470</v>
      </c>
      <c r="Q115" s="73">
        <v>22659709.482810002</v>
      </c>
      <c r="R115" s="71" t="s">
        <v>625</v>
      </c>
      <c r="S115" s="71">
        <v>7414000005</v>
      </c>
      <c r="W115" s="3">
        <v>2000575</v>
      </c>
      <c r="X115">
        <v>27603079.142901</v>
      </c>
      <c r="AB115"/>
      <c r="AC115"/>
    </row>
    <row r="116" spans="1:29" x14ac:dyDescent="0.25">
      <c r="A116" t="str">
        <f t="shared" si="2"/>
        <v xml:space="preserve">1008774GOBFED 241205       </v>
      </c>
      <c r="B116" s="71">
        <v>1008774</v>
      </c>
      <c r="C116" s="71" t="s">
        <v>648</v>
      </c>
      <c r="D116" s="71" t="s">
        <v>380</v>
      </c>
      <c r="E116" s="71" t="s">
        <v>623</v>
      </c>
      <c r="F116" s="71" t="s">
        <v>624</v>
      </c>
      <c r="G116" s="74">
        <v>172930</v>
      </c>
      <c r="H116" s="72">
        <v>93.314192000000006</v>
      </c>
      <c r="I116" s="73">
        <v>16136823.22256</v>
      </c>
      <c r="J116" s="72">
        <v>93.409382949999994</v>
      </c>
      <c r="K116" s="73">
        <v>-16461.370983500001</v>
      </c>
      <c r="L116" s="74">
        <v>0</v>
      </c>
      <c r="M116" s="73">
        <v>0</v>
      </c>
      <c r="N116" s="74">
        <v>0</v>
      </c>
      <c r="O116" s="73">
        <v>0</v>
      </c>
      <c r="P116" s="74">
        <v>172930</v>
      </c>
      <c r="Q116" s="73">
        <v>16136823.22256</v>
      </c>
      <c r="R116" s="71" t="s">
        <v>625</v>
      </c>
      <c r="S116" s="71">
        <v>7414000005</v>
      </c>
      <c r="W116" s="3">
        <v>2000576</v>
      </c>
      <c r="X116">
        <v>7847433.3837179998</v>
      </c>
      <c r="AB116"/>
      <c r="AC116"/>
    </row>
    <row r="117" spans="1:29" x14ac:dyDescent="0.25">
      <c r="A117" t="str">
        <f t="shared" si="2"/>
        <v xml:space="preserve">1008774GOBFED 270304       </v>
      </c>
      <c r="B117" s="71">
        <v>1008774</v>
      </c>
      <c r="C117" s="71" t="s">
        <v>648</v>
      </c>
      <c r="D117" s="71" t="s">
        <v>389</v>
      </c>
      <c r="E117" s="71" t="s">
        <v>623</v>
      </c>
      <c r="F117" s="71" t="s">
        <v>624</v>
      </c>
      <c r="G117" s="74">
        <v>248346950</v>
      </c>
      <c r="H117" s="72">
        <v>3.3967719999999999</v>
      </c>
      <c r="I117" s="73">
        <v>843577966.04540002</v>
      </c>
      <c r="J117" s="72">
        <v>3.3847077393944236</v>
      </c>
      <c r="K117" s="73">
        <v>2996122.3254</v>
      </c>
      <c r="L117" s="74">
        <v>0</v>
      </c>
      <c r="M117" s="73">
        <v>0</v>
      </c>
      <c r="N117" s="74">
        <v>0</v>
      </c>
      <c r="O117" s="73">
        <v>0</v>
      </c>
      <c r="P117" s="74">
        <v>248346950</v>
      </c>
      <c r="Q117" s="73">
        <v>843577966.04540002</v>
      </c>
      <c r="R117" s="71" t="s">
        <v>625</v>
      </c>
      <c r="S117" s="71">
        <v>7414000005</v>
      </c>
      <c r="W117" s="3">
        <v>2000577</v>
      </c>
      <c r="X117">
        <v>61534022.634461001</v>
      </c>
      <c r="AB117"/>
      <c r="AC117"/>
    </row>
    <row r="118" spans="1:29" x14ac:dyDescent="0.25">
      <c r="A118" t="str">
        <f t="shared" si="2"/>
        <v xml:space="preserve">1008774GOBFED 270603       </v>
      </c>
      <c r="B118" s="71">
        <v>1008774</v>
      </c>
      <c r="C118" s="71" t="s">
        <v>648</v>
      </c>
      <c r="D118" s="71" t="s">
        <v>391</v>
      </c>
      <c r="E118" s="71" t="s">
        <v>623</v>
      </c>
      <c r="F118" s="71" t="s">
        <v>624</v>
      </c>
      <c r="G118" s="74">
        <v>161854</v>
      </c>
      <c r="H118" s="72">
        <v>775.69178699999998</v>
      </c>
      <c r="I118" s="73">
        <v>125548818.49309801</v>
      </c>
      <c r="J118" s="72">
        <v>756.45876883000005</v>
      </c>
      <c r="K118" s="73">
        <v>3112940.92288718</v>
      </c>
      <c r="L118" s="74">
        <v>0</v>
      </c>
      <c r="M118" s="73">
        <v>0</v>
      </c>
      <c r="N118" s="74">
        <v>0</v>
      </c>
      <c r="O118" s="73">
        <v>0</v>
      </c>
      <c r="P118" s="74">
        <v>161854</v>
      </c>
      <c r="Q118" s="73">
        <v>125548818.49309801</v>
      </c>
      <c r="R118" s="71" t="s">
        <v>625</v>
      </c>
      <c r="S118" s="71">
        <v>7414000005</v>
      </c>
      <c r="W118" s="3">
        <v>2000579</v>
      </c>
      <c r="X118">
        <v>1378422.794304</v>
      </c>
      <c r="AB118"/>
      <c r="AC118"/>
    </row>
    <row r="119" spans="1:29" x14ac:dyDescent="0.25">
      <c r="A119" t="str">
        <f t="shared" si="2"/>
        <v xml:space="preserve">1008774STERGOB ED          </v>
      </c>
      <c r="B119" s="71">
        <v>1008775</v>
      </c>
      <c r="C119" s="71" t="s">
        <v>650</v>
      </c>
      <c r="D119" s="71" t="s">
        <v>509</v>
      </c>
      <c r="E119" s="71" t="s">
        <v>623</v>
      </c>
      <c r="F119" s="71" t="s">
        <v>624</v>
      </c>
      <c r="G119" s="74">
        <v>0</v>
      </c>
      <c r="H119" s="72">
        <v>0</v>
      </c>
      <c r="I119" s="73">
        <v>0</v>
      </c>
      <c r="J119" s="72">
        <v>0</v>
      </c>
      <c r="K119" s="73">
        <v>0</v>
      </c>
      <c r="L119" s="74">
        <v>0</v>
      </c>
      <c r="M119" s="73">
        <v>0</v>
      </c>
      <c r="N119" s="74">
        <v>0</v>
      </c>
      <c r="O119" s="73">
        <v>0</v>
      </c>
      <c r="P119" s="74">
        <v>0</v>
      </c>
      <c r="Q119" s="73">
        <v>0</v>
      </c>
      <c r="R119" s="71" t="s">
        <v>625</v>
      </c>
      <c r="S119" s="71">
        <v>7414000005</v>
      </c>
      <c r="W119" s="3">
        <v>2000581</v>
      </c>
      <c r="X119">
        <v>25028863.381446</v>
      </c>
      <c r="AB119"/>
      <c r="AC119"/>
    </row>
    <row r="120" spans="1:29" x14ac:dyDescent="0.25">
      <c r="A120" t="str">
        <f t="shared" si="2"/>
        <v xml:space="preserve">1008774UDIBONO 251204      </v>
      </c>
      <c r="B120" s="71">
        <v>1008775</v>
      </c>
      <c r="C120" s="71" t="s">
        <v>650</v>
      </c>
      <c r="D120" s="71" t="s">
        <v>649</v>
      </c>
      <c r="E120" s="71" t="s">
        <v>623</v>
      </c>
      <c r="F120" s="71" t="s">
        <v>624</v>
      </c>
      <c r="G120" s="74">
        <v>19990</v>
      </c>
      <c r="H120" s="72">
        <v>9.0112480000000001</v>
      </c>
      <c r="I120" s="73">
        <v>180134.84752000001</v>
      </c>
      <c r="J120" s="72">
        <v>8.9969798000000001</v>
      </c>
      <c r="K120" s="73">
        <v>285.221318</v>
      </c>
      <c r="L120" s="74">
        <v>0</v>
      </c>
      <c r="M120" s="73">
        <v>0</v>
      </c>
      <c r="N120" s="74">
        <v>0</v>
      </c>
      <c r="O120" s="73">
        <v>0</v>
      </c>
      <c r="P120" s="74">
        <v>19990</v>
      </c>
      <c r="Q120" s="73">
        <v>180134.84752000001</v>
      </c>
      <c r="R120" s="71" t="s">
        <v>625</v>
      </c>
      <c r="S120" s="71">
        <v>7414000005</v>
      </c>
      <c r="W120" s="3">
        <v>2000597</v>
      </c>
      <c r="X120">
        <v>23370.467639999999</v>
      </c>
      <c r="AB120"/>
      <c r="AC120"/>
    </row>
    <row r="121" spans="1:29" x14ac:dyDescent="0.25">
      <c r="A121" t="str">
        <f t="shared" si="2"/>
        <v xml:space="preserve">1008775BONDESF 240815      </v>
      </c>
      <c r="B121" s="71">
        <v>1008775</v>
      </c>
      <c r="C121" s="71" t="s">
        <v>650</v>
      </c>
      <c r="D121" s="71" t="s">
        <v>554</v>
      </c>
      <c r="E121" s="71" t="s">
        <v>623</v>
      </c>
      <c r="F121" s="71" t="s">
        <v>624</v>
      </c>
      <c r="G121" s="74">
        <v>521630</v>
      </c>
      <c r="H121" s="72">
        <v>8.3813510000000004</v>
      </c>
      <c r="I121" s="73">
        <v>4371964.12213</v>
      </c>
      <c r="J121" s="72">
        <v>8.2920811269821524</v>
      </c>
      <c r="K121" s="73">
        <v>46565.843862299997</v>
      </c>
      <c r="L121" s="74">
        <v>0</v>
      </c>
      <c r="M121" s="73">
        <v>0</v>
      </c>
      <c r="N121" s="74">
        <v>0</v>
      </c>
      <c r="O121" s="73">
        <v>0</v>
      </c>
      <c r="P121" s="74">
        <v>521630</v>
      </c>
      <c r="Q121" s="73">
        <v>4371964.12213</v>
      </c>
      <c r="R121" s="71" t="s">
        <v>625</v>
      </c>
      <c r="S121" s="71">
        <v>7414000005</v>
      </c>
      <c r="W121" s="3">
        <v>2000722</v>
      </c>
      <c r="X121">
        <v>4504921.8844280001</v>
      </c>
      <c r="AB121"/>
      <c r="AC121"/>
    </row>
    <row r="122" spans="1:29" x14ac:dyDescent="0.25">
      <c r="A122" t="str">
        <f t="shared" si="2"/>
        <v xml:space="preserve">1008775CETES 250403        </v>
      </c>
      <c r="B122" s="71">
        <v>1008775</v>
      </c>
      <c r="C122" s="71" t="s">
        <v>650</v>
      </c>
      <c r="D122" s="71" t="s">
        <v>613</v>
      </c>
      <c r="E122" s="71" t="s">
        <v>623</v>
      </c>
      <c r="F122" s="71" t="s">
        <v>624</v>
      </c>
      <c r="G122" s="74">
        <v>36960</v>
      </c>
      <c r="H122" s="72">
        <v>8.2580650000000002</v>
      </c>
      <c r="I122" s="73">
        <v>305218.08240000001</v>
      </c>
      <c r="J122" s="72">
        <v>8.2501711100000001</v>
      </c>
      <c r="K122" s="73">
        <v>291.75817439999997</v>
      </c>
      <c r="L122" s="74">
        <v>0</v>
      </c>
      <c r="M122" s="73">
        <v>0</v>
      </c>
      <c r="N122" s="74">
        <v>0</v>
      </c>
      <c r="O122" s="73">
        <v>0</v>
      </c>
      <c r="P122" s="74">
        <v>36960</v>
      </c>
      <c r="Q122" s="73">
        <v>305218.08240000001</v>
      </c>
      <c r="R122" s="71" t="s">
        <v>625</v>
      </c>
      <c r="S122" s="71">
        <v>7414000005</v>
      </c>
      <c r="W122" s="3">
        <v>2000724</v>
      </c>
      <c r="X122">
        <v>3870182.2995600002</v>
      </c>
      <c r="AB122"/>
      <c r="AC122"/>
    </row>
    <row r="123" spans="1:29" x14ac:dyDescent="0.25">
      <c r="A123" t="str">
        <f t="shared" si="2"/>
        <v xml:space="preserve">1008775CETES 251224        </v>
      </c>
      <c r="B123" s="71">
        <v>1008775</v>
      </c>
      <c r="C123" s="71" t="s">
        <v>650</v>
      </c>
      <c r="D123" s="71" t="s">
        <v>389</v>
      </c>
      <c r="E123" s="71" t="s">
        <v>623</v>
      </c>
      <c r="F123" s="71" t="s">
        <v>624</v>
      </c>
      <c r="G123" s="74">
        <v>2807448</v>
      </c>
      <c r="H123" s="72">
        <v>3.3967719999999999</v>
      </c>
      <c r="I123" s="73">
        <v>9536260.7578560002</v>
      </c>
      <c r="J123" s="72">
        <v>3.3352992361746328</v>
      </c>
      <c r="K123" s="73">
        <v>172581.587856</v>
      </c>
      <c r="L123" s="74">
        <v>0</v>
      </c>
      <c r="M123" s="73">
        <v>0</v>
      </c>
      <c r="N123" s="74">
        <v>0</v>
      </c>
      <c r="O123" s="73">
        <v>0</v>
      </c>
      <c r="P123" s="74">
        <v>2807448</v>
      </c>
      <c r="Q123" s="73">
        <v>9536260.7578560002</v>
      </c>
      <c r="R123" s="71" t="s">
        <v>625</v>
      </c>
      <c r="S123" s="71">
        <v>7414000005</v>
      </c>
      <c r="W123" s="3">
        <v>2000725</v>
      </c>
      <c r="X123">
        <v>149.865996</v>
      </c>
      <c r="AB123"/>
      <c r="AC123"/>
    </row>
    <row r="124" spans="1:29" x14ac:dyDescent="0.25">
      <c r="A124" t="str">
        <f t="shared" si="2"/>
        <v xml:space="preserve">1008775CETES 260219        </v>
      </c>
      <c r="B124" s="71">
        <v>1008776</v>
      </c>
      <c r="C124" s="71" t="s">
        <v>651</v>
      </c>
      <c r="D124" s="71" t="s">
        <v>509</v>
      </c>
      <c r="E124" s="71" t="s">
        <v>623</v>
      </c>
      <c r="F124" s="71" t="s">
        <v>624</v>
      </c>
      <c r="G124" s="74">
        <v>143950</v>
      </c>
      <c r="H124" s="72">
        <v>99.968271000000001</v>
      </c>
      <c r="I124" s="73">
        <v>14390432.61045</v>
      </c>
      <c r="J124" s="72">
        <v>99.903049999999993</v>
      </c>
      <c r="K124" s="73">
        <v>9388.5629499999995</v>
      </c>
      <c r="L124" s="74">
        <v>0</v>
      </c>
      <c r="M124" s="73">
        <v>0</v>
      </c>
      <c r="N124" s="74">
        <v>0</v>
      </c>
      <c r="O124" s="73">
        <v>0</v>
      </c>
      <c r="P124" s="74">
        <v>143950</v>
      </c>
      <c r="Q124" s="73">
        <v>14390432.61045</v>
      </c>
      <c r="R124" s="71" t="s">
        <v>625</v>
      </c>
      <c r="S124" s="71">
        <v>7414000005</v>
      </c>
      <c r="W124" s="3">
        <v>2000730</v>
      </c>
      <c r="X124">
        <v>4910789.4843149995</v>
      </c>
      <c r="AB124"/>
      <c r="AC124"/>
    </row>
    <row r="125" spans="1:29" x14ac:dyDescent="0.25">
      <c r="A125" t="str">
        <f t="shared" si="2"/>
        <v xml:space="preserve">1008775STERGOB ED          </v>
      </c>
      <c r="B125" s="71">
        <v>1008776</v>
      </c>
      <c r="C125" s="71" t="s">
        <v>651</v>
      </c>
      <c r="D125" s="71" t="s">
        <v>409</v>
      </c>
      <c r="E125" s="71" t="s">
        <v>623</v>
      </c>
      <c r="F125" s="71" t="s">
        <v>624</v>
      </c>
      <c r="G125" s="74">
        <v>801955</v>
      </c>
      <c r="H125" s="72">
        <v>9.3381629999999998</v>
      </c>
      <c r="I125" s="73">
        <v>7488786.5086650001</v>
      </c>
      <c r="J125" s="72">
        <v>8.3235147061734889</v>
      </c>
      <c r="K125" s="73">
        <v>813702.27247564006</v>
      </c>
      <c r="L125" s="74">
        <v>0</v>
      </c>
      <c r="M125" s="73">
        <v>0</v>
      </c>
      <c r="N125" s="74">
        <v>0</v>
      </c>
      <c r="O125" s="73">
        <v>0</v>
      </c>
      <c r="P125" s="74">
        <v>801955</v>
      </c>
      <c r="Q125" s="73">
        <v>7488786.5086650001</v>
      </c>
      <c r="R125" s="71" t="s">
        <v>625</v>
      </c>
      <c r="S125" s="71">
        <v>7414000005</v>
      </c>
      <c r="W125" s="3">
        <v>2000739</v>
      </c>
      <c r="X125">
        <v>7517299.0370639991</v>
      </c>
      <c r="AB125"/>
      <c r="AC125"/>
    </row>
    <row r="126" spans="1:29" x14ac:dyDescent="0.25">
      <c r="A126" t="str">
        <f t="shared" si="2"/>
        <v xml:space="preserve">1008776BONDESF 240815      </v>
      </c>
      <c r="B126" s="71">
        <v>1008776</v>
      </c>
      <c r="C126" s="71" t="s">
        <v>651</v>
      </c>
      <c r="D126" s="71" t="s">
        <v>364</v>
      </c>
      <c r="E126" s="71" t="s">
        <v>623</v>
      </c>
      <c r="F126" s="71" t="s">
        <v>624</v>
      </c>
      <c r="G126" s="74">
        <v>472120</v>
      </c>
      <c r="H126" s="72">
        <v>9.190137</v>
      </c>
      <c r="I126" s="73">
        <v>4338847.4804400001</v>
      </c>
      <c r="J126" s="72">
        <v>8.2038586961442004</v>
      </c>
      <c r="K126" s="73">
        <v>465641.71281639999</v>
      </c>
      <c r="L126" s="74">
        <v>0</v>
      </c>
      <c r="M126" s="73">
        <v>0</v>
      </c>
      <c r="N126" s="74">
        <v>0</v>
      </c>
      <c r="O126" s="73">
        <v>0</v>
      </c>
      <c r="P126" s="74">
        <v>472120</v>
      </c>
      <c r="Q126" s="73">
        <v>4338847.4804400001</v>
      </c>
      <c r="R126" s="71" t="s">
        <v>625</v>
      </c>
      <c r="S126" s="71">
        <v>7414000005</v>
      </c>
      <c r="W126" s="3">
        <v>2000776</v>
      </c>
      <c r="X126">
        <v>15392383.193598</v>
      </c>
      <c r="AB126"/>
      <c r="AC126"/>
    </row>
    <row r="127" spans="1:29" x14ac:dyDescent="0.25">
      <c r="A127" t="str">
        <f t="shared" si="2"/>
        <v xml:space="preserve">1008776CETES 241128        </v>
      </c>
      <c r="B127" s="71">
        <v>1008776</v>
      </c>
      <c r="C127" s="71" t="s">
        <v>651</v>
      </c>
      <c r="D127" s="71" t="s">
        <v>649</v>
      </c>
      <c r="E127" s="71" t="s">
        <v>623</v>
      </c>
      <c r="F127" s="71" t="s">
        <v>624</v>
      </c>
      <c r="G127" s="74">
        <v>131150</v>
      </c>
      <c r="H127" s="72">
        <v>9.0112480000000001</v>
      </c>
      <c r="I127" s="73">
        <v>1181825.1751999999</v>
      </c>
      <c r="J127" s="72">
        <v>8.9969798000000001</v>
      </c>
      <c r="K127" s="73">
        <v>1871.2744299999999</v>
      </c>
      <c r="L127" s="74">
        <v>0</v>
      </c>
      <c r="M127" s="73">
        <v>0</v>
      </c>
      <c r="N127" s="74">
        <v>0</v>
      </c>
      <c r="O127" s="73">
        <v>0</v>
      </c>
      <c r="P127" s="74">
        <v>131150</v>
      </c>
      <c r="Q127" s="73">
        <v>1181825.1751999999</v>
      </c>
      <c r="R127" s="71" t="s">
        <v>625</v>
      </c>
      <c r="S127" s="71">
        <v>7414000005</v>
      </c>
      <c r="W127" s="3">
        <v>2000777</v>
      </c>
      <c r="X127">
        <v>2272996.151904</v>
      </c>
      <c r="AB127"/>
      <c r="AC127"/>
    </row>
    <row r="128" spans="1:29" x14ac:dyDescent="0.25">
      <c r="A128" t="str">
        <f t="shared" si="2"/>
        <v xml:space="preserve">1008776CETES 250123        </v>
      </c>
      <c r="B128" s="71">
        <v>1008776</v>
      </c>
      <c r="C128" s="71" t="s">
        <v>651</v>
      </c>
      <c r="D128" s="71" t="s">
        <v>554</v>
      </c>
      <c r="E128" s="71" t="s">
        <v>623</v>
      </c>
      <c r="F128" s="71" t="s">
        <v>624</v>
      </c>
      <c r="G128" s="74">
        <v>653750</v>
      </c>
      <c r="H128" s="72">
        <v>8.3813510000000004</v>
      </c>
      <c r="I128" s="73">
        <v>5479308.2162499996</v>
      </c>
      <c r="J128" s="72">
        <v>8.2905059257552587</v>
      </c>
      <c r="K128" s="73">
        <v>59389.967287500003</v>
      </c>
      <c r="L128" s="74">
        <v>0</v>
      </c>
      <c r="M128" s="73">
        <v>0</v>
      </c>
      <c r="N128" s="74">
        <v>0</v>
      </c>
      <c r="O128" s="73">
        <v>0</v>
      </c>
      <c r="P128" s="74">
        <v>653750</v>
      </c>
      <c r="Q128" s="73">
        <v>5479308.2162499996</v>
      </c>
      <c r="R128" s="71" t="s">
        <v>625</v>
      </c>
      <c r="S128" s="71">
        <v>7414000005</v>
      </c>
      <c r="W128" s="3">
        <v>2000778</v>
      </c>
      <c r="X128">
        <v>12211224.0836</v>
      </c>
      <c r="AB128"/>
      <c r="AC128"/>
    </row>
    <row r="129" spans="1:29" x14ac:dyDescent="0.25">
      <c r="A129" t="str">
        <f t="shared" si="2"/>
        <v xml:space="preserve">1008776CETES 250403        </v>
      </c>
      <c r="B129" s="71">
        <v>1008776</v>
      </c>
      <c r="C129" s="71" t="s">
        <v>651</v>
      </c>
      <c r="D129" s="71" t="s">
        <v>613</v>
      </c>
      <c r="E129" s="71" t="s">
        <v>623</v>
      </c>
      <c r="F129" s="71" t="s">
        <v>624</v>
      </c>
      <c r="G129" s="74">
        <v>2051710</v>
      </c>
      <c r="H129" s="72">
        <v>8.2580650000000002</v>
      </c>
      <c r="I129" s="73">
        <v>16943154.54115</v>
      </c>
      <c r="J129" s="72">
        <v>8.2227828533750387</v>
      </c>
      <c r="K129" s="73">
        <v>72388.733051899995</v>
      </c>
      <c r="L129" s="74">
        <v>0</v>
      </c>
      <c r="M129" s="73">
        <v>0</v>
      </c>
      <c r="N129" s="74">
        <v>0</v>
      </c>
      <c r="O129" s="73">
        <v>0</v>
      </c>
      <c r="P129" s="74">
        <v>2051710</v>
      </c>
      <c r="Q129" s="73">
        <v>16943154.54115</v>
      </c>
      <c r="R129" s="71" t="s">
        <v>625</v>
      </c>
      <c r="S129" s="71">
        <v>7414000005</v>
      </c>
      <c r="W129" s="3">
        <v>2000791</v>
      </c>
      <c r="X129">
        <v>40064343.441101998</v>
      </c>
      <c r="AB129"/>
      <c r="AC129"/>
    </row>
    <row r="130" spans="1:29" x14ac:dyDescent="0.25">
      <c r="A130" t="str">
        <f t="shared" si="2"/>
        <v xml:space="preserve">1008776CETES 251224        </v>
      </c>
      <c r="B130" s="71">
        <v>1008776</v>
      </c>
      <c r="C130" s="71" t="s">
        <v>651</v>
      </c>
      <c r="D130" s="71" t="s">
        <v>375</v>
      </c>
      <c r="E130" s="71" t="s">
        <v>623</v>
      </c>
      <c r="F130" s="71" t="s">
        <v>624</v>
      </c>
      <c r="G130" s="74">
        <v>2729</v>
      </c>
      <c r="H130" s="72">
        <v>98.730349000000004</v>
      </c>
      <c r="I130" s="73">
        <v>269435.12242099998</v>
      </c>
      <c r="J130" s="72">
        <v>102.23717001</v>
      </c>
      <c r="K130" s="73">
        <v>-9570.1145362900006</v>
      </c>
      <c r="L130" s="74">
        <v>0</v>
      </c>
      <c r="M130" s="73">
        <v>0</v>
      </c>
      <c r="N130" s="74">
        <v>0</v>
      </c>
      <c r="O130" s="73">
        <v>0</v>
      </c>
      <c r="P130" s="74">
        <v>2729</v>
      </c>
      <c r="Q130" s="73">
        <v>269435.12242099998</v>
      </c>
      <c r="R130" s="71" t="s">
        <v>625</v>
      </c>
      <c r="S130" s="71">
        <v>7414000005</v>
      </c>
      <c r="W130" s="3">
        <v>2000795</v>
      </c>
      <c r="X130">
        <v>163015917.77690703</v>
      </c>
      <c r="AB130"/>
      <c r="AC130"/>
    </row>
    <row r="131" spans="1:29" x14ac:dyDescent="0.25">
      <c r="A131" t="str">
        <f t="shared" si="2"/>
        <v xml:space="preserve">1008776CETES 260219        </v>
      </c>
      <c r="B131" s="71">
        <v>1008776</v>
      </c>
      <c r="C131" s="71" t="s">
        <v>651</v>
      </c>
      <c r="D131" s="71" t="s">
        <v>376</v>
      </c>
      <c r="E131" s="71" t="s">
        <v>623</v>
      </c>
      <c r="F131" s="71" t="s">
        <v>624</v>
      </c>
      <c r="G131" s="74">
        <v>30</v>
      </c>
      <c r="H131" s="72">
        <v>99.247497999999993</v>
      </c>
      <c r="I131" s="73">
        <v>2977.4249399999999</v>
      </c>
      <c r="J131" s="72">
        <v>101.04285588</v>
      </c>
      <c r="K131" s="73">
        <v>-53.8607364</v>
      </c>
      <c r="L131" s="74">
        <v>0</v>
      </c>
      <c r="M131" s="73">
        <v>0</v>
      </c>
      <c r="N131" s="74">
        <v>0</v>
      </c>
      <c r="O131" s="73">
        <v>0</v>
      </c>
      <c r="P131" s="74">
        <v>30</v>
      </c>
      <c r="Q131" s="73">
        <v>2977.4249399999999</v>
      </c>
      <c r="R131" s="71" t="s">
        <v>625</v>
      </c>
      <c r="S131" s="71">
        <v>7414000005</v>
      </c>
      <c r="W131" s="3">
        <v>2000905</v>
      </c>
      <c r="X131">
        <v>570670743.00125206</v>
      </c>
      <c r="AB131"/>
      <c r="AC131"/>
    </row>
    <row r="132" spans="1:29" x14ac:dyDescent="0.25">
      <c r="A132" t="str">
        <f t="shared" si="2"/>
        <v xml:space="preserve">1008776GOBFED 240905       </v>
      </c>
      <c r="B132" s="71">
        <v>1008776</v>
      </c>
      <c r="C132" s="71" t="s">
        <v>651</v>
      </c>
      <c r="D132" s="71" t="s">
        <v>379</v>
      </c>
      <c r="E132" s="71" t="s">
        <v>623</v>
      </c>
      <c r="F132" s="71" t="s">
        <v>624</v>
      </c>
      <c r="G132" s="74">
        <v>45561</v>
      </c>
      <c r="H132" s="72">
        <v>88.698122999999995</v>
      </c>
      <c r="I132" s="73">
        <v>4041175.1820029998</v>
      </c>
      <c r="J132" s="72">
        <v>88.216911397561731</v>
      </c>
      <c r="K132" s="73">
        <v>21924.481818690001</v>
      </c>
      <c r="L132" s="74">
        <v>0</v>
      </c>
      <c r="M132" s="73">
        <v>0</v>
      </c>
      <c r="N132" s="74">
        <v>0</v>
      </c>
      <c r="O132" s="73">
        <v>0</v>
      </c>
      <c r="P132" s="74">
        <v>45561</v>
      </c>
      <c r="Q132" s="73">
        <v>4041175.1820029998</v>
      </c>
      <c r="R132" s="71" t="s">
        <v>625</v>
      </c>
      <c r="S132" s="71">
        <v>7414000005</v>
      </c>
      <c r="W132" s="3">
        <v>2000926</v>
      </c>
      <c r="X132">
        <v>36862014.311584003</v>
      </c>
      <c r="AB132"/>
      <c r="AC132"/>
    </row>
    <row r="133" spans="1:29" x14ac:dyDescent="0.25">
      <c r="A133" t="str">
        <f t="shared" si="2"/>
        <v xml:space="preserve">1008776GOBFED 241205       </v>
      </c>
      <c r="B133" s="71">
        <v>1008776</v>
      </c>
      <c r="C133" s="71" t="s">
        <v>651</v>
      </c>
      <c r="D133" s="71" t="s">
        <v>380</v>
      </c>
      <c r="E133" s="71" t="s">
        <v>623</v>
      </c>
      <c r="F133" s="71" t="s">
        <v>624</v>
      </c>
      <c r="G133" s="74">
        <v>10550</v>
      </c>
      <c r="H133" s="72">
        <v>93.314192000000006</v>
      </c>
      <c r="I133" s="73">
        <v>984464.72560000001</v>
      </c>
      <c r="J133" s="72">
        <v>93.409382949999994</v>
      </c>
      <c r="K133" s="73">
        <v>-1004.2645225</v>
      </c>
      <c r="L133" s="74">
        <v>0</v>
      </c>
      <c r="M133" s="73">
        <v>0</v>
      </c>
      <c r="N133" s="74">
        <v>0</v>
      </c>
      <c r="O133" s="73">
        <v>0</v>
      </c>
      <c r="P133" s="74">
        <v>10550</v>
      </c>
      <c r="Q133" s="73">
        <v>984464.72560000001</v>
      </c>
      <c r="R133" s="71" t="s">
        <v>625</v>
      </c>
      <c r="S133" s="71">
        <v>7414000005</v>
      </c>
      <c r="W133" s="3">
        <v>2000927</v>
      </c>
      <c r="X133">
        <v>43142832.562044002</v>
      </c>
      <c r="AB133"/>
      <c r="AC133"/>
    </row>
    <row r="134" spans="1:29" x14ac:dyDescent="0.25">
      <c r="A134" t="str">
        <f t="shared" si="2"/>
        <v xml:space="preserve">1008776GOBFED 270304       </v>
      </c>
      <c r="B134" s="71">
        <v>1008776</v>
      </c>
      <c r="C134" s="71" t="s">
        <v>651</v>
      </c>
      <c r="D134" s="71" t="s">
        <v>389</v>
      </c>
      <c r="E134" s="71" t="s">
        <v>623</v>
      </c>
      <c r="F134" s="71" t="s">
        <v>624</v>
      </c>
      <c r="G134" s="74">
        <v>8085105</v>
      </c>
      <c r="H134" s="72">
        <v>3.3967719999999999</v>
      </c>
      <c r="I134" s="73">
        <v>27463258.281059999</v>
      </c>
      <c r="J134" s="72">
        <v>3.3456055808799019</v>
      </c>
      <c r="K134" s="73">
        <v>413685.87105999998</v>
      </c>
      <c r="L134" s="74">
        <v>0</v>
      </c>
      <c r="M134" s="73">
        <v>0</v>
      </c>
      <c r="N134" s="74">
        <v>0</v>
      </c>
      <c r="O134" s="73">
        <v>0</v>
      </c>
      <c r="P134" s="74">
        <v>8085105</v>
      </c>
      <c r="Q134" s="73">
        <v>27463258.281059999</v>
      </c>
      <c r="R134" s="71" t="s">
        <v>625</v>
      </c>
      <c r="S134" s="71">
        <v>7414000005</v>
      </c>
      <c r="W134" s="3">
        <v>2000928</v>
      </c>
      <c r="X134">
        <v>37093456.768576004</v>
      </c>
      <c r="AB134"/>
      <c r="AC134"/>
    </row>
    <row r="135" spans="1:29" x14ac:dyDescent="0.25">
      <c r="A135" t="str">
        <f t="shared" ref="A135:A198" si="3">B133&amp;D133</f>
        <v xml:space="preserve">1008776GOBFED 270603       </v>
      </c>
      <c r="B135" s="71">
        <v>1008776</v>
      </c>
      <c r="C135" s="71" t="s">
        <v>651</v>
      </c>
      <c r="D135" s="71" t="s">
        <v>390</v>
      </c>
      <c r="E135" s="71" t="s">
        <v>623</v>
      </c>
      <c r="F135" s="71" t="s">
        <v>624</v>
      </c>
      <c r="G135" s="74">
        <v>0</v>
      </c>
      <c r="H135" s="72">
        <v>0</v>
      </c>
      <c r="I135" s="73">
        <v>0</v>
      </c>
      <c r="J135" s="72">
        <v>0</v>
      </c>
      <c r="K135" s="73">
        <v>0</v>
      </c>
      <c r="L135" s="74">
        <v>0</v>
      </c>
      <c r="M135" s="73">
        <v>0</v>
      </c>
      <c r="N135" s="74">
        <v>0</v>
      </c>
      <c r="O135" s="73">
        <v>0</v>
      </c>
      <c r="P135" s="74">
        <v>0</v>
      </c>
      <c r="Q135" s="73">
        <v>0</v>
      </c>
      <c r="R135" s="71" t="s">
        <v>625</v>
      </c>
      <c r="S135" s="71">
        <v>7414000005</v>
      </c>
      <c r="W135" s="3">
        <v>2111039</v>
      </c>
      <c r="X135">
        <v>6665838.0849029999</v>
      </c>
      <c r="AB135"/>
      <c r="AC135"/>
    </row>
    <row r="136" spans="1:29" x14ac:dyDescent="0.25">
      <c r="A136" t="str">
        <f t="shared" si="3"/>
        <v xml:space="preserve">1008776STERGOB ED          </v>
      </c>
      <c r="B136" s="71">
        <v>1008776</v>
      </c>
      <c r="C136" s="71" t="s">
        <v>651</v>
      </c>
      <c r="D136" s="71" t="s">
        <v>391</v>
      </c>
      <c r="E136" s="71" t="s">
        <v>623</v>
      </c>
      <c r="F136" s="71" t="s">
        <v>624</v>
      </c>
      <c r="G136" s="74">
        <v>9642</v>
      </c>
      <c r="H136" s="72">
        <v>775.69178699999998</v>
      </c>
      <c r="I136" s="73">
        <v>7479220.2102539996</v>
      </c>
      <c r="J136" s="72">
        <v>753.50427907000005</v>
      </c>
      <c r="K136" s="73">
        <v>213931.95146106</v>
      </c>
      <c r="L136" s="74">
        <v>0</v>
      </c>
      <c r="M136" s="73">
        <v>0</v>
      </c>
      <c r="N136" s="74">
        <v>0</v>
      </c>
      <c r="O136" s="73">
        <v>0</v>
      </c>
      <c r="P136" s="74">
        <v>9642</v>
      </c>
      <c r="Q136" s="73">
        <v>7479220.2102539996</v>
      </c>
      <c r="R136" s="71" t="s">
        <v>625</v>
      </c>
      <c r="S136" s="71">
        <v>7414000005</v>
      </c>
      <c r="W136" s="3">
        <v>2111047</v>
      </c>
      <c r="X136">
        <v>260590489.55682489</v>
      </c>
      <c r="AB136"/>
      <c r="AC136"/>
    </row>
    <row r="137" spans="1:29" x14ac:dyDescent="0.25">
      <c r="A137" t="str">
        <f t="shared" si="3"/>
        <v xml:space="preserve">1008776UDIBONO 231116      </v>
      </c>
      <c r="B137" s="71">
        <v>1010322</v>
      </c>
      <c r="C137" s="71" t="s">
        <v>652</v>
      </c>
      <c r="D137" s="71" t="s">
        <v>366</v>
      </c>
      <c r="E137" s="71" t="s">
        <v>623</v>
      </c>
      <c r="F137" s="71" t="s">
        <v>624</v>
      </c>
      <c r="G137" s="74">
        <v>0</v>
      </c>
      <c r="H137" s="72">
        <v>0</v>
      </c>
      <c r="I137" s="73">
        <v>27265.21</v>
      </c>
      <c r="J137" s="72">
        <v>0</v>
      </c>
      <c r="K137" s="73">
        <v>0</v>
      </c>
      <c r="L137" s="74">
        <v>0</v>
      </c>
      <c r="M137" s="73">
        <v>0</v>
      </c>
      <c r="N137" s="74">
        <v>0</v>
      </c>
      <c r="O137" s="73">
        <v>0</v>
      </c>
      <c r="P137" s="74">
        <v>0</v>
      </c>
      <c r="Q137" s="73">
        <v>27265.21</v>
      </c>
      <c r="R137" s="71" t="s">
        <v>625</v>
      </c>
      <c r="S137" s="71">
        <v>7414000005</v>
      </c>
      <c r="W137" s="3">
        <v>2141256</v>
      </c>
      <c r="X137">
        <v>190160.83861199999</v>
      </c>
      <c r="AB137"/>
      <c r="AC137"/>
    </row>
    <row r="138" spans="1:29" x14ac:dyDescent="0.25">
      <c r="A138" t="str">
        <f t="shared" si="3"/>
        <v xml:space="preserve">1008776UDIBONO 251204      </v>
      </c>
      <c r="B138" s="71">
        <v>1010401</v>
      </c>
      <c r="C138" s="71" t="s">
        <v>653</v>
      </c>
      <c r="D138" s="71" t="s">
        <v>473</v>
      </c>
      <c r="E138" s="71" t="s">
        <v>623</v>
      </c>
      <c r="F138" s="71" t="s">
        <v>624</v>
      </c>
      <c r="G138" s="74">
        <v>14805927</v>
      </c>
      <c r="H138" s="72">
        <v>3.568238</v>
      </c>
      <c r="I138" s="73">
        <v>52831071.346625999</v>
      </c>
      <c r="J138" s="72">
        <v>3.4960300695795676</v>
      </c>
      <c r="K138" s="73">
        <v>1069105.346626</v>
      </c>
      <c r="L138" s="74">
        <v>0</v>
      </c>
      <c r="M138" s="73">
        <v>0</v>
      </c>
      <c r="N138" s="74">
        <v>0</v>
      </c>
      <c r="O138" s="73">
        <v>0</v>
      </c>
      <c r="P138" s="74">
        <v>14805927</v>
      </c>
      <c r="Q138" s="73">
        <v>52831071.346625999</v>
      </c>
      <c r="R138" s="71" t="s">
        <v>625</v>
      </c>
      <c r="S138" s="71">
        <v>7414000005</v>
      </c>
      <c r="W138" s="3">
        <v>2141264</v>
      </c>
      <c r="X138">
        <v>173770677.50929105</v>
      </c>
      <c r="AB138"/>
      <c r="AC138"/>
    </row>
    <row r="139" spans="1:29" x14ac:dyDescent="0.25">
      <c r="A139" t="str">
        <f t="shared" si="3"/>
        <v>1010322EFECTIVO</v>
      </c>
      <c r="B139" s="71">
        <v>1012259</v>
      </c>
      <c r="C139" s="71" t="s">
        <v>654</v>
      </c>
      <c r="D139" s="71" t="s">
        <v>480</v>
      </c>
      <c r="E139" s="71" t="s">
        <v>623</v>
      </c>
      <c r="F139" s="71" t="s">
        <v>624</v>
      </c>
      <c r="G139" s="74">
        <v>13866</v>
      </c>
      <c r="H139" s="72">
        <v>3.612981</v>
      </c>
      <c r="I139" s="73">
        <v>50097.594546</v>
      </c>
      <c r="J139" s="72">
        <v>3.6023748737920092</v>
      </c>
      <c r="K139" s="73">
        <v>147.06454600000001</v>
      </c>
      <c r="L139" s="74">
        <v>0</v>
      </c>
      <c r="M139" s="73">
        <v>0</v>
      </c>
      <c r="N139" s="74">
        <v>0</v>
      </c>
      <c r="O139" s="73">
        <v>0</v>
      </c>
      <c r="P139" s="74">
        <v>13866</v>
      </c>
      <c r="Q139" s="73">
        <v>50097.594546</v>
      </c>
      <c r="R139" s="71" t="s">
        <v>625</v>
      </c>
      <c r="S139" s="71">
        <v>7414000005</v>
      </c>
      <c r="W139" s="3">
        <v>65500498081</v>
      </c>
      <c r="X139">
        <v>182989670.988884</v>
      </c>
      <c r="AB139"/>
      <c r="AC139"/>
    </row>
    <row r="140" spans="1:29" x14ac:dyDescent="0.25">
      <c r="A140" t="str">
        <f t="shared" si="3"/>
        <v xml:space="preserve">1010401STERGOB B3          </v>
      </c>
      <c r="B140" s="71">
        <v>1012259</v>
      </c>
      <c r="C140" s="71" t="s">
        <v>654</v>
      </c>
      <c r="D140" s="71" t="s">
        <v>413</v>
      </c>
      <c r="E140" s="71" t="s">
        <v>623</v>
      </c>
      <c r="F140" s="71" t="s">
        <v>624</v>
      </c>
      <c r="G140" s="74">
        <v>68123</v>
      </c>
      <c r="H140" s="72">
        <v>137.04691399999999</v>
      </c>
      <c r="I140" s="73">
        <v>9336046.9224219993</v>
      </c>
      <c r="J140" s="72">
        <v>128.63567223991896</v>
      </c>
      <c r="K140" s="73">
        <v>572999.02242199995</v>
      </c>
      <c r="L140" s="74">
        <v>0</v>
      </c>
      <c r="M140" s="73">
        <v>0</v>
      </c>
      <c r="N140" s="74">
        <v>0</v>
      </c>
      <c r="O140" s="73">
        <v>0</v>
      </c>
      <c r="P140" s="74">
        <v>68123</v>
      </c>
      <c r="Q140" s="73">
        <v>9336046.9224219993</v>
      </c>
      <c r="R140" s="71" t="s">
        <v>625</v>
      </c>
      <c r="S140" s="71">
        <v>7414000005</v>
      </c>
      <c r="W140" s="3">
        <v>65501372909</v>
      </c>
      <c r="X140">
        <v>30554888.754117001</v>
      </c>
      <c r="AB140"/>
      <c r="AC140"/>
    </row>
    <row r="141" spans="1:29" x14ac:dyDescent="0.25">
      <c r="A141" t="str">
        <f t="shared" si="3"/>
        <v xml:space="preserve">1012259STERGOB B4          </v>
      </c>
      <c r="B141" s="71">
        <v>1012259</v>
      </c>
      <c r="C141" s="71" t="s">
        <v>654</v>
      </c>
      <c r="D141" s="71" t="s">
        <v>414</v>
      </c>
      <c r="E141" s="71" t="s">
        <v>623</v>
      </c>
      <c r="F141" s="71" t="s">
        <v>624</v>
      </c>
      <c r="G141" s="74">
        <v>1931031</v>
      </c>
      <c r="H141" s="72">
        <v>3.6364960000000002</v>
      </c>
      <c r="I141" s="73">
        <v>7022186.5073760003</v>
      </c>
      <c r="J141" s="72">
        <v>3.4142295540568743</v>
      </c>
      <c r="K141" s="73">
        <v>429203.39737600001</v>
      </c>
      <c r="L141" s="74">
        <v>0</v>
      </c>
      <c r="M141" s="73">
        <v>0</v>
      </c>
      <c r="N141" s="74">
        <v>0</v>
      </c>
      <c r="O141" s="73">
        <v>0</v>
      </c>
      <c r="P141" s="74">
        <v>1931031</v>
      </c>
      <c r="Q141" s="73">
        <v>7022186.5073760003</v>
      </c>
      <c r="R141" s="71" t="s">
        <v>625</v>
      </c>
      <c r="S141" s="71">
        <v>7414000005</v>
      </c>
      <c r="W141" s="3">
        <v>65501387259</v>
      </c>
      <c r="X141">
        <v>114693832.549311</v>
      </c>
      <c r="AB141"/>
      <c r="AC141"/>
    </row>
    <row r="142" spans="1:29" x14ac:dyDescent="0.25">
      <c r="A142" t="str">
        <f t="shared" si="3"/>
        <v xml:space="preserve">1012259SVIVE20 S           </v>
      </c>
      <c r="B142" s="71">
        <v>1012259</v>
      </c>
      <c r="C142" s="71" t="s">
        <v>654</v>
      </c>
      <c r="D142" s="71" t="s">
        <v>415</v>
      </c>
      <c r="E142" s="71" t="s">
        <v>623</v>
      </c>
      <c r="F142" s="71" t="s">
        <v>624</v>
      </c>
      <c r="G142" s="74">
        <v>3951965</v>
      </c>
      <c r="H142" s="72">
        <v>2.1315040000000001</v>
      </c>
      <c r="I142" s="73">
        <v>8423629.2053599991</v>
      </c>
      <c r="J142" s="72">
        <v>1.9841541410412289</v>
      </c>
      <c r="K142" s="73">
        <v>582321.48536000005</v>
      </c>
      <c r="L142" s="74">
        <v>0</v>
      </c>
      <c r="M142" s="73">
        <v>0</v>
      </c>
      <c r="N142" s="74">
        <v>0</v>
      </c>
      <c r="O142" s="73">
        <v>0</v>
      </c>
      <c r="P142" s="74">
        <v>3951965</v>
      </c>
      <c r="Q142" s="73">
        <v>8423629.2053599991</v>
      </c>
      <c r="R142" s="71" t="s">
        <v>625</v>
      </c>
      <c r="S142" s="71">
        <v>7414000005</v>
      </c>
      <c r="W142" s="3">
        <v>65502313952</v>
      </c>
      <c r="X142">
        <v>1667338100.6397631</v>
      </c>
      <c r="AB142"/>
      <c r="AC142"/>
    </row>
    <row r="143" spans="1:29" x14ac:dyDescent="0.25">
      <c r="A143" t="str">
        <f t="shared" si="3"/>
        <v xml:space="preserve">1012259SVIVE35 S           </v>
      </c>
      <c r="B143" s="71">
        <v>1012259</v>
      </c>
      <c r="C143" s="71" t="s">
        <v>654</v>
      </c>
      <c r="D143" s="71" t="s">
        <v>416</v>
      </c>
      <c r="E143" s="71" t="s">
        <v>623</v>
      </c>
      <c r="F143" s="71" t="s">
        <v>624</v>
      </c>
      <c r="G143" s="74">
        <v>90365</v>
      </c>
      <c r="H143" s="72">
        <v>2.8149250000000001</v>
      </c>
      <c r="I143" s="73">
        <v>254370.697625</v>
      </c>
      <c r="J143" s="72">
        <v>2.6894211254357328</v>
      </c>
      <c r="K143" s="73">
        <v>11341.157625</v>
      </c>
      <c r="L143" s="74">
        <v>0</v>
      </c>
      <c r="M143" s="73">
        <v>0</v>
      </c>
      <c r="N143" s="74">
        <v>0</v>
      </c>
      <c r="O143" s="73">
        <v>0</v>
      </c>
      <c r="P143" s="74">
        <v>90365</v>
      </c>
      <c r="Q143" s="73">
        <v>254370.697625</v>
      </c>
      <c r="R143" s="71" t="s">
        <v>625</v>
      </c>
      <c r="S143" s="71">
        <v>7414000005</v>
      </c>
      <c r="W143" s="3">
        <v>65502334887</v>
      </c>
      <c r="X143">
        <v>685903050.54174602</v>
      </c>
      <c r="AB143"/>
      <c r="AC143"/>
    </row>
    <row r="144" spans="1:29" x14ac:dyDescent="0.25">
      <c r="A144" t="str">
        <f t="shared" si="3"/>
        <v xml:space="preserve">1012259SVIVE50 S           </v>
      </c>
      <c r="B144" s="71">
        <v>1012260</v>
      </c>
      <c r="C144" s="71" t="s">
        <v>655</v>
      </c>
      <c r="D144" s="71" t="s">
        <v>480</v>
      </c>
      <c r="E144" s="71" t="s">
        <v>623</v>
      </c>
      <c r="F144" s="71" t="s">
        <v>624</v>
      </c>
      <c r="G144" s="74">
        <v>21987</v>
      </c>
      <c r="H144" s="72">
        <v>3.612981</v>
      </c>
      <c r="I144" s="73">
        <v>79438.613247000001</v>
      </c>
      <c r="J144" s="72">
        <v>3.6023750397962431</v>
      </c>
      <c r="K144" s="73">
        <v>233.19324700000001</v>
      </c>
      <c r="L144" s="74">
        <v>0</v>
      </c>
      <c r="M144" s="73">
        <v>0</v>
      </c>
      <c r="N144" s="74">
        <v>0</v>
      </c>
      <c r="O144" s="73">
        <v>0</v>
      </c>
      <c r="P144" s="74">
        <v>21987</v>
      </c>
      <c r="Q144" s="73">
        <v>79438.613247000001</v>
      </c>
      <c r="R144" s="71" t="s">
        <v>625</v>
      </c>
      <c r="S144" s="71">
        <v>7414000005</v>
      </c>
      <c r="W144" s="3">
        <v>65502425394</v>
      </c>
      <c r="X144">
        <v>104963120.889327</v>
      </c>
      <c r="AB144"/>
      <c r="AC144"/>
    </row>
    <row r="145" spans="1:29" x14ac:dyDescent="0.25">
      <c r="A145" t="str">
        <f t="shared" si="3"/>
        <v xml:space="preserve">1012259SVIVE60 S           </v>
      </c>
      <c r="B145" s="71">
        <v>1012260</v>
      </c>
      <c r="C145" s="71" t="s">
        <v>655</v>
      </c>
      <c r="D145" s="71" t="s">
        <v>413</v>
      </c>
      <c r="E145" s="71" t="s">
        <v>623</v>
      </c>
      <c r="F145" s="71" t="s">
        <v>624</v>
      </c>
      <c r="G145" s="74">
        <v>158128</v>
      </c>
      <c r="H145" s="72">
        <v>137.04691399999999</v>
      </c>
      <c r="I145" s="73">
        <v>21670954.416992001</v>
      </c>
      <c r="J145" s="72">
        <v>128.66331408732165</v>
      </c>
      <c r="K145" s="73">
        <v>1325681.886992</v>
      </c>
      <c r="L145" s="74">
        <v>0</v>
      </c>
      <c r="M145" s="73">
        <v>0</v>
      </c>
      <c r="N145" s="74">
        <v>0</v>
      </c>
      <c r="O145" s="73">
        <v>0</v>
      </c>
      <c r="P145" s="74">
        <v>158128</v>
      </c>
      <c r="Q145" s="73">
        <v>21670954.416992001</v>
      </c>
      <c r="R145" s="71" t="s">
        <v>625</v>
      </c>
      <c r="S145" s="71">
        <v>7414000005</v>
      </c>
      <c r="W145" s="3">
        <v>65502898380</v>
      </c>
      <c r="X145">
        <v>15987028.169565998</v>
      </c>
      <c r="AB145"/>
      <c r="AC145"/>
    </row>
    <row r="146" spans="1:29" x14ac:dyDescent="0.25">
      <c r="A146" t="str">
        <f t="shared" si="3"/>
        <v xml:space="preserve">1012260STERGOB B4          </v>
      </c>
      <c r="B146" s="71">
        <v>1012260</v>
      </c>
      <c r="C146" s="71" t="s">
        <v>655</v>
      </c>
      <c r="D146" s="71" t="s">
        <v>414</v>
      </c>
      <c r="E146" s="71" t="s">
        <v>623</v>
      </c>
      <c r="F146" s="71" t="s">
        <v>624</v>
      </c>
      <c r="G146" s="74">
        <v>4705909</v>
      </c>
      <c r="H146" s="72">
        <v>3.6364960000000002</v>
      </c>
      <c r="I146" s="73">
        <v>17113019.254864</v>
      </c>
      <c r="J146" s="72">
        <v>3.4139943356320743</v>
      </c>
      <c r="K146" s="73">
        <v>1047072.584864</v>
      </c>
      <c r="L146" s="74">
        <v>0</v>
      </c>
      <c r="M146" s="73">
        <v>0</v>
      </c>
      <c r="N146" s="74">
        <v>0</v>
      </c>
      <c r="O146" s="73">
        <v>0</v>
      </c>
      <c r="P146" s="74">
        <v>4705909</v>
      </c>
      <c r="Q146" s="73">
        <v>17113019.254864</v>
      </c>
      <c r="R146" s="71" t="s">
        <v>625</v>
      </c>
      <c r="S146" s="71">
        <v>7414000005</v>
      </c>
      <c r="W146" s="3">
        <v>65502898437</v>
      </c>
      <c r="X146">
        <v>0</v>
      </c>
      <c r="AB146"/>
      <c r="AC146"/>
    </row>
    <row r="147" spans="1:29" x14ac:dyDescent="0.25">
      <c r="A147" t="str">
        <f t="shared" si="3"/>
        <v xml:space="preserve">1012260SVIVE20 S           </v>
      </c>
      <c r="B147" s="71">
        <v>1012260</v>
      </c>
      <c r="C147" s="71" t="s">
        <v>655</v>
      </c>
      <c r="D147" s="71" t="s">
        <v>415</v>
      </c>
      <c r="E147" s="71" t="s">
        <v>623</v>
      </c>
      <c r="F147" s="71" t="s">
        <v>624</v>
      </c>
      <c r="G147" s="74">
        <v>8549913</v>
      </c>
      <c r="H147" s="72">
        <v>2.1315040000000001</v>
      </c>
      <c r="I147" s="73">
        <v>18224173.759151999</v>
      </c>
      <c r="J147" s="72">
        <v>1.9836977861646077</v>
      </c>
      <c r="K147" s="73">
        <v>1263730.2691520001</v>
      </c>
      <c r="L147" s="74">
        <v>0</v>
      </c>
      <c r="M147" s="73">
        <v>0</v>
      </c>
      <c r="N147" s="74">
        <v>0</v>
      </c>
      <c r="O147" s="73">
        <v>0</v>
      </c>
      <c r="P147" s="74">
        <v>8549913</v>
      </c>
      <c r="Q147" s="73">
        <v>18224173.759151999</v>
      </c>
      <c r="R147" s="71" t="s">
        <v>625</v>
      </c>
      <c r="S147" s="71">
        <v>7414000005</v>
      </c>
      <c r="W147" s="3">
        <v>65503523505</v>
      </c>
      <c r="X147">
        <v>4715.3213189999997</v>
      </c>
      <c r="AB147"/>
      <c r="AC147"/>
    </row>
    <row r="148" spans="1:29" x14ac:dyDescent="0.25">
      <c r="A148" t="str">
        <f t="shared" si="3"/>
        <v xml:space="preserve">1012260SVIVE35 S           </v>
      </c>
      <c r="B148" s="71">
        <v>1012260</v>
      </c>
      <c r="C148" s="71" t="s">
        <v>655</v>
      </c>
      <c r="D148" s="71" t="s">
        <v>416</v>
      </c>
      <c r="E148" s="71" t="s">
        <v>623</v>
      </c>
      <c r="F148" s="71" t="s">
        <v>624</v>
      </c>
      <c r="G148" s="74">
        <v>197157</v>
      </c>
      <c r="H148" s="72">
        <v>2.8149250000000001</v>
      </c>
      <c r="I148" s="73">
        <v>554982.16822500003</v>
      </c>
      <c r="J148" s="72">
        <v>2.6974165259158944</v>
      </c>
      <c r="K148" s="73">
        <v>23167.618224999998</v>
      </c>
      <c r="L148" s="74">
        <v>0</v>
      </c>
      <c r="M148" s="73">
        <v>0</v>
      </c>
      <c r="N148" s="74">
        <v>0</v>
      </c>
      <c r="O148" s="73">
        <v>0</v>
      </c>
      <c r="P148" s="74">
        <v>197157</v>
      </c>
      <c r="Q148" s="73">
        <v>554982.16822500003</v>
      </c>
      <c r="R148" s="71" t="s">
        <v>625</v>
      </c>
      <c r="S148" s="71">
        <v>7414000005</v>
      </c>
      <c r="W148" s="3">
        <v>65503525966</v>
      </c>
      <c r="X148">
        <v>571018.854926</v>
      </c>
      <c r="AB148"/>
      <c r="AC148"/>
    </row>
    <row r="149" spans="1:29" x14ac:dyDescent="0.25">
      <c r="A149" t="str">
        <f t="shared" si="3"/>
        <v xml:space="preserve">1012260SVIVE50 S           </v>
      </c>
      <c r="B149" s="71">
        <v>1013187</v>
      </c>
      <c r="C149" s="71" t="s">
        <v>656</v>
      </c>
      <c r="D149" s="71" t="s">
        <v>389</v>
      </c>
      <c r="E149" s="71" t="s">
        <v>623</v>
      </c>
      <c r="F149" s="71" t="s">
        <v>624</v>
      </c>
      <c r="G149" s="74">
        <v>9555686</v>
      </c>
      <c r="H149" s="72">
        <v>3.3967719999999999</v>
      </c>
      <c r="I149" s="73">
        <v>32458486.645592</v>
      </c>
      <c r="J149" s="72">
        <v>2.7105275079151827</v>
      </c>
      <c r="K149" s="73">
        <v>6557536.8855919996</v>
      </c>
      <c r="L149" s="74">
        <v>0</v>
      </c>
      <c r="M149" s="73">
        <v>0</v>
      </c>
      <c r="N149" s="74">
        <v>0</v>
      </c>
      <c r="O149" s="73">
        <v>0</v>
      </c>
      <c r="P149" s="74">
        <v>9555686</v>
      </c>
      <c r="Q149" s="73">
        <v>32458486.645592</v>
      </c>
      <c r="R149" s="71" t="s">
        <v>625</v>
      </c>
      <c r="S149" s="71">
        <v>7414000005</v>
      </c>
      <c r="W149" s="3">
        <v>65503691935</v>
      </c>
      <c r="X149">
        <v>14666173.122264</v>
      </c>
      <c r="AB149"/>
      <c r="AC149"/>
    </row>
    <row r="150" spans="1:29" x14ac:dyDescent="0.25">
      <c r="A150" t="str">
        <f t="shared" si="3"/>
        <v xml:space="preserve">1012260SVIVE60 S           </v>
      </c>
      <c r="B150" s="71">
        <v>1013187</v>
      </c>
      <c r="C150" s="71" t="s">
        <v>656</v>
      </c>
      <c r="D150" s="71" t="s">
        <v>417</v>
      </c>
      <c r="E150" s="71" t="s">
        <v>623</v>
      </c>
      <c r="F150" s="71" t="s">
        <v>624</v>
      </c>
      <c r="G150" s="74">
        <v>15625451</v>
      </c>
      <c r="H150" s="72">
        <v>3.8832339999999999</v>
      </c>
      <c r="I150" s="73">
        <v>60677282.588533998</v>
      </c>
      <c r="J150" s="72">
        <v>2.6049145851854134</v>
      </c>
      <c r="K150" s="73">
        <v>19974317.378534</v>
      </c>
      <c r="L150" s="74">
        <v>0</v>
      </c>
      <c r="M150" s="73">
        <v>0</v>
      </c>
      <c r="N150" s="74">
        <v>0</v>
      </c>
      <c r="O150" s="73">
        <v>0</v>
      </c>
      <c r="P150" s="74">
        <v>15625451</v>
      </c>
      <c r="Q150" s="73">
        <v>60677282.588533998</v>
      </c>
      <c r="R150" s="71" t="s">
        <v>625</v>
      </c>
      <c r="S150" s="71">
        <v>7414000005</v>
      </c>
      <c r="W150" s="3">
        <v>65503867094</v>
      </c>
      <c r="X150">
        <v>92503.152543000004</v>
      </c>
      <c r="AB150"/>
      <c r="AC150"/>
    </row>
    <row r="151" spans="1:29" x14ac:dyDescent="0.25">
      <c r="A151" t="str">
        <f t="shared" si="3"/>
        <v xml:space="preserve">1013187STERGOB ED          </v>
      </c>
      <c r="B151" s="71">
        <v>1013407</v>
      </c>
      <c r="C151" s="71" t="s">
        <v>657</v>
      </c>
      <c r="D151" s="71" t="s">
        <v>366</v>
      </c>
      <c r="E151" s="71" t="s">
        <v>623</v>
      </c>
      <c r="F151" s="71" t="s">
        <v>624</v>
      </c>
      <c r="G151" s="74">
        <v>0</v>
      </c>
      <c r="H151" s="72">
        <v>0</v>
      </c>
      <c r="I151" s="73">
        <v>55443949.5</v>
      </c>
      <c r="J151" s="72">
        <v>0</v>
      </c>
      <c r="K151" s="73">
        <v>0</v>
      </c>
      <c r="L151" s="74">
        <v>0</v>
      </c>
      <c r="M151" s="73">
        <v>0</v>
      </c>
      <c r="N151" s="74">
        <v>0</v>
      </c>
      <c r="O151" s="73">
        <v>0</v>
      </c>
      <c r="P151" s="74">
        <v>0</v>
      </c>
      <c r="Q151" s="73">
        <v>55443949.5</v>
      </c>
      <c r="R151" s="71" t="s">
        <v>625</v>
      </c>
      <c r="S151" s="71">
        <v>7414000005</v>
      </c>
      <c r="W151" s="3">
        <v>65504832250</v>
      </c>
      <c r="X151">
        <v>0</v>
      </c>
      <c r="AB151"/>
      <c r="AC151"/>
    </row>
    <row r="152" spans="1:29" x14ac:dyDescent="0.25">
      <c r="A152" t="str">
        <f t="shared" si="3"/>
        <v xml:space="preserve">1013187STRGOB2 ED          </v>
      </c>
      <c r="B152" s="71">
        <v>1013407</v>
      </c>
      <c r="C152" s="71" t="s">
        <v>657</v>
      </c>
      <c r="D152" s="71" t="s">
        <v>376</v>
      </c>
      <c r="E152" s="71" t="s">
        <v>623</v>
      </c>
      <c r="F152" s="71" t="s">
        <v>624</v>
      </c>
      <c r="G152" s="74">
        <v>7629</v>
      </c>
      <c r="H152" s="72">
        <v>99.247497999999993</v>
      </c>
      <c r="I152" s="73">
        <v>757159.16224199999</v>
      </c>
      <c r="J152" s="72">
        <v>92.957888330563634</v>
      </c>
      <c r="K152" s="73">
        <v>47983.432168129999</v>
      </c>
      <c r="L152" s="74">
        <v>0</v>
      </c>
      <c r="M152" s="73">
        <v>0</v>
      </c>
      <c r="N152" s="74">
        <v>0</v>
      </c>
      <c r="O152" s="73">
        <v>0</v>
      </c>
      <c r="P152" s="74">
        <v>7629</v>
      </c>
      <c r="Q152" s="73">
        <v>757159.16224199999</v>
      </c>
      <c r="R152" s="71" t="s">
        <v>625</v>
      </c>
      <c r="S152" s="71">
        <v>7414000005</v>
      </c>
      <c r="W152" s="3">
        <v>65505285253</v>
      </c>
      <c r="X152">
        <v>257628.98404800001</v>
      </c>
      <c r="AB152"/>
      <c r="AC152"/>
    </row>
    <row r="153" spans="1:29" x14ac:dyDescent="0.25">
      <c r="A153" t="str">
        <f t="shared" si="3"/>
        <v>1013407EFECTIVO</v>
      </c>
      <c r="B153" s="71">
        <v>1013407</v>
      </c>
      <c r="C153" s="71" t="s">
        <v>657</v>
      </c>
      <c r="D153" s="71" t="s">
        <v>378</v>
      </c>
      <c r="E153" s="71" t="s">
        <v>623</v>
      </c>
      <c r="F153" s="71" t="s">
        <v>624</v>
      </c>
      <c r="G153" s="74">
        <v>160</v>
      </c>
      <c r="H153" s="72">
        <v>91.911821000000003</v>
      </c>
      <c r="I153" s="73">
        <v>14705.89136</v>
      </c>
      <c r="J153" s="72">
        <v>97.378761589999996</v>
      </c>
      <c r="K153" s="73">
        <v>-874.71049440000002</v>
      </c>
      <c r="L153" s="74">
        <v>0</v>
      </c>
      <c r="M153" s="73">
        <v>0</v>
      </c>
      <c r="N153" s="74">
        <v>0</v>
      </c>
      <c r="O153" s="73">
        <v>0</v>
      </c>
      <c r="P153" s="74">
        <v>160</v>
      </c>
      <c r="Q153" s="73">
        <v>14705.89136</v>
      </c>
      <c r="R153" s="71" t="s">
        <v>625</v>
      </c>
      <c r="S153" s="71">
        <v>7414000005</v>
      </c>
      <c r="W153" s="3">
        <v>65505597846</v>
      </c>
      <c r="X153">
        <v>202222200.64281899</v>
      </c>
      <c r="AB153"/>
      <c r="AC153"/>
    </row>
    <row r="154" spans="1:29" x14ac:dyDescent="0.25">
      <c r="A154" t="str">
        <f t="shared" si="3"/>
        <v xml:space="preserve">1013407GOBFED 241205       </v>
      </c>
      <c r="B154" s="71">
        <v>1013407</v>
      </c>
      <c r="C154" s="71" t="s">
        <v>657</v>
      </c>
      <c r="D154" s="71" t="s">
        <v>380</v>
      </c>
      <c r="E154" s="71" t="s">
        <v>623</v>
      </c>
      <c r="F154" s="71" t="s">
        <v>624</v>
      </c>
      <c r="G154" s="74">
        <v>4160</v>
      </c>
      <c r="H154" s="72">
        <v>93.314192000000006</v>
      </c>
      <c r="I154" s="73">
        <v>388187.03872000001</v>
      </c>
      <c r="J154" s="72">
        <v>107.81026574000001</v>
      </c>
      <c r="K154" s="73">
        <v>-60303.666758400002</v>
      </c>
      <c r="L154" s="74">
        <v>0</v>
      </c>
      <c r="M154" s="73">
        <v>0</v>
      </c>
      <c r="N154" s="74">
        <v>0</v>
      </c>
      <c r="O154" s="73">
        <v>0</v>
      </c>
      <c r="P154" s="74">
        <v>4160</v>
      </c>
      <c r="Q154" s="73">
        <v>388187.03872000001</v>
      </c>
      <c r="R154" s="71" t="s">
        <v>625</v>
      </c>
      <c r="S154" s="71">
        <v>7414000005</v>
      </c>
      <c r="W154" s="3">
        <v>65506131264</v>
      </c>
      <c r="X154">
        <v>37645102.188366003</v>
      </c>
      <c r="AB154"/>
      <c r="AC154"/>
    </row>
    <row r="155" spans="1:29" x14ac:dyDescent="0.25">
      <c r="A155" t="str">
        <f t="shared" si="3"/>
        <v xml:space="preserve">1013407GOBFED 260305       </v>
      </c>
      <c r="B155" s="71">
        <v>1013407</v>
      </c>
      <c r="C155" s="71" t="s">
        <v>657</v>
      </c>
      <c r="D155" s="71" t="s">
        <v>381</v>
      </c>
      <c r="E155" s="71" t="s">
        <v>623</v>
      </c>
      <c r="F155" s="71" t="s">
        <v>624</v>
      </c>
      <c r="G155" s="74">
        <v>10190</v>
      </c>
      <c r="H155" s="72">
        <v>94.870157000000006</v>
      </c>
      <c r="I155" s="73">
        <v>966726.89983000001</v>
      </c>
      <c r="J155" s="72">
        <v>118.51528435772326</v>
      </c>
      <c r="K155" s="73">
        <v>-240943.8477752</v>
      </c>
      <c r="L155" s="74">
        <v>0</v>
      </c>
      <c r="M155" s="73">
        <v>0</v>
      </c>
      <c r="N155" s="74">
        <v>0</v>
      </c>
      <c r="O155" s="73">
        <v>0</v>
      </c>
      <c r="P155" s="74">
        <v>10190</v>
      </c>
      <c r="Q155" s="73">
        <v>966726.89983000001</v>
      </c>
      <c r="R155" s="71" t="s">
        <v>625</v>
      </c>
      <c r="S155" s="71">
        <v>7414000005</v>
      </c>
      <c r="W155" s="3">
        <v>2000941</v>
      </c>
      <c r="X155">
        <v>685946161.56824601</v>
      </c>
      <c r="AB155"/>
      <c r="AC155"/>
    </row>
    <row r="156" spans="1:29" x14ac:dyDescent="0.25">
      <c r="A156" t="str">
        <f t="shared" si="3"/>
        <v xml:space="preserve">1013407GOBFED 270603       </v>
      </c>
      <c r="B156" s="71">
        <v>1013407</v>
      </c>
      <c r="C156" s="71" t="s">
        <v>657</v>
      </c>
      <c r="D156" s="71" t="s">
        <v>382</v>
      </c>
      <c r="E156" s="71" t="s">
        <v>623</v>
      </c>
      <c r="F156" s="71" t="s">
        <v>624</v>
      </c>
      <c r="G156" s="74">
        <v>4540</v>
      </c>
      <c r="H156" s="72">
        <v>89.489464999999996</v>
      </c>
      <c r="I156" s="73">
        <v>406282.17109999998</v>
      </c>
      <c r="J156" s="72">
        <v>82.9037140776652</v>
      </c>
      <c r="K156" s="73">
        <v>29899.309187399998</v>
      </c>
      <c r="L156" s="74">
        <v>0</v>
      </c>
      <c r="M156" s="73">
        <v>0</v>
      </c>
      <c r="N156" s="74">
        <v>0</v>
      </c>
      <c r="O156" s="73">
        <v>0</v>
      </c>
      <c r="P156" s="74">
        <v>4540</v>
      </c>
      <c r="Q156" s="73">
        <v>406282.17109999998</v>
      </c>
      <c r="R156" s="71" t="s">
        <v>625</v>
      </c>
      <c r="S156" s="71">
        <v>7414000005</v>
      </c>
      <c r="W156" s="3">
        <v>2000942</v>
      </c>
      <c r="X156">
        <v>19534703.461075004</v>
      </c>
      <c r="AB156"/>
      <c r="AC156"/>
    </row>
    <row r="157" spans="1:29" x14ac:dyDescent="0.25">
      <c r="A157" t="str">
        <f t="shared" si="3"/>
        <v xml:space="preserve">1013407GOBFED 290531       </v>
      </c>
      <c r="B157" s="71">
        <v>1013407</v>
      </c>
      <c r="C157" s="71" t="s">
        <v>657</v>
      </c>
      <c r="D157" s="71" t="s">
        <v>418</v>
      </c>
      <c r="E157" s="71" t="s">
        <v>623</v>
      </c>
      <c r="F157" s="71" t="s">
        <v>624</v>
      </c>
      <c r="G157" s="74">
        <v>15768</v>
      </c>
      <c r="H157" s="72">
        <v>101.45096599999999</v>
      </c>
      <c r="I157" s="73">
        <v>1599678.831888</v>
      </c>
      <c r="J157" s="72">
        <v>113.94762556988331</v>
      </c>
      <c r="K157" s="73">
        <v>-197047.32809791999</v>
      </c>
      <c r="L157" s="74">
        <v>0</v>
      </c>
      <c r="M157" s="73">
        <v>0</v>
      </c>
      <c r="N157" s="74">
        <v>0</v>
      </c>
      <c r="O157" s="73">
        <v>0</v>
      </c>
      <c r="P157" s="74">
        <v>15768</v>
      </c>
      <c r="Q157" s="73">
        <v>1599678.831888</v>
      </c>
      <c r="R157" s="71" t="s">
        <v>625</v>
      </c>
      <c r="S157" s="71">
        <v>7414000005</v>
      </c>
      <c r="W157" s="3">
        <v>2001046</v>
      </c>
      <c r="X157">
        <v>14295149.869469</v>
      </c>
      <c r="AB157"/>
      <c r="AC157"/>
    </row>
    <row r="158" spans="1:29" x14ac:dyDescent="0.25">
      <c r="A158" t="str">
        <f t="shared" si="3"/>
        <v xml:space="preserve">1013407GOBFED 310529       </v>
      </c>
      <c r="B158" s="71">
        <v>1013407</v>
      </c>
      <c r="C158" s="71" t="s">
        <v>657</v>
      </c>
      <c r="D158" s="71" t="s">
        <v>408</v>
      </c>
      <c r="E158" s="71" t="s">
        <v>623</v>
      </c>
      <c r="F158" s="71" t="s">
        <v>624</v>
      </c>
      <c r="G158" s="74">
        <v>1866</v>
      </c>
      <c r="H158" s="72">
        <v>89.643172000000007</v>
      </c>
      <c r="I158" s="73">
        <v>167274.158952</v>
      </c>
      <c r="J158" s="72">
        <v>117.68286983</v>
      </c>
      <c r="K158" s="73">
        <v>-52322.076150779998</v>
      </c>
      <c r="L158" s="74">
        <v>0</v>
      </c>
      <c r="M158" s="73">
        <v>0</v>
      </c>
      <c r="N158" s="74">
        <v>0</v>
      </c>
      <c r="O158" s="73">
        <v>0</v>
      </c>
      <c r="P158" s="74">
        <v>1866</v>
      </c>
      <c r="Q158" s="73">
        <v>167274.158952</v>
      </c>
      <c r="R158" s="71" t="s">
        <v>625</v>
      </c>
      <c r="S158" s="71">
        <v>7414000005</v>
      </c>
      <c r="W158" s="3">
        <v>2001047</v>
      </c>
      <c r="X158">
        <v>6102472.9441109998</v>
      </c>
      <c r="AB158"/>
      <c r="AC158"/>
    </row>
    <row r="159" spans="1:29" x14ac:dyDescent="0.25">
      <c r="A159" t="str">
        <f t="shared" si="3"/>
        <v xml:space="preserve">1013407GOBFED 361120       </v>
      </c>
      <c r="B159" s="71">
        <v>1013407</v>
      </c>
      <c r="C159" s="71" t="s">
        <v>657</v>
      </c>
      <c r="D159" s="71" t="s">
        <v>384</v>
      </c>
      <c r="E159" s="71" t="s">
        <v>623</v>
      </c>
      <c r="F159" s="71" t="s">
        <v>624</v>
      </c>
      <c r="G159" s="74">
        <v>985</v>
      </c>
      <c r="H159" s="72">
        <v>81.738860000000003</v>
      </c>
      <c r="I159" s="73">
        <v>80512.777100000007</v>
      </c>
      <c r="J159" s="72">
        <v>101.5451082</v>
      </c>
      <c r="K159" s="73">
        <v>-19509.154477</v>
      </c>
      <c r="L159" s="74">
        <v>0</v>
      </c>
      <c r="M159" s="73">
        <v>0</v>
      </c>
      <c r="N159" s="74">
        <v>0</v>
      </c>
      <c r="O159" s="73">
        <v>0</v>
      </c>
      <c r="P159" s="74">
        <v>985</v>
      </c>
      <c r="Q159" s="73">
        <v>80512.777100000007</v>
      </c>
      <c r="R159" s="71" t="s">
        <v>625</v>
      </c>
      <c r="S159" s="71">
        <v>7414000005</v>
      </c>
      <c r="W159" s="3">
        <v>2001049</v>
      </c>
      <c r="X159">
        <v>10750642.521645</v>
      </c>
      <c r="AB159"/>
      <c r="AC159"/>
    </row>
    <row r="160" spans="1:29" x14ac:dyDescent="0.25">
      <c r="A160" t="str">
        <f t="shared" si="3"/>
        <v xml:space="preserve">1013407GOBFED 381118       </v>
      </c>
      <c r="B160" s="71">
        <v>1013407</v>
      </c>
      <c r="C160" s="71" t="s">
        <v>657</v>
      </c>
      <c r="D160" s="71" t="s">
        <v>385</v>
      </c>
      <c r="E160" s="71" t="s">
        <v>623</v>
      </c>
      <c r="F160" s="71" t="s">
        <v>624</v>
      </c>
      <c r="G160" s="74">
        <v>9218</v>
      </c>
      <c r="H160" s="72">
        <v>83.200761</v>
      </c>
      <c r="I160" s="73">
        <v>766944.61489800003</v>
      </c>
      <c r="J160" s="72">
        <v>96.799409990000001</v>
      </c>
      <c r="K160" s="73">
        <v>-125352.34638982</v>
      </c>
      <c r="L160" s="74">
        <v>0</v>
      </c>
      <c r="M160" s="73">
        <v>0</v>
      </c>
      <c r="N160" s="74">
        <v>0</v>
      </c>
      <c r="O160" s="73">
        <v>0</v>
      </c>
      <c r="P160" s="74">
        <v>9218</v>
      </c>
      <c r="Q160" s="73">
        <v>766944.61489800003</v>
      </c>
      <c r="R160" s="71" t="s">
        <v>625</v>
      </c>
      <c r="S160" s="71">
        <v>7414000005</v>
      </c>
      <c r="W160" s="3">
        <v>2001050</v>
      </c>
      <c r="X160">
        <v>3958037.0935169999</v>
      </c>
      <c r="AB160"/>
      <c r="AC160"/>
    </row>
    <row r="161" spans="1:29" x14ac:dyDescent="0.25">
      <c r="A161" t="str">
        <f t="shared" si="3"/>
        <v xml:space="preserve">1013407GOBFED 421113       </v>
      </c>
      <c r="B161" s="71">
        <v>1013407</v>
      </c>
      <c r="C161" s="71" t="s">
        <v>657</v>
      </c>
      <c r="D161" s="71" t="s">
        <v>419</v>
      </c>
      <c r="E161" s="71" t="s">
        <v>623</v>
      </c>
      <c r="F161" s="71" t="s">
        <v>624</v>
      </c>
      <c r="G161" s="74">
        <v>0</v>
      </c>
      <c r="H161" s="72">
        <v>0</v>
      </c>
      <c r="I161" s="73">
        <v>0</v>
      </c>
      <c r="J161" s="72">
        <v>0</v>
      </c>
      <c r="K161" s="73">
        <v>0</v>
      </c>
      <c r="L161" s="74">
        <v>0</v>
      </c>
      <c r="M161" s="73">
        <v>0</v>
      </c>
      <c r="N161" s="74">
        <v>0</v>
      </c>
      <c r="O161" s="73">
        <v>0</v>
      </c>
      <c r="P161" s="74">
        <v>0</v>
      </c>
      <c r="Q161" s="73">
        <v>0</v>
      </c>
      <c r="R161" s="71" t="s">
        <v>625</v>
      </c>
      <c r="S161" s="71">
        <v>7414000005</v>
      </c>
      <c r="W161" s="3">
        <v>1028703</v>
      </c>
      <c r="X161">
        <v>0</v>
      </c>
      <c r="AB161"/>
      <c r="AC161"/>
    </row>
    <row r="162" spans="1:29" x14ac:dyDescent="0.25">
      <c r="A162" t="str">
        <f t="shared" si="3"/>
        <v xml:space="preserve">1013407GOBFED 471107       </v>
      </c>
      <c r="B162" s="71">
        <v>1013407</v>
      </c>
      <c r="C162" s="71" t="s">
        <v>657</v>
      </c>
      <c r="D162" s="71" t="s">
        <v>391</v>
      </c>
      <c r="E162" s="71" t="s">
        <v>623</v>
      </c>
      <c r="F162" s="71" t="s">
        <v>624</v>
      </c>
      <c r="G162" s="74">
        <v>137609</v>
      </c>
      <c r="H162" s="72">
        <v>775.69178699999998</v>
      </c>
      <c r="I162" s="73">
        <v>106742171.117283</v>
      </c>
      <c r="J162" s="72">
        <v>766.84932879343341</v>
      </c>
      <c r="K162" s="73">
        <v>1216801.8313474201</v>
      </c>
      <c r="L162" s="74">
        <v>0</v>
      </c>
      <c r="M162" s="73">
        <v>0</v>
      </c>
      <c r="N162" s="74">
        <v>0</v>
      </c>
      <c r="O162" s="73">
        <v>0</v>
      </c>
      <c r="P162" s="74">
        <v>137609</v>
      </c>
      <c r="Q162" s="73">
        <v>106742171.117283</v>
      </c>
      <c r="R162" s="71" t="s">
        <v>625</v>
      </c>
      <c r="S162" s="71">
        <v>7414000005</v>
      </c>
      <c r="W162" s="3">
        <v>2000947</v>
      </c>
      <c r="X162">
        <v>22149393.044493999</v>
      </c>
      <c r="AB162"/>
      <c r="AC162"/>
    </row>
    <row r="163" spans="1:29" x14ac:dyDescent="0.25">
      <c r="A163" t="str">
        <f t="shared" si="3"/>
        <v xml:space="preserve">1013407IENOVA *            </v>
      </c>
      <c r="B163" s="71">
        <v>1013407</v>
      </c>
      <c r="C163" s="71" t="s">
        <v>657</v>
      </c>
      <c r="D163" s="71" t="s">
        <v>392</v>
      </c>
      <c r="E163" s="71" t="s">
        <v>623</v>
      </c>
      <c r="F163" s="71" t="s">
        <v>624</v>
      </c>
      <c r="G163" s="74">
        <v>30479</v>
      </c>
      <c r="H163" s="72">
        <v>747.17843200000004</v>
      </c>
      <c r="I163" s="73">
        <v>22773251.428927999</v>
      </c>
      <c r="J163" s="72">
        <v>741.74077517000001</v>
      </c>
      <c r="K163" s="73">
        <v>165734.34252157001</v>
      </c>
      <c r="L163" s="74">
        <v>0</v>
      </c>
      <c r="M163" s="73">
        <v>0</v>
      </c>
      <c r="N163" s="74">
        <v>0</v>
      </c>
      <c r="O163" s="73">
        <v>0</v>
      </c>
      <c r="P163" s="74">
        <v>30479</v>
      </c>
      <c r="Q163" s="73">
        <v>22773251.428927999</v>
      </c>
      <c r="R163" s="71" t="s">
        <v>625</v>
      </c>
      <c r="S163" s="71">
        <v>7414000005</v>
      </c>
      <c r="W163" s="3">
        <v>65503071575</v>
      </c>
      <c r="X163">
        <v>209605148.93122199</v>
      </c>
      <c r="AB163"/>
      <c r="AC163"/>
    </row>
    <row r="164" spans="1:29" x14ac:dyDescent="0.25">
      <c r="A164" t="str">
        <f t="shared" si="3"/>
        <v xml:space="preserve">1013407UDIBONO 251204      </v>
      </c>
      <c r="B164" s="71">
        <v>1013407</v>
      </c>
      <c r="C164" s="71" t="s">
        <v>657</v>
      </c>
      <c r="D164" s="71" t="s">
        <v>393</v>
      </c>
      <c r="E164" s="71" t="s">
        <v>623</v>
      </c>
      <c r="F164" s="71" t="s">
        <v>624</v>
      </c>
      <c r="G164" s="74">
        <v>65</v>
      </c>
      <c r="H164" s="72">
        <v>765.92388300000005</v>
      </c>
      <c r="I164" s="73">
        <v>49785.052394999999</v>
      </c>
      <c r="J164" s="72">
        <v>781.86509464999995</v>
      </c>
      <c r="K164" s="73">
        <v>-1036.17875725</v>
      </c>
      <c r="L164" s="74">
        <v>0</v>
      </c>
      <c r="M164" s="73">
        <v>0</v>
      </c>
      <c r="N164" s="74">
        <v>0</v>
      </c>
      <c r="O164" s="73">
        <v>0</v>
      </c>
      <c r="P164" s="74">
        <v>65</v>
      </c>
      <c r="Q164" s="73">
        <v>49785.052394999999</v>
      </c>
      <c r="R164" s="71" t="s">
        <v>625</v>
      </c>
      <c r="S164" s="71">
        <v>7414000005</v>
      </c>
      <c r="W164" s="3">
        <v>65503040718</v>
      </c>
      <c r="X164">
        <v>179061138.29270801</v>
      </c>
      <c r="AB164"/>
      <c r="AC164"/>
    </row>
    <row r="165" spans="1:29" x14ac:dyDescent="0.25">
      <c r="A165" t="str">
        <f t="shared" si="3"/>
        <v xml:space="preserve">1013407UDIBONO 261203      </v>
      </c>
      <c r="B165" s="71">
        <v>1013407</v>
      </c>
      <c r="C165" s="71" t="s">
        <v>657</v>
      </c>
      <c r="D165" s="71" t="s">
        <v>394</v>
      </c>
      <c r="E165" s="71" t="s">
        <v>623</v>
      </c>
      <c r="F165" s="71" t="s">
        <v>624</v>
      </c>
      <c r="G165" s="74">
        <v>57</v>
      </c>
      <c r="H165" s="72">
        <v>684.88915799999995</v>
      </c>
      <c r="I165" s="73">
        <v>39038.682006000003</v>
      </c>
      <c r="J165" s="72">
        <v>674.82119490000002</v>
      </c>
      <c r="K165" s="73">
        <v>573.87389670000005</v>
      </c>
      <c r="L165" s="74">
        <v>0</v>
      </c>
      <c r="M165" s="73">
        <v>0</v>
      </c>
      <c r="N165" s="74">
        <v>0</v>
      </c>
      <c r="O165" s="73">
        <v>0</v>
      </c>
      <c r="P165" s="74">
        <v>57</v>
      </c>
      <c r="Q165" s="73">
        <v>39038.682006000003</v>
      </c>
      <c r="R165" s="71" t="s">
        <v>625</v>
      </c>
      <c r="S165" s="71">
        <v>7414000005</v>
      </c>
      <c r="W165" s="3">
        <v>65507052215</v>
      </c>
      <c r="X165">
        <v>7911653.4124480002</v>
      </c>
      <c r="AB165"/>
      <c r="AC165"/>
    </row>
    <row r="166" spans="1:29" x14ac:dyDescent="0.25">
      <c r="A166" t="str">
        <f t="shared" si="3"/>
        <v xml:space="preserve">1013407UDIBONO 281130      </v>
      </c>
      <c r="B166" s="71">
        <v>1013407</v>
      </c>
      <c r="C166" s="71" t="s">
        <v>657</v>
      </c>
      <c r="D166" s="71" t="s">
        <v>395</v>
      </c>
      <c r="E166" s="71" t="s">
        <v>623</v>
      </c>
      <c r="F166" s="71" t="s">
        <v>624</v>
      </c>
      <c r="G166" s="74">
        <v>26</v>
      </c>
      <c r="H166" s="72">
        <v>772.926965</v>
      </c>
      <c r="I166" s="73">
        <v>20096.10109</v>
      </c>
      <c r="J166" s="72">
        <v>578.72789299999999</v>
      </c>
      <c r="K166" s="73">
        <v>5049.1758719999998</v>
      </c>
      <c r="L166" s="74">
        <v>0</v>
      </c>
      <c r="M166" s="73">
        <v>0</v>
      </c>
      <c r="N166" s="74">
        <v>0</v>
      </c>
      <c r="O166" s="73">
        <v>0</v>
      </c>
      <c r="P166" s="74">
        <v>26</v>
      </c>
      <c r="Q166" s="73">
        <v>20096.10109</v>
      </c>
      <c r="R166" s="71" t="s">
        <v>625</v>
      </c>
      <c r="S166" s="71">
        <v>7414000005</v>
      </c>
      <c r="W166" s="3">
        <v>65507052277</v>
      </c>
      <c r="X166">
        <v>5074705.3529690001</v>
      </c>
      <c r="AB166"/>
      <c r="AC166"/>
    </row>
    <row r="167" spans="1:29" x14ac:dyDescent="0.25">
      <c r="A167" t="str">
        <f t="shared" si="3"/>
        <v xml:space="preserve">1013407UDIBONO 311127      </v>
      </c>
      <c r="B167" s="71">
        <v>1013407</v>
      </c>
      <c r="C167" s="71" t="s">
        <v>657</v>
      </c>
      <c r="D167" s="71" t="s">
        <v>396</v>
      </c>
      <c r="E167" s="71" t="s">
        <v>623</v>
      </c>
      <c r="F167" s="71" t="s">
        <v>624</v>
      </c>
      <c r="G167" s="74">
        <v>3</v>
      </c>
      <c r="H167" s="72">
        <v>721.59464000000003</v>
      </c>
      <c r="I167" s="73">
        <v>2164.7839199999999</v>
      </c>
      <c r="J167" s="72">
        <v>10188.966527833334</v>
      </c>
      <c r="K167" s="73">
        <v>-28402.115663500001</v>
      </c>
      <c r="L167" s="74">
        <v>0</v>
      </c>
      <c r="M167" s="73">
        <v>0</v>
      </c>
      <c r="N167" s="74">
        <v>0</v>
      </c>
      <c r="O167" s="73">
        <v>0</v>
      </c>
      <c r="P167" s="74">
        <v>3</v>
      </c>
      <c r="Q167" s="73">
        <v>2164.7839199999999</v>
      </c>
      <c r="R167" s="71" t="s">
        <v>625</v>
      </c>
      <c r="S167" s="71">
        <v>7414000005</v>
      </c>
      <c r="W167" s="3">
        <v>65507052294</v>
      </c>
      <c r="X167">
        <v>7726026.700096</v>
      </c>
      <c r="AB167"/>
      <c r="AC167"/>
    </row>
    <row r="168" spans="1:29" x14ac:dyDescent="0.25">
      <c r="A168" t="str">
        <f t="shared" si="3"/>
        <v xml:space="preserve">1013407UDIBONO 351122      </v>
      </c>
      <c r="B168" s="71">
        <v>1013407</v>
      </c>
      <c r="C168" s="71" t="s">
        <v>657</v>
      </c>
      <c r="D168" s="71" t="s">
        <v>397</v>
      </c>
      <c r="E168" s="71" t="s">
        <v>623</v>
      </c>
      <c r="F168" s="71" t="s">
        <v>624</v>
      </c>
      <c r="G168" s="74">
        <v>44</v>
      </c>
      <c r="H168" s="72">
        <v>635.96311900000001</v>
      </c>
      <c r="I168" s="73">
        <v>27982.377236</v>
      </c>
      <c r="J168" s="72">
        <v>647.93802047999998</v>
      </c>
      <c r="K168" s="73">
        <v>-526.89566511999999</v>
      </c>
      <c r="L168" s="74">
        <v>0</v>
      </c>
      <c r="M168" s="73">
        <v>0</v>
      </c>
      <c r="N168" s="74">
        <v>0</v>
      </c>
      <c r="O168" s="73">
        <v>0</v>
      </c>
      <c r="P168" s="74">
        <v>44</v>
      </c>
      <c r="Q168" s="73">
        <v>27982.377236</v>
      </c>
      <c r="R168" s="71" t="s">
        <v>625</v>
      </c>
      <c r="S168" s="71">
        <v>7414000005</v>
      </c>
      <c r="W168" s="3">
        <v>65507298252</v>
      </c>
      <c r="X168">
        <v>2911559188.6051269</v>
      </c>
      <c r="AB168"/>
      <c r="AC168"/>
    </row>
    <row r="169" spans="1:29" x14ac:dyDescent="0.25">
      <c r="A169" t="str">
        <f t="shared" si="3"/>
        <v xml:space="preserve">1013407UDIBONO 401115      </v>
      </c>
      <c r="B169" s="71">
        <v>1013407</v>
      </c>
      <c r="C169" s="71" t="s">
        <v>657</v>
      </c>
      <c r="D169" s="71" t="s">
        <v>398</v>
      </c>
      <c r="E169" s="71" t="s">
        <v>623</v>
      </c>
      <c r="F169" s="71" t="s">
        <v>624</v>
      </c>
      <c r="G169" s="74">
        <v>42</v>
      </c>
      <c r="H169" s="72">
        <v>709.36974099999998</v>
      </c>
      <c r="I169" s="73">
        <v>29793.529122</v>
      </c>
      <c r="J169" s="72">
        <v>771.09918236999999</v>
      </c>
      <c r="K169" s="73">
        <v>-2592.6365375400001</v>
      </c>
      <c r="L169" s="74">
        <v>0</v>
      </c>
      <c r="M169" s="73">
        <v>0</v>
      </c>
      <c r="N169" s="74">
        <v>0</v>
      </c>
      <c r="O169" s="73">
        <v>0</v>
      </c>
      <c r="P169" s="74">
        <v>42</v>
      </c>
      <c r="Q169" s="73">
        <v>29793.529122</v>
      </c>
      <c r="R169" s="71" t="s">
        <v>625</v>
      </c>
      <c r="S169" s="71">
        <v>7414000005</v>
      </c>
      <c r="W169" s="3">
        <v>1031627</v>
      </c>
      <c r="X169">
        <v>39123214.861036003</v>
      </c>
      <c r="AB169"/>
      <c r="AC169"/>
    </row>
    <row r="170" spans="1:29" x14ac:dyDescent="0.25">
      <c r="A170" t="str">
        <f t="shared" si="3"/>
        <v xml:space="preserve">1013407UDIBONO 431112      </v>
      </c>
      <c r="B170" s="71">
        <v>1013407</v>
      </c>
      <c r="C170" s="71" t="s">
        <v>657</v>
      </c>
      <c r="D170" s="71" t="s">
        <v>399</v>
      </c>
      <c r="E170" s="71" t="s">
        <v>623</v>
      </c>
      <c r="F170" s="71" t="s">
        <v>624</v>
      </c>
      <c r="G170" s="74">
        <v>14</v>
      </c>
      <c r="H170" s="72">
        <v>694.41118700000004</v>
      </c>
      <c r="I170" s="73">
        <v>9721.7566179999994</v>
      </c>
      <c r="J170" s="72">
        <v>707.93932878999999</v>
      </c>
      <c r="K170" s="73">
        <v>-189.39398506000001</v>
      </c>
      <c r="L170" s="74">
        <v>0</v>
      </c>
      <c r="M170" s="73">
        <v>0</v>
      </c>
      <c r="N170" s="74">
        <v>0</v>
      </c>
      <c r="O170" s="73">
        <v>0</v>
      </c>
      <c r="P170" s="74">
        <v>14</v>
      </c>
      <c r="Q170" s="73">
        <v>9721.7566179999994</v>
      </c>
      <c r="R170" s="71" t="s">
        <v>625</v>
      </c>
      <c r="S170" s="71">
        <v>7414000005</v>
      </c>
      <c r="W170" s="3">
        <v>1031629</v>
      </c>
      <c r="X170">
        <v>30111901.438375998</v>
      </c>
      <c r="AB170"/>
      <c r="AC170"/>
    </row>
    <row r="171" spans="1:29" x14ac:dyDescent="0.25">
      <c r="A171" t="str">
        <f t="shared" si="3"/>
        <v xml:space="preserve">1013407UDIBONO 461108      </v>
      </c>
      <c r="B171" s="71">
        <v>1014057</v>
      </c>
      <c r="C171" s="71" t="s">
        <v>658</v>
      </c>
      <c r="D171" s="71" t="s">
        <v>389</v>
      </c>
      <c r="E171" s="71" t="s">
        <v>623</v>
      </c>
      <c r="F171" s="71" t="s">
        <v>624</v>
      </c>
      <c r="G171" s="74">
        <v>4018547</v>
      </c>
      <c r="H171" s="72">
        <v>3.3967719999999999</v>
      </c>
      <c r="I171" s="73">
        <v>13650087.930283999</v>
      </c>
      <c r="J171" s="72">
        <v>2.3201114930346716</v>
      </c>
      <c r="K171" s="73">
        <v>4326610.8502839999</v>
      </c>
      <c r="L171" s="74">
        <v>0</v>
      </c>
      <c r="M171" s="73">
        <v>0</v>
      </c>
      <c r="N171" s="74">
        <v>0</v>
      </c>
      <c r="O171" s="73">
        <v>0</v>
      </c>
      <c r="P171" s="74">
        <v>4018547</v>
      </c>
      <c r="Q171" s="73">
        <v>13650087.930283999</v>
      </c>
      <c r="R171" s="71" t="s">
        <v>625</v>
      </c>
      <c r="S171" s="71">
        <v>7414000005</v>
      </c>
      <c r="W171" s="3">
        <v>2001140</v>
      </c>
      <c r="X171">
        <v>-0.02</v>
      </c>
      <c r="AB171"/>
      <c r="AC171"/>
    </row>
    <row r="172" spans="1:29" x14ac:dyDescent="0.25">
      <c r="A172" t="str">
        <f t="shared" si="3"/>
        <v xml:space="preserve">1013407UDIBONO 501103      </v>
      </c>
      <c r="B172" s="71">
        <v>1014057</v>
      </c>
      <c r="C172" s="71" t="s">
        <v>658</v>
      </c>
      <c r="D172" s="71" t="s">
        <v>420</v>
      </c>
      <c r="E172" s="71" t="s">
        <v>623</v>
      </c>
      <c r="F172" s="71" t="s">
        <v>624</v>
      </c>
      <c r="G172" s="74">
        <v>338000000</v>
      </c>
      <c r="H172" s="72">
        <v>2.106938</v>
      </c>
      <c r="I172" s="73">
        <v>712145044</v>
      </c>
      <c r="J172" s="72">
        <v>1.2627020459171598</v>
      </c>
      <c r="K172" s="73">
        <v>285351752.48000002</v>
      </c>
      <c r="L172" s="74">
        <v>0</v>
      </c>
      <c r="M172" s="73">
        <v>0</v>
      </c>
      <c r="N172" s="74">
        <v>0</v>
      </c>
      <c r="O172" s="73">
        <v>0</v>
      </c>
      <c r="P172" s="74">
        <v>338000000</v>
      </c>
      <c r="Q172" s="73">
        <v>712145044</v>
      </c>
      <c r="R172" s="71" t="s">
        <v>625</v>
      </c>
      <c r="S172" s="71">
        <v>7414000005</v>
      </c>
      <c r="W172" s="3">
        <v>2001141</v>
      </c>
      <c r="X172">
        <v>0</v>
      </c>
      <c r="AB172"/>
      <c r="AC172"/>
    </row>
    <row r="173" spans="1:29" x14ac:dyDescent="0.25">
      <c r="A173" t="str">
        <f t="shared" si="3"/>
        <v xml:space="preserve">1014057STERGOB ED          </v>
      </c>
      <c r="B173" s="71">
        <v>1015460</v>
      </c>
      <c r="C173" s="71" t="s">
        <v>659</v>
      </c>
      <c r="D173" s="71" t="s">
        <v>421</v>
      </c>
      <c r="E173" s="71" t="s">
        <v>623</v>
      </c>
      <c r="F173" s="71" t="s">
        <v>624</v>
      </c>
      <c r="G173" s="74">
        <v>0</v>
      </c>
      <c r="H173" s="72">
        <v>0</v>
      </c>
      <c r="I173" s="73">
        <v>0</v>
      </c>
      <c r="J173" s="72">
        <v>0</v>
      </c>
      <c r="K173" s="73">
        <v>0</v>
      </c>
      <c r="L173" s="74">
        <v>0</v>
      </c>
      <c r="M173" s="73">
        <v>0</v>
      </c>
      <c r="N173" s="74">
        <v>0</v>
      </c>
      <c r="O173" s="73">
        <v>0</v>
      </c>
      <c r="P173" s="74">
        <v>0</v>
      </c>
      <c r="Q173" s="73">
        <v>0</v>
      </c>
      <c r="R173" s="71" t="s">
        <v>625</v>
      </c>
      <c r="S173" s="71">
        <v>7414000005</v>
      </c>
      <c r="W173" s="3">
        <v>2001142</v>
      </c>
      <c r="X173">
        <v>0</v>
      </c>
      <c r="AB173"/>
      <c r="AC173"/>
    </row>
    <row r="174" spans="1:29" x14ac:dyDescent="0.25">
      <c r="A174" t="str">
        <f t="shared" si="3"/>
        <v xml:space="preserve">1014057SVIVE50 C3          </v>
      </c>
      <c r="B174" s="71">
        <v>1015473</v>
      </c>
      <c r="C174" s="71" t="s">
        <v>660</v>
      </c>
      <c r="D174" s="71" t="s">
        <v>422</v>
      </c>
      <c r="E174" s="71" t="s">
        <v>623</v>
      </c>
      <c r="F174" s="71" t="s">
        <v>624</v>
      </c>
      <c r="G174" s="74">
        <v>610</v>
      </c>
      <c r="H174" s="72">
        <v>97.654420999999999</v>
      </c>
      <c r="I174" s="73">
        <v>59569.196810000001</v>
      </c>
      <c r="J174" s="72">
        <v>98.224185000000006</v>
      </c>
      <c r="K174" s="73">
        <v>-347.55604</v>
      </c>
      <c r="L174" s="74">
        <v>0</v>
      </c>
      <c r="M174" s="73">
        <v>0</v>
      </c>
      <c r="N174" s="74">
        <v>0</v>
      </c>
      <c r="O174" s="73">
        <v>0</v>
      </c>
      <c r="P174" s="74">
        <v>610</v>
      </c>
      <c r="Q174" s="73">
        <v>59569.196810000001</v>
      </c>
      <c r="R174" s="71" t="s">
        <v>625</v>
      </c>
      <c r="S174" s="71">
        <v>7414000005</v>
      </c>
      <c r="W174" s="3">
        <v>65502128155</v>
      </c>
      <c r="X174">
        <v>142354598.82729799</v>
      </c>
      <c r="AB174"/>
      <c r="AC174"/>
    </row>
    <row r="175" spans="1:29" x14ac:dyDescent="0.25">
      <c r="A175" t="str">
        <f t="shared" si="3"/>
        <v xml:space="preserve">1015460STRGOB2 B4          </v>
      </c>
      <c r="B175" s="71">
        <v>1015473</v>
      </c>
      <c r="C175" s="71" t="s">
        <v>660</v>
      </c>
      <c r="D175" s="71" t="s">
        <v>363</v>
      </c>
      <c r="E175" s="71" t="s">
        <v>623</v>
      </c>
      <c r="F175" s="71" t="s">
        <v>624</v>
      </c>
      <c r="G175" s="74">
        <v>129882</v>
      </c>
      <c r="H175" s="72">
        <v>9.4935880000000008</v>
      </c>
      <c r="I175" s="73">
        <v>1233046.196616</v>
      </c>
      <c r="J175" s="72">
        <v>8.4405498100000003</v>
      </c>
      <c r="K175" s="73">
        <v>136770.70619358</v>
      </c>
      <c r="L175" s="74">
        <v>0</v>
      </c>
      <c r="M175" s="73">
        <v>0</v>
      </c>
      <c r="N175" s="74">
        <v>0</v>
      </c>
      <c r="O175" s="73">
        <v>0</v>
      </c>
      <c r="P175" s="74">
        <v>129882</v>
      </c>
      <c r="Q175" s="73">
        <v>1233046.196616</v>
      </c>
      <c r="R175" s="71" t="s">
        <v>625</v>
      </c>
      <c r="S175" s="71">
        <v>7414000005</v>
      </c>
      <c r="W175" s="3">
        <v>1033543</v>
      </c>
      <c r="X175">
        <v>1160397.0025419998</v>
      </c>
      <c r="AB175"/>
      <c r="AC175"/>
    </row>
    <row r="176" spans="1:29" x14ac:dyDescent="0.25">
      <c r="A176" t="str">
        <f t="shared" si="3"/>
        <v xml:space="preserve">1015473CETELEM 22          </v>
      </c>
      <c r="B176" s="71">
        <v>1015473</v>
      </c>
      <c r="C176" s="71" t="s">
        <v>660</v>
      </c>
      <c r="D176" s="71" t="s">
        <v>409</v>
      </c>
      <c r="E176" s="71" t="s">
        <v>623</v>
      </c>
      <c r="F176" s="71" t="s">
        <v>624</v>
      </c>
      <c r="G176" s="74">
        <v>176890</v>
      </c>
      <c r="H176" s="72">
        <v>9.3381629999999998</v>
      </c>
      <c r="I176" s="73">
        <v>1651827.65307</v>
      </c>
      <c r="J176" s="72">
        <v>8.3307969100000001</v>
      </c>
      <c r="K176" s="73">
        <v>178192.98766010001</v>
      </c>
      <c r="L176" s="74">
        <v>0</v>
      </c>
      <c r="M176" s="73">
        <v>0</v>
      </c>
      <c r="N176" s="74">
        <v>0</v>
      </c>
      <c r="O176" s="73">
        <v>0</v>
      </c>
      <c r="P176" s="74">
        <v>176890</v>
      </c>
      <c r="Q176" s="73">
        <v>1651827.65307</v>
      </c>
      <c r="R176" s="71" t="s">
        <v>625</v>
      </c>
      <c r="S176" s="71">
        <v>7414000005</v>
      </c>
      <c r="W176" s="3">
        <v>1033544</v>
      </c>
      <c r="X176">
        <v>48967.917637999999</v>
      </c>
      <c r="AB176"/>
      <c r="AC176"/>
    </row>
    <row r="177" spans="1:29" x14ac:dyDescent="0.25">
      <c r="A177" t="str">
        <f t="shared" si="3"/>
        <v xml:space="preserve">1015473CETES 241003        </v>
      </c>
      <c r="B177" s="71">
        <v>1015473</v>
      </c>
      <c r="C177" s="71" t="s">
        <v>660</v>
      </c>
      <c r="D177" s="71" t="s">
        <v>375</v>
      </c>
      <c r="E177" s="71" t="s">
        <v>623</v>
      </c>
      <c r="F177" s="71" t="s">
        <v>624</v>
      </c>
      <c r="G177" s="74">
        <v>7559</v>
      </c>
      <c r="H177" s="72">
        <v>98.730349000000004</v>
      </c>
      <c r="I177" s="73">
        <v>746302.70809099998</v>
      </c>
      <c r="J177" s="72">
        <v>104.28077916390264</v>
      </c>
      <c r="K177" s="73">
        <v>-41955.701608939999</v>
      </c>
      <c r="L177" s="74">
        <v>0</v>
      </c>
      <c r="M177" s="73">
        <v>0</v>
      </c>
      <c r="N177" s="74">
        <v>0</v>
      </c>
      <c r="O177" s="73">
        <v>0</v>
      </c>
      <c r="P177" s="74">
        <v>7559</v>
      </c>
      <c r="Q177" s="73">
        <v>746302.70809099998</v>
      </c>
      <c r="R177" s="71" t="s">
        <v>625</v>
      </c>
      <c r="S177" s="71">
        <v>7414000005</v>
      </c>
      <c r="W177" s="3">
        <v>65507504761</v>
      </c>
      <c r="X177">
        <v>21481585.130616002</v>
      </c>
      <c r="AB177"/>
      <c r="AC177"/>
    </row>
    <row r="178" spans="1:29" x14ac:dyDescent="0.25">
      <c r="A178" t="str">
        <f t="shared" si="3"/>
        <v xml:space="preserve">1015473CETES 241128        </v>
      </c>
      <c r="B178" s="71">
        <v>1015473</v>
      </c>
      <c r="C178" s="71" t="s">
        <v>660</v>
      </c>
      <c r="D178" s="71" t="s">
        <v>376</v>
      </c>
      <c r="E178" s="71" t="s">
        <v>623</v>
      </c>
      <c r="F178" s="71" t="s">
        <v>624</v>
      </c>
      <c r="G178" s="74">
        <v>9263</v>
      </c>
      <c r="H178" s="72">
        <v>99.247497999999993</v>
      </c>
      <c r="I178" s="73">
        <v>919329.57397400006</v>
      </c>
      <c r="J178" s="72">
        <v>112.254154175536</v>
      </c>
      <c r="K178" s="73">
        <v>-120480.65615399</v>
      </c>
      <c r="L178" s="74">
        <v>0</v>
      </c>
      <c r="M178" s="73">
        <v>0</v>
      </c>
      <c r="N178" s="74">
        <v>0</v>
      </c>
      <c r="O178" s="73">
        <v>0</v>
      </c>
      <c r="P178" s="74">
        <v>9263</v>
      </c>
      <c r="Q178" s="73">
        <v>919329.57397400006</v>
      </c>
      <c r="R178" s="71" t="s">
        <v>625</v>
      </c>
      <c r="S178" s="71">
        <v>7414000005</v>
      </c>
      <c r="W178" s="3">
        <v>1033545</v>
      </c>
      <c r="X178">
        <v>6653932.8813429996</v>
      </c>
      <c r="AB178"/>
      <c r="AC178"/>
    </row>
    <row r="179" spans="1:29" x14ac:dyDescent="0.25">
      <c r="A179" t="str">
        <f t="shared" si="3"/>
        <v xml:space="preserve">1015473GOBFED 240905       </v>
      </c>
      <c r="B179" s="71">
        <v>1015473</v>
      </c>
      <c r="C179" s="71" t="s">
        <v>660</v>
      </c>
      <c r="D179" s="71" t="s">
        <v>377</v>
      </c>
      <c r="E179" s="71" t="s">
        <v>623</v>
      </c>
      <c r="F179" s="71" t="s">
        <v>624</v>
      </c>
      <c r="G179" s="74">
        <v>3060</v>
      </c>
      <c r="H179" s="72">
        <v>94.973146999999997</v>
      </c>
      <c r="I179" s="73">
        <v>290617.82981999998</v>
      </c>
      <c r="J179" s="72">
        <v>89.778084726895429</v>
      </c>
      <c r="K179" s="73">
        <v>15896.8905557</v>
      </c>
      <c r="L179" s="74">
        <v>0</v>
      </c>
      <c r="M179" s="73">
        <v>0</v>
      </c>
      <c r="N179" s="74">
        <v>0</v>
      </c>
      <c r="O179" s="73">
        <v>0</v>
      </c>
      <c r="P179" s="74">
        <v>3060</v>
      </c>
      <c r="Q179" s="73">
        <v>290617.82981999998</v>
      </c>
      <c r="R179" s="71" t="s">
        <v>625</v>
      </c>
      <c r="S179" s="71">
        <v>7414000005</v>
      </c>
      <c r="W179" s="3">
        <v>1033546</v>
      </c>
      <c r="X179">
        <v>3056053.010545</v>
      </c>
      <c r="AB179"/>
      <c r="AC179"/>
    </row>
    <row r="180" spans="1:29" x14ac:dyDescent="0.25">
      <c r="A180" t="str">
        <f t="shared" si="3"/>
        <v xml:space="preserve">1015473GOBFED 241205       </v>
      </c>
      <c r="B180" s="71">
        <v>1015473</v>
      </c>
      <c r="C180" s="71" t="s">
        <v>660</v>
      </c>
      <c r="D180" s="71" t="s">
        <v>378</v>
      </c>
      <c r="E180" s="71" t="s">
        <v>623</v>
      </c>
      <c r="F180" s="71" t="s">
        <v>624</v>
      </c>
      <c r="G180" s="74">
        <v>10331</v>
      </c>
      <c r="H180" s="72">
        <v>91.911821000000003</v>
      </c>
      <c r="I180" s="73">
        <v>949541.02275100001</v>
      </c>
      <c r="J180" s="72">
        <v>93.2088459</v>
      </c>
      <c r="K180" s="73">
        <v>-13399.5642419</v>
      </c>
      <c r="L180" s="74">
        <v>0</v>
      </c>
      <c r="M180" s="73">
        <v>0</v>
      </c>
      <c r="N180" s="74">
        <v>0</v>
      </c>
      <c r="O180" s="73">
        <v>0</v>
      </c>
      <c r="P180" s="74">
        <v>10331</v>
      </c>
      <c r="Q180" s="73">
        <v>949541.02275100001</v>
      </c>
      <c r="R180" s="71" t="s">
        <v>625</v>
      </c>
      <c r="S180" s="71">
        <v>7414000005</v>
      </c>
      <c r="W180" s="3">
        <v>1031341</v>
      </c>
      <c r="X180">
        <v>26358687.108624</v>
      </c>
      <c r="AB180"/>
      <c r="AC180"/>
    </row>
    <row r="181" spans="1:29" x14ac:dyDescent="0.25">
      <c r="A181" t="str">
        <f t="shared" si="3"/>
        <v xml:space="preserve">1015473GOBFED 250306       </v>
      </c>
      <c r="B181" s="71">
        <v>1015473</v>
      </c>
      <c r="C181" s="71" t="s">
        <v>660</v>
      </c>
      <c r="D181" s="71" t="s">
        <v>499</v>
      </c>
      <c r="E181" s="71" t="s">
        <v>623</v>
      </c>
      <c r="F181" s="71" t="s">
        <v>624</v>
      </c>
      <c r="G181" s="74">
        <v>5390</v>
      </c>
      <c r="H181" s="72">
        <v>92.954503000000003</v>
      </c>
      <c r="I181" s="73">
        <v>501024.77117000002</v>
      </c>
      <c r="J181" s="72">
        <v>93.326693087847872</v>
      </c>
      <c r="K181" s="73">
        <v>-2006.1045735</v>
      </c>
      <c r="L181" s="74">
        <v>0</v>
      </c>
      <c r="M181" s="73">
        <v>0</v>
      </c>
      <c r="N181" s="74">
        <v>0</v>
      </c>
      <c r="O181" s="73">
        <v>0</v>
      </c>
      <c r="P181" s="74">
        <v>5390</v>
      </c>
      <c r="Q181" s="73">
        <v>501024.77117000002</v>
      </c>
      <c r="R181" s="71" t="s">
        <v>625</v>
      </c>
      <c r="S181" s="71">
        <v>7414000005</v>
      </c>
      <c r="W181" s="3">
        <v>1032746</v>
      </c>
      <c r="X181">
        <v>208600192.50844401</v>
      </c>
      <c r="AB181"/>
      <c r="AC181"/>
    </row>
    <row r="182" spans="1:29" x14ac:dyDescent="0.25">
      <c r="A182" t="str">
        <f t="shared" si="3"/>
        <v xml:space="preserve">1015473GOBFED 260305       </v>
      </c>
      <c r="B182" s="71">
        <v>1015473</v>
      </c>
      <c r="C182" s="71" t="s">
        <v>660</v>
      </c>
      <c r="D182" s="71" t="s">
        <v>379</v>
      </c>
      <c r="E182" s="71" t="s">
        <v>623</v>
      </c>
      <c r="F182" s="71" t="s">
        <v>624</v>
      </c>
      <c r="G182" s="74">
        <v>5354</v>
      </c>
      <c r="H182" s="72">
        <v>88.698122999999995</v>
      </c>
      <c r="I182" s="73">
        <v>474889.75054199999</v>
      </c>
      <c r="J182" s="72">
        <v>85.585677442756818</v>
      </c>
      <c r="K182" s="73">
        <v>16664.033513480001</v>
      </c>
      <c r="L182" s="74">
        <v>0</v>
      </c>
      <c r="M182" s="73">
        <v>0</v>
      </c>
      <c r="N182" s="74">
        <v>0</v>
      </c>
      <c r="O182" s="73">
        <v>0</v>
      </c>
      <c r="P182" s="74">
        <v>5354</v>
      </c>
      <c r="Q182" s="73">
        <v>474889.75054199999</v>
      </c>
      <c r="R182" s="71" t="s">
        <v>625</v>
      </c>
      <c r="S182" s="71">
        <v>7414000005</v>
      </c>
      <c r="W182" s="3">
        <v>1032747</v>
      </c>
      <c r="X182">
        <v>20794139.831067998</v>
      </c>
      <c r="AB182"/>
      <c r="AC182"/>
    </row>
    <row r="183" spans="1:29" x14ac:dyDescent="0.25">
      <c r="A183" t="str">
        <f t="shared" si="3"/>
        <v xml:space="preserve">1015473GOBFED 260903       </v>
      </c>
      <c r="B183" s="71">
        <v>1015473</v>
      </c>
      <c r="C183" s="71" t="s">
        <v>660</v>
      </c>
      <c r="D183" s="71" t="s">
        <v>380</v>
      </c>
      <c r="E183" s="71" t="s">
        <v>623</v>
      </c>
      <c r="F183" s="71" t="s">
        <v>624</v>
      </c>
      <c r="G183" s="74">
        <v>10230</v>
      </c>
      <c r="H183" s="72">
        <v>93.314192000000006</v>
      </c>
      <c r="I183" s="73">
        <v>954604.18415999995</v>
      </c>
      <c r="J183" s="72">
        <v>98.836472145376348</v>
      </c>
      <c r="K183" s="73">
        <v>-56492.925887199999</v>
      </c>
      <c r="L183" s="74">
        <v>0</v>
      </c>
      <c r="M183" s="73">
        <v>0</v>
      </c>
      <c r="N183" s="74">
        <v>0</v>
      </c>
      <c r="O183" s="73">
        <v>0</v>
      </c>
      <c r="P183" s="74">
        <v>10230</v>
      </c>
      <c r="Q183" s="73">
        <v>954604.18415999995</v>
      </c>
      <c r="R183" s="71" t="s">
        <v>625</v>
      </c>
      <c r="S183" s="71">
        <v>7414000005</v>
      </c>
      <c r="W183" s="3">
        <v>65502262917</v>
      </c>
      <c r="X183">
        <v>25703030.650028002</v>
      </c>
      <c r="AB183"/>
      <c r="AC183"/>
    </row>
    <row r="184" spans="1:29" x14ac:dyDescent="0.25">
      <c r="A184" t="str">
        <f t="shared" si="3"/>
        <v xml:space="preserve">1015473GOBFED 270304       </v>
      </c>
      <c r="B184" s="71">
        <v>1015473</v>
      </c>
      <c r="C184" s="71" t="s">
        <v>660</v>
      </c>
      <c r="D184" s="71" t="s">
        <v>507</v>
      </c>
      <c r="E184" s="71" t="s">
        <v>623</v>
      </c>
      <c r="F184" s="71" t="s">
        <v>624</v>
      </c>
      <c r="G184" s="74">
        <v>9410</v>
      </c>
      <c r="H184" s="72">
        <v>94.864168000000006</v>
      </c>
      <c r="I184" s="73">
        <v>892671.82088000001</v>
      </c>
      <c r="J184" s="72">
        <v>96.406295566673748</v>
      </c>
      <c r="K184" s="73">
        <v>-14511.420402399999</v>
      </c>
      <c r="L184" s="74">
        <v>0</v>
      </c>
      <c r="M184" s="73">
        <v>0</v>
      </c>
      <c r="N184" s="74">
        <v>0</v>
      </c>
      <c r="O184" s="73">
        <v>0</v>
      </c>
      <c r="P184" s="74">
        <v>9410</v>
      </c>
      <c r="Q184" s="73">
        <v>892671.82088000001</v>
      </c>
      <c r="R184" s="71" t="s">
        <v>625</v>
      </c>
      <c r="S184" s="71">
        <v>7414000005</v>
      </c>
      <c r="W184" s="3">
        <v>65507528155</v>
      </c>
      <c r="X184">
        <v>11500584.420524001</v>
      </c>
      <c r="AB184"/>
      <c r="AC184"/>
    </row>
    <row r="185" spans="1:29" x14ac:dyDescent="0.25">
      <c r="A185" t="str">
        <f t="shared" si="3"/>
        <v xml:space="preserve">1015473GOBFED 270603       </v>
      </c>
      <c r="B185" s="71">
        <v>1015473</v>
      </c>
      <c r="C185" s="71" t="s">
        <v>660</v>
      </c>
      <c r="D185" s="71" t="s">
        <v>381</v>
      </c>
      <c r="E185" s="71" t="s">
        <v>623</v>
      </c>
      <c r="F185" s="71" t="s">
        <v>624</v>
      </c>
      <c r="G185" s="74">
        <v>46161</v>
      </c>
      <c r="H185" s="72">
        <v>94.870157000000006</v>
      </c>
      <c r="I185" s="73">
        <v>4379301.3172770003</v>
      </c>
      <c r="J185" s="72">
        <v>97.073413020367624</v>
      </c>
      <c r="K185" s="73">
        <v>-101704.50115619</v>
      </c>
      <c r="L185" s="74">
        <v>0</v>
      </c>
      <c r="M185" s="73">
        <v>0</v>
      </c>
      <c r="N185" s="74">
        <v>0</v>
      </c>
      <c r="O185" s="73">
        <v>0</v>
      </c>
      <c r="P185" s="74">
        <v>46161</v>
      </c>
      <c r="Q185" s="73">
        <v>4379301.3172770003</v>
      </c>
      <c r="R185" s="71" t="s">
        <v>625</v>
      </c>
      <c r="S185" s="71">
        <v>7414000005</v>
      </c>
      <c r="W185" s="3">
        <v>65507528400</v>
      </c>
      <c r="X185">
        <v>111981871.528042</v>
      </c>
      <c r="AB185"/>
      <c r="AC185"/>
    </row>
    <row r="186" spans="1:29" x14ac:dyDescent="0.25">
      <c r="A186" t="str">
        <f t="shared" si="3"/>
        <v xml:space="preserve">1015473GOBFED 290301       </v>
      </c>
      <c r="B186" s="71">
        <v>1015473</v>
      </c>
      <c r="C186" s="71" t="s">
        <v>660</v>
      </c>
      <c r="D186" s="71" t="s">
        <v>382</v>
      </c>
      <c r="E186" s="71" t="s">
        <v>623</v>
      </c>
      <c r="F186" s="71" t="s">
        <v>624</v>
      </c>
      <c r="G186" s="74">
        <v>12537</v>
      </c>
      <c r="H186" s="72">
        <v>89.489464999999996</v>
      </c>
      <c r="I186" s="73">
        <v>1121929.422705</v>
      </c>
      <c r="J186" s="72">
        <v>91.602808392334694</v>
      </c>
      <c r="K186" s="73">
        <v>-26494.986109699999</v>
      </c>
      <c r="L186" s="74">
        <v>0</v>
      </c>
      <c r="M186" s="73">
        <v>0</v>
      </c>
      <c r="N186" s="74">
        <v>0</v>
      </c>
      <c r="O186" s="73">
        <v>0</v>
      </c>
      <c r="P186" s="74">
        <v>12537</v>
      </c>
      <c r="Q186" s="73">
        <v>1121929.422705</v>
      </c>
      <c r="R186" s="71" t="s">
        <v>625</v>
      </c>
      <c r="S186" s="71">
        <v>7414000005</v>
      </c>
      <c r="W186" s="3">
        <v>65507671187</v>
      </c>
      <c r="X186">
        <v>55433717.057081997</v>
      </c>
      <c r="AB186"/>
      <c r="AC186"/>
    </row>
    <row r="187" spans="1:29" x14ac:dyDescent="0.25">
      <c r="A187" t="str">
        <f t="shared" si="3"/>
        <v xml:space="preserve">1015473GOBFED 290531       </v>
      </c>
      <c r="B187" s="71">
        <v>1015473</v>
      </c>
      <c r="C187" s="71" t="s">
        <v>660</v>
      </c>
      <c r="D187" s="71" t="s">
        <v>383</v>
      </c>
      <c r="E187" s="71" t="s">
        <v>623</v>
      </c>
      <c r="F187" s="71" t="s">
        <v>624</v>
      </c>
      <c r="G187" s="74">
        <v>24530</v>
      </c>
      <c r="H187" s="72">
        <v>86.197128000000006</v>
      </c>
      <c r="I187" s="73">
        <v>2114415.54984</v>
      </c>
      <c r="J187" s="72">
        <v>89.62414919991032</v>
      </c>
      <c r="K187" s="73">
        <v>-84064.830033799997</v>
      </c>
      <c r="L187" s="74">
        <v>0</v>
      </c>
      <c r="M187" s="73">
        <v>0</v>
      </c>
      <c r="N187" s="74">
        <v>0</v>
      </c>
      <c r="O187" s="73">
        <v>0</v>
      </c>
      <c r="P187" s="74">
        <v>24530</v>
      </c>
      <c r="Q187" s="73">
        <v>2114415.54984</v>
      </c>
      <c r="R187" s="71" t="s">
        <v>625</v>
      </c>
      <c r="S187" s="71">
        <v>7414000005</v>
      </c>
      <c r="W187" s="3">
        <v>65507684270</v>
      </c>
      <c r="X187">
        <v>73521122.644917995</v>
      </c>
      <c r="AB187"/>
      <c r="AC187"/>
    </row>
    <row r="188" spans="1:29" x14ac:dyDescent="0.25">
      <c r="A188" t="str">
        <f t="shared" si="3"/>
        <v xml:space="preserve">1015473GOBFED 310529       </v>
      </c>
      <c r="B188" s="71">
        <v>1015473</v>
      </c>
      <c r="C188" s="71" t="s">
        <v>660</v>
      </c>
      <c r="D188" s="71" t="s">
        <v>427</v>
      </c>
      <c r="E188" s="71" t="s">
        <v>623</v>
      </c>
      <c r="F188" s="71" t="s">
        <v>624</v>
      </c>
      <c r="G188" s="74">
        <v>14897</v>
      </c>
      <c r="H188" s="72">
        <v>86.469353999999996</v>
      </c>
      <c r="I188" s="73">
        <v>1288133.9665379999</v>
      </c>
      <c r="J188" s="72">
        <v>90.762857651495608</v>
      </c>
      <c r="K188" s="73">
        <v>-63960.323896330003</v>
      </c>
      <c r="L188" s="74">
        <v>0</v>
      </c>
      <c r="M188" s="73">
        <v>0</v>
      </c>
      <c r="N188" s="74">
        <v>0</v>
      </c>
      <c r="O188" s="73">
        <v>0</v>
      </c>
      <c r="P188" s="74">
        <v>14897</v>
      </c>
      <c r="Q188" s="73">
        <v>1288133.9665379999</v>
      </c>
      <c r="R188" s="71" t="s">
        <v>625</v>
      </c>
      <c r="S188" s="71">
        <v>7414000005</v>
      </c>
      <c r="W188" s="3">
        <v>65507684389</v>
      </c>
      <c r="X188">
        <v>464909709.46544802</v>
      </c>
      <c r="AB188"/>
      <c r="AC188"/>
    </row>
    <row r="189" spans="1:29" x14ac:dyDescent="0.25">
      <c r="A189" t="str">
        <f t="shared" si="3"/>
        <v xml:space="preserve">1015473GOBFED 330526       </v>
      </c>
      <c r="B189" s="71">
        <v>1015473</v>
      </c>
      <c r="C189" s="71" t="s">
        <v>660</v>
      </c>
      <c r="D189" s="71" t="s">
        <v>418</v>
      </c>
      <c r="E189" s="71" t="s">
        <v>623</v>
      </c>
      <c r="F189" s="71" t="s">
        <v>624</v>
      </c>
      <c r="G189" s="74">
        <v>863</v>
      </c>
      <c r="H189" s="72">
        <v>101.45096599999999</v>
      </c>
      <c r="I189" s="73">
        <v>87552.183657999994</v>
      </c>
      <c r="J189" s="72">
        <v>114.11447106</v>
      </c>
      <c r="K189" s="73">
        <v>-10928.604866780001</v>
      </c>
      <c r="L189" s="74">
        <v>0</v>
      </c>
      <c r="M189" s="73">
        <v>0</v>
      </c>
      <c r="N189" s="74">
        <v>0</v>
      </c>
      <c r="O189" s="73">
        <v>0</v>
      </c>
      <c r="P189" s="74">
        <v>863</v>
      </c>
      <c r="Q189" s="73">
        <v>87552.183657999994</v>
      </c>
      <c r="R189" s="71" t="s">
        <v>625</v>
      </c>
      <c r="S189" s="71">
        <v>7414000005</v>
      </c>
      <c r="W189" s="3">
        <v>1033795</v>
      </c>
      <c r="X189">
        <v>11634623.918634001</v>
      </c>
      <c r="AB189"/>
      <c r="AC189"/>
    </row>
    <row r="190" spans="1:29" x14ac:dyDescent="0.25">
      <c r="A190" t="str">
        <f t="shared" si="3"/>
        <v xml:space="preserve">1015473GOBFED 341123       </v>
      </c>
      <c r="B190" s="71">
        <v>1015473</v>
      </c>
      <c r="C190" s="71" t="s">
        <v>660</v>
      </c>
      <c r="D190" s="71" t="s">
        <v>408</v>
      </c>
      <c r="E190" s="71" t="s">
        <v>623</v>
      </c>
      <c r="F190" s="71" t="s">
        <v>624</v>
      </c>
      <c r="G190" s="74">
        <v>735</v>
      </c>
      <c r="H190" s="72">
        <v>89.643172000000007</v>
      </c>
      <c r="I190" s="73">
        <v>65887.731419999996</v>
      </c>
      <c r="J190" s="72">
        <v>108.47711812999999</v>
      </c>
      <c r="K190" s="73">
        <v>-13842.95040555</v>
      </c>
      <c r="L190" s="74">
        <v>0</v>
      </c>
      <c r="M190" s="73">
        <v>0</v>
      </c>
      <c r="N190" s="74">
        <v>0</v>
      </c>
      <c r="O190" s="73">
        <v>0</v>
      </c>
      <c r="P190" s="74">
        <v>735</v>
      </c>
      <c r="Q190" s="73">
        <v>65887.731419999996</v>
      </c>
      <c r="R190" s="71" t="s">
        <v>625</v>
      </c>
      <c r="S190" s="71">
        <v>7414000005</v>
      </c>
      <c r="W190" s="3">
        <v>1033796</v>
      </c>
      <c r="X190">
        <v>737.09952399999997</v>
      </c>
      <c r="AB190"/>
      <c r="AC190"/>
    </row>
    <row r="191" spans="1:29" x14ac:dyDescent="0.25">
      <c r="A191" t="str">
        <f t="shared" si="3"/>
        <v xml:space="preserve">1015473GOBFED 361120       </v>
      </c>
      <c r="B191" s="71">
        <v>1015473</v>
      </c>
      <c r="C191" s="71" t="s">
        <v>660</v>
      </c>
      <c r="D191" s="71" t="s">
        <v>384</v>
      </c>
      <c r="E191" s="71" t="s">
        <v>623</v>
      </c>
      <c r="F191" s="71" t="s">
        <v>624</v>
      </c>
      <c r="G191" s="74">
        <v>16762</v>
      </c>
      <c r="H191" s="72">
        <v>81.738860000000003</v>
      </c>
      <c r="I191" s="73">
        <v>1370106.7713200001</v>
      </c>
      <c r="J191" s="72">
        <v>86.366601686218829</v>
      </c>
      <c r="K191" s="73">
        <v>-77570.206144399999</v>
      </c>
      <c r="L191" s="74">
        <v>0</v>
      </c>
      <c r="M191" s="73">
        <v>0</v>
      </c>
      <c r="N191" s="74">
        <v>0</v>
      </c>
      <c r="O191" s="73">
        <v>0</v>
      </c>
      <c r="P191" s="74">
        <v>16762</v>
      </c>
      <c r="Q191" s="73">
        <v>1370106.7713200001</v>
      </c>
      <c r="R191" s="71" t="s">
        <v>625</v>
      </c>
      <c r="S191" s="71">
        <v>7414000005</v>
      </c>
      <c r="W191" s="3">
        <v>1032902</v>
      </c>
      <c r="X191">
        <v>15887015.147024</v>
      </c>
      <c r="AB191"/>
      <c r="AC191"/>
    </row>
    <row r="192" spans="1:29" x14ac:dyDescent="0.25">
      <c r="A192" t="str">
        <f t="shared" si="3"/>
        <v xml:space="preserve">1015473GOBFED 381118       </v>
      </c>
      <c r="B192" s="71">
        <v>1015473</v>
      </c>
      <c r="C192" s="71" t="s">
        <v>660</v>
      </c>
      <c r="D192" s="71" t="s">
        <v>385</v>
      </c>
      <c r="E192" s="71" t="s">
        <v>623</v>
      </c>
      <c r="F192" s="71" t="s">
        <v>624</v>
      </c>
      <c r="G192" s="74">
        <v>3135</v>
      </c>
      <c r="H192" s="72">
        <v>83.200761</v>
      </c>
      <c r="I192" s="73">
        <v>260834.38573499999</v>
      </c>
      <c r="J192" s="72">
        <v>94.401034177942577</v>
      </c>
      <c r="K192" s="73">
        <v>-35112.85641285</v>
      </c>
      <c r="L192" s="74">
        <v>0</v>
      </c>
      <c r="M192" s="73">
        <v>0</v>
      </c>
      <c r="N192" s="74">
        <v>0</v>
      </c>
      <c r="O192" s="73">
        <v>0</v>
      </c>
      <c r="P192" s="74">
        <v>3135</v>
      </c>
      <c r="Q192" s="73">
        <v>260834.38573499999</v>
      </c>
      <c r="R192" s="71" t="s">
        <v>625</v>
      </c>
      <c r="S192" s="71">
        <v>7414000005</v>
      </c>
      <c r="W192" s="3">
        <v>1034700</v>
      </c>
      <c r="X192">
        <v>6097351.8011959996</v>
      </c>
      <c r="AB192"/>
      <c r="AC192"/>
    </row>
    <row r="193" spans="1:29" x14ac:dyDescent="0.25">
      <c r="A193" t="str">
        <f t="shared" si="3"/>
        <v xml:space="preserve">1015473GOBFED 421113       </v>
      </c>
      <c r="B193" s="71">
        <v>1015473</v>
      </c>
      <c r="C193" s="71" t="s">
        <v>660</v>
      </c>
      <c r="D193" s="71" t="s">
        <v>386</v>
      </c>
      <c r="E193" s="71" t="s">
        <v>623</v>
      </c>
      <c r="F193" s="71" t="s">
        <v>624</v>
      </c>
      <c r="G193" s="74">
        <v>28277</v>
      </c>
      <c r="H193" s="72">
        <v>82.159907000000004</v>
      </c>
      <c r="I193" s="73">
        <v>2323235.6902390001</v>
      </c>
      <c r="J193" s="72">
        <v>84.062520635517913</v>
      </c>
      <c r="K193" s="73">
        <v>-53800.205771540001</v>
      </c>
      <c r="L193" s="74">
        <v>0</v>
      </c>
      <c r="M193" s="73">
        <v>0</v>
      </c>
      <c r="N193" s="74">
        <v>0</v>
      </c>
      <c r="O193" s="73">
        <v>0</v>
      </c>
      <c r="P193" s="74">
        <v>28277</v>
      </c>
      <c r="Q193" s="73">
        <v>2323235.6902390001</v>
      </c>
      <c r="R193" s="71" t="s">
        <v>625</v>
      </c>
      <c r="S193" s="71">
        <v>7414000005</v>
      </c>
      <c r="W193" s="3">
        <v>65507747706</v>
      </c>
      <c r="X193">
        <v>2988249.0251039998</v>
      </c>
      <c r="AB193"/>
      <c r="AC193"/>
    </row>
    <row r="194" spans="1:29" x14ac:dyDescent="0.25">
      <c r="A194" t="str">
        <f t="shared" si="3"/>
        <v xml:space="preserve">1015473GOBFED 471107       </v>
      </c>
      <c r="B194" s="71">
        <v>1015473</v>
      </c>
      <c r="C194" s="71" t="s">
        <v>660</v>
      </c>
      <c r="D194" s="71" t="s">
        <v>428</v>
      </c>
      <c r="E194" s="71" t="s">
        <v>623</v>
      </c>
      <c r="F194" s="71" t="s">
        <v>624</v>
      </c>
      <c r="G194" s="74">
        <v>0</v>
      </c>
      <c r="H194" s="72">
        <v>0</v>
      </c>
      <c r="I194" s="73">
        <v>0</v>
      </c>
      <c r="J194" s="72">
        <v>0</v>
      </c>
      <c r="K194" s="73">
        <v>0</v>
      </c>
      <c r="L194" s="74">
        <v>0</v>
      </c>
      <c r="M194" s="73">
        <v>0</v>
      </c>
      <c r="N194" s="74">
        <v>0</v>
      </c>
      <c r="O194" s="73">
        <v>0</v>
      </c>
      <c r="P194" s="74">
        <v>0</v>
      </c>
      <c r="Q194" s="73">
        <v>0</v>
      </c>
      <c r="R194" s="71" t="s">
        <v>625</v>
      </c>
      <c r="S194" s="71">
        <v>7414000005</v>
      </c>
      <c r="W194" s="3">
        <v>65507430562</v>
      </c>
      <c r="X194">
        <v>219370869.39074799</v>
      </c>
      <c r="AB194"/>
      <c r="AC194"/>
    </row>
    <row r="195" spans="1:29" x14ac:dyDescent="0.25">
      <c r="A195" t="str">
        <f t="shared" si="3"/>
        <v xml:space="preserve">1015473GOBFED 530731       </v>
      </c>
      <c r="B195" s="71">
        <v>1015473</v>
      </c>
      <c r="C195" s="71" t="s">
        <v>660</v>
      </c>
      <c r="D195" s="71" t="s">
        <v>429</v>
      </c>
      <c r="E195" s="71" t="s">
        <v>623</v>
      </c>
      <c r="F195" s="71" t="s">
        <v>624</v>
      </c>
      <c r="G195" s="74">
        <v>21690</v>
      </c>
      <c r="H195" s="72">
        <v>98.007834000000003</v>
      </c>
      <c r="I195" s="73">
        <v>2125789.91946</v>
      </c>
      <c r="J195" s="72">
        <v>89.821179151327797</v>
      </c>
      <c r="K195" s="73">
        <v>177568.5436677</v>
      </c>
      <c r="L195" s="74">
        <v>0</v>
      </c>
      <c r="M195" s="73">
        <v>0</v>
      </c>
      <c r="N195" s="74">
        <v>0</v>
      </c>
      <c r="O195" s="73">
        <v>0</v>
      </c>
      <c r="P195" s="74">
        <v>21690</v>
      </c>
      <c r="Q195" s="73">
        <v>2125789.91946</v>
      </c>
      <c r="R195" s="71" t="s">
        <v>625</v>
      </c>
      <c r="S195" s="71">
        <v>7414000005</v>
      </c>
      <c r="W195" s="3">
        <v>1031340</v>
      </c>
      <c r="X195">
        <v>32195624.158808</v>
      </c>
      <c r="AB195"/>
      <c r="AC195"/>
    </row>
    <row r="196" spans="1:29" x14ac:dyDescent="0.25">
      <c r="A196" t="str">
        <f t="shared" si="3"/>
        <v xml:space="preserve">1015473LIVEPOL 19          </v>
      </c>
      <c r="B196" s="71">
        <v>1015473</v>
      </c>
      <c r="C196" s="71" t="s">
        <v>660</v>
      </c>
      <c r="D196" s="71" t="s">
        <v>430</v>
      </c>
      <c r="E196" s="71" t="s">
        <v>623</v>
      </c>
      <c r="F196" s="71" t="s">
        <v>624</v>
      </c>
      <c r="G196" s="74">
        <v>4188210</v>
      </c>
      <c r="H196" s="72">
        <v>3.1390400000000001</v>
      </c>
      <c r="I196" s="73">
        <v>13146958.7184</v>
      </c>
      <c r="J196" s="72">
        <v>2.374308757201764</v>
      </c>
      <c r="K196" s="73">
        <v>3202855.0384</v>
      </c>
      <c r="L196" s="74">
        <v>0</v>
      </c>
      <c r="M196" s="73">
        <v>0</v>
      </c>
      <c r="N196" s="74">
        <v>0</v>
      </c>
      <c r="O196" s="73">
        <v>0</v>
      </c>
      <c r="P196" s="74">
        <v>4188210</v>
      </c>
      <c r="Q196" s="73">
        <v>13146958.7184</v>
      </c>
      <c r="R196" s="71" t="s">
        <v>625</v>
      </c>
      <c r="S196" s="71">
        <v>7414000005</v>
      </c>
      <c r="W196" s="3">
        <v>65507895505</v>
      </c>
      <c r="X196">
        <v>5848028.7495429991</v>
      </c>
      <c r="AB196"/>
      <c r="AC196"/>
    </row>
    <row r="197" spans="1:29" x14ac:dyDescent="0.25">
      <c r="A197" t="str">
        <f t="shared" si="3"/>
        <v xml:space="preserve">1015473PEMEX 13-2          </v>
      </c>
      <c r="B197" s="71">
        <v>1015473</v>
      </c>
      <c r="C197" s="71" t="s">
        <v>660</v>
      </c>
      <c r="D197" s="71" t="s">
        <v>389</v>
      </c>
      <c r="E197" s="71" t="s">
        <v>623</v>
      </c>
      <c r="F197" s="71" t="s">
        <v>624</v>
      </c>
      <c r="G197" s="74">
        <v>847437</v>
      </c>
      <c r="H197" s="72">
        <v>3.3967719999999999</v>
      </c>
      <c r="I197" s="73">
        <v>2878550.273364</v>
      </c>
      <c r="J197" s="72">
        <v>3.3030302075552518</v>
      </c>
      <c r="K197" s="73">
        <v>79440.263363999999</v>
      </c>
      <c r="L197" s="74">
        <v>0</v>
      </c>
      <c r="M197" s="73">
        <v>0</v>
      </c>
      <c r="N197" s="74">
        <v>0</v>
      </c>
      <c r="O197" s="73">
        <v>0</v>
      </c>
      <c r="P197" s="74">
        <v>847437</v>
      </c>
      <c r="Q197" s="73">
        <v>2878550.273364</v>
      </c>
      <c r="R197" s="71" t="s">
        <v>625</v>
      </c>
      <c r="S197" s="71">
        <v>7414000005</v>
      </c>
      <c r="W197" s="3">
        <v>1036613</v>
      </c>
      <c r="X197">
        <v>136726683.61000001</v>
      </c>
      <c r="AB197"/>
      <c r="AC197"/>
    </row>
    <row r="198" spans="1:29" x14ac:dyDescent="0.25">
      <c r="A198" t="str">
        <f t="shared" si="3"/>
        <v xml:space="preserve">1015473ST&amp;ER-C ED          </v>
      </c>
      <c r="B198" s="71">
        <v>1015473</v>
      </c>
      <c r="C198" s="71" t="s">
        <v>660</v>
      </c>
      <c r="D198" s="71" t="s">
        <v>391</v>
      </c>
      <c r="E198" s="71" t="s">
        <v>623</v>
      </c>
      <c r="F198" s="71" t="s">
        <v>624</v>
      </c>
      <c r="G198" s="74">
        <v>2308</v>
      </c>
      <c r="H198" s="72">
        <v>775.69178699999998</v>
      </c>
      <c r="I198" s="73">
        <v>1790296.6443960001</v>
      </c>
      <c r="J198" s="72">
        <v>766.69784126000002</v>
      </c>
      <c r="K198" s="73">
        <v>20758.026767920001</v>
      </c>
      <c r="L198" s="74">
        <v>0</v>
      </c>
      <c r="M198" s="73">
        <v>0</v>
      </c>
      <c r="N198" s="74">
        <v>0</v>
      </c>
      <c r="O198" s="73">
        <v>0</v>
      </c>
      <c r="P198" s="74">
        <v>2308</v>
      </c>
      <c r="Q198" s="73">
        <v>1790296.6443960001</v>
      </c>
      <c r="R198" s="71" t="s">
        <v>625</v>
      </c>
      <c r="S198" s="71">
        <v>7414000005</v>
      </c>
      <c r="W198" s="3">
        <v>1036691</v>
      </c>
      <c r="X198">
        <v>981466.69845200004</v>
      </c>
      <c r="AB198"/>
      <c r="AC198"/>
    </row>
    <row r="199" spans="1:29" x14ac:dyDescent="0.25">
      <c r="A199" t="str">
        <f t="shared" ref="A199:A262" si="4">B197&amp;D197</f>
        <v xml:space="preserve">1015473STERGOB ED          </v>
      </c>
      <c r="B199" s="71">
        <v>1015473</v>
      </c>
      <c r="C199" s="71" t="s">
        <v>660</v>
      </c>
      <c r="D199" s="71" t="s">
        <v>392</v>
      </c>
      <c r="E199" s="71" t="s">
        <v>623</v>
      </c>
      <c r="F199" s="71" t="s">
        <v>624</v>
      </c>
      <c r="G199" s="74">
        <v>3687</v>
      </c>
      <c r="H199" s="72">
        <v>747.17843200000004</v>
      </c>
      <c r="I199" s="73">
        <v>2754846.8787839999</v>
      </c>
      <c r="J199" s="72">
        <v>723.89957231611061</v>
      </c>
      <c r="K199" s="73">
        <v>85829.155654500006</v>
      </c>
      <c r="L199" s="74">
        <v>0</v>
      </c>
      <c r="M199" s="73">
        <v>0</v>
      </c>
      <c r="N199" s="74">
        <v>0</v>
      </c>
      <c r="O199" s="73">
        <v>0</v>
      </c>
      <c r="P199" s="74">
        <v>3687</v>
      </c>
      <c r="Q199" s="73">
        <v>2754846.8787839999</v>
      </c>
      <c r="R199" s="71" t="s">
        <v>625</v>
      </c>
      <c r="S199" s="71">
        <v>7414000005</v>
      </c>
      <c r="W199" s="3">
        <v>65507142173</v>
      </c>
      <c r="X199">
        <v>739470.93246499996</v>
      </c>
      <c r="AB199"/>
      <c r="AC199"/>
    </row>
    <row r="200" spans="1:29" x14ac:dyDescent="0.25">
      <c r="A200" t="str">
        <f t="shared" si="4"/>
        <v xml:space="preserve">1015473UDIBONO 251204      </v>
      </c>
      <c r="B200" s="71">
        <v>1015473</v>
      </c>
      <c r="C200" s="71" t="s">
        <v>660</v>
      </c>
      <c r="D200" s="71" t="s">
        <v>393</v>
      </c>
      <c r="E200" s="71" t="s">
        <v>623</v>
      </c>
      <c r="F200" s="71" t="s">
        <v>624</v>
      </c>
      <c r="G200" s="74">
        <v>1155</v>
      </c>
      <c r="H200" s="72">
        <v>765.92388300000005</v>
      </c>
      <c r="I200" s="73">
        <v>884642.08486499998</v>
      </c>
      <c r="J200" s="72">
        <v>752.73890871038964</v>
      </c>
      <c r="K200" s="73">
        <v>15228.6453045</v>
      </c>
      <c r="L200" s="74">
        <v>0</v>
      </c>
      <c r="M200" s="73">
        <v>0</v>
      </c>
      <c r="N200" s="74">
        <v>0</v>
      </c>
      <c r="O200" s="73">
        <v>0</v>
      </c>
      <c r="P200" s="74">
        <v>1155</v>
      </c>
      <c r="Q200" s="73">
        <v>884642.08486499998</v>
      </c>
      <c r="R200" s="71" t="s">
        <v>625</v>
      </c>
      <c r="S200" s="71">
        <v>7414000005</v>
      </c>
      <c r="W200" s="3">
        <v>65507143699</v>
      </c>
      <c r="X200">
        <v>469565.06172900001</v>
      </c>
      <c r="AB200"/>
      <c r="AC200"/>
    </row>
    <row r="201" spans="1:29" x14ac:dyDescent="0.25">
      <c r="A201" t="str">
        <f t="shared" si="4"/>
        <v xml:space="preserve">1015473UDIBONO 261203      </v>
      </c>
      <c r="B201" s="71">
        <v>1015473</v>
      </c>
      <c r="C201" s="71" t="s">
        <v>660</v>
      </c>
      <c r="D201" s="71" t="s">
        <v>394</v>
      </c>
      <c r="E201" s="71" t="s">
        <v>623</v>
      </c>
      <c r="F201" s="71" t="s">
        <v>624</v>
      </c>
      <c r="G201" s="74">
        <v>2111</v>
      </c>
      <c r="H201" s="72">
        <v>684.88915799999995</v>
      </c>
      <c r="I201" s="73">
        <v>1445801.012538</v>
      </c>
      <c r="J201" s="72">
        <v>680.64370190023681</v>
      </c>
      <c r="K201" s="73">
        <v>8962.1578265999997</v>
      </c>
      <c r="L201" s="74">
        <v>0</v>
      </c>
      <c r="M201" s="73">
        <v>0</v>
      </c>
      <c r="N201" s="74">
        <v>0</v>
      </c>
      <c r="O201" s="73">
        <v>0</v>
      </c>
      <c r="P201" s="74">
        <v>2111</v>
      </c>
      <c r="Q201" s="73">
        <v>1445801.012538</v>
      </c>
      <c r="R201" s="71" t="s">
        <v>625</v>
      </c>
      <c r="S201" s="71">
        <v>7414000005</v>
      </c>
      <c r="W201" s="3">
        <v>65507143745</v>
      </c>
      <c r="X201">
        <v>296669.94669900002</v>
      </c>
      <c r="AB201"/>
      <c r="AC201"/>
    </row>
    <row r="202" spans="1:29" x14ac:dyDescent="0.25">
      <c r="A202" t="str">
        <f t="shared" si="4"/>
        <v xml:space="preserve">1015473UDIBONO 281130      </v>
      </c>
      <c r="B202" s="71">
        <v>1015473</v>
      </c>
      <c r="C202" s="71" t="s">
        <v>660</v>
      </c>
      <c r="D202" s="71" t="s">
        <v>395</v>
      </c>
      <c r="E202" s="71" t="s">
        <v>623</v>
      </c>
      <c r="F202" s="71" t="s">
        <v>624</v>
      </c>
      <c r="G202" s="74">
        <v>1208</v>
      </c>
      <c r="H202" s="72">
        <v>772.926965</v>
      </c>
      <c r="I202" s="73">
        <v>933695.77372000006</v>
      </c>
      <c r="J202" s="72">
        <v>801.70523519389076</v>
      </c>
      <c r="K202" s="73">
        <v>-34764.15039422</v>
      </c>
      <c r="L202" s="74">
        <v>0</v>
      </c>
      <c r="M202" s="73">
        <v>0</v>
      </c>
      <c r="N202" s="74">
        <v>0</v>
      </c>
      <c r="O202" s="73">
        <v>0</v>
      </c>
      <c r="P202" s="74">
        <v>1208</v>
      </c>
      <c r="Q202" s="73">
        <v>933695.77372000006</v>
      </c>
      <c r="R202" s="71" t="s">
        <v>625</v>
      </c>
      <c r="S202" s="71">
        <v>7414000005</v>
      </c>
      <c r="W202" s="3">
        <v>1033811</v>
      </c>
      <c r="X202">
        <v>3248841.5216000001</v>
      </c>
      <c r="AB202"/>
      <c r="AC202"/>
    </row>
    <row r="203" spans="1:29" x14ac:dyDescent="0.25">
      <c r="A203" t="str">
        <f t="shared" si="4"/>
        <v xml:space="preserve">1015473UDIBONO 311127      </v>
      </c>
      <c r="B203" s="71">
        <v>1015473</v>
      </c>
      <c r="C203" s="71" t="s">
        <v>660</v>
      </c>
      <c r="D203" s="71" t="s">
        <v>396</v>
      </c>
      <c r="E203" s="71" t="s">
        <v>623</v>
      </c>
      <c r="F203" s="71" t="s">
        <v>624</v>
      </c>
      <c r="G203" s="74">
        <v>1315</v>
      </c>
      <c r="H203" s="72">
        <v>721.59464000000003</v>
      </c>
      <c r="I203" s="73">
        <v>948896.95160000003</v>
      </c>
      <c r="J203" s="72">
        <v>757.25098799905709</v>
      </c>
      <c r="K203" s="73">
        <v>-46888.097618760003</v>
      </c>
      <c r="L203" s="74">
        <v>0</v>
      </c>
      <c r="M203" s="73">
        <v>0</v>
      </c>
      <c r="N203" s="74">
        <v>0</v>
      </c>
      <c r="O203" s="73">
        <v>0</v>
      </c>
      <c r="P203" s="74">
        <v>1315</v>
      </c>
      <c r="Q203" s="73">
        <v>948896.95160000003</v>
      </c>
      <c r="R203" s="71" t="s">
        <v>625</v>
      </c>
      <c r="S203" s="71">
        <v>7414000005</v>
      </c>
      <c r="W203" s="3">
        <v>1037087</v>
      </c>
      <c r="X203">
        <v>18359.321096</v>
      </c>
      <c r="AB203"/>
      <c r="AC203"/>
    </row>
    <row r="204" spans="1:29" x14ac:dyDescent="0.25">
      <c r="A204" t="str">
        <f t="shared" si="4"/>
        <v xml:space="preserve">1015473UDIBONO 351122      </v>
      </c>
      <c r="B204" s="71">
        <v>1015473</v>
      </c>
      <c r="C204" s="71" t="s">
        <v>660</v>
      </c>
      <c r="D204" s="71" t="s">
        <v>397</v>
      </c>
      <c r="E204" s="71" t="s">
        <v>623</v>
      </c>
      <c r="F204" s="71" t="s">
        <v>624</v>
      </c>
      <c r="G204" s="74">
        <v>703</v>
      </c>
      <c r="H204" s="72">
        <v>635.96311900000001</v>
      </c>
      <c r="I204" s="73">
        <v>447082.07265699998</v>
      </c>
      <c r="J204" s="72">
        <v>647.93802047999998</v>
      </c>
      <c r="K204" s="73">
        <v>-8418.3557404399999</v>
      </c>
      <c r="L204" s="74">
        <v>0</v>
      </c>
      <c r="M204" s="73">
        <v>0</v>
      </c>
      <c r="N204" s="74">
        <v>0</v>
      </c>
      <c r="O204" s="73">
        <v>0</v>
      </c>
      <c r="P204" s="74">
        <v>703</v>
      </c>
      <c r="Q204" s="73">
        <v>447082.07265699998</v>
      </c>
      <c r="R204" s="71" t="s">
        <v>625</v>
      </c>
      <c r="S204" s="71">
        <v>7414000005</v>
      </c>
      <c r="W204" s="3">
        <v>1037090</v>
      </c>
      <c r="X204">
        <v>16704197.451416001</v>
      </c>
      <c r="AB204"/>
      <c r="AC204"/>
    </row>
    <row r="205" spans="1:29" x14ac:dyDescent="0.25">
      <c r="A205" t="str">
        <f t="shared" si="4"/>
        <v xml:space="preserve">1015473UDIBONO 401115      </v>
      </c>
      <c r="B205" s="71">
        <v>1015473</v>
      </c>
      <c r="C205" s="71" t="s">
        <v>660</v>
      </c>
      <c r="D205" s="71" t="s">
        <v>398</v>
      </c>
      <c r="E205" s="71" t="s">
        <v>623</v>
      </c>
      <c r="F205" s="71" t="s">
        <v>624</v>
      </c>
      <c r="G205" s="74">
        <v>1585</v>
      </c>
      <c r="H205" s="72">
        <v>709.36974099999998</v>
      </c>
      <c r="I205" s="73">
        <v>1124351.0394850001</v>
      </c>
      <c r="J205" s="72">
        <v>724.70531170327445</v>
      </c>
      <c r="K205" s="73">
        <v>-24306.87956469</v>
      </c>
      <c r="L205" s="74">
        <v>0</v>
      </c>
      <c r="M205" s="73">
        <v>0</v>
      </c>
      <c r="N205" s="74">
        <v>0</v>
      </c>
      <c r="O205" s="73">
        <v>0</v>
      </c>
      <c r="P205" s="74">
        <v>1585</v>
      </c>
      <c r="Q205" s="73">
        <v>1124351.0394850001</v>
      </c>
      <c r="R205" s="71" t="s">
        <v>625</v>
      </c>
      <c r="S205" s="71">
        <v>7414000005</v>
      </c>
      <c r="W205" s="3">
        <v>1037113</v>
      </c>
      <c r="X205">
        <v>7989275.5879040007</v>
      </c>
      <c r="AB205"/>
      <c r="AC205"/>
    </row>
    <row r="206" spans="1:29" x14ac:dyDescent="0.25">
      <c r="A206" t="str">
        <f t="shared" si="4"/>
        <v xml:space="preserve">1015473UDIBONO 431112      </v>
      </c>
      <c r="B206" s="71">
        <v>1015473</v>
      </c>
      <c r="C206" s="71" t="s">
        <v>660</v>
      </c>
      <c r="D206" s="71" t="s">
        <v>399</v>
      </c>
      <c r="E206" s="71" t="s">
        <v>623</v>
      </c>
      <c r="F206" s="71" t="s">
        <v>624</v>
      </c>
      <c r="G206" s="74">
        <v>2848</v>
      </c>
      <c r="H206" s="72">
        <v>694.41118700000004</v>
      </c>
      <c r="I206" s="73">
        <v>1977683.060576</v>
      </c>
      <c r="J206" s="72">
        <v>725.77152153504915</v>
      </c>
      <c r="K206" s="73">
        <v>-89314.232755820005</v>
      </c>
      <c r="L206" s="74">
        <v>0</v>
      </c>
      <c r="M206" s="73">
        <v>0</v>
      </c>
      <c r="N206" s="74">
        <v>0</v>
      </c>
      <c r="O206" s="73">
        <v>0</v>
      </c>
      <c r="P206" s="74">
        <v>2848</v>
      </c>
      <c r="Q206" s="73">
        <v>1977683.060576</v>
      </c>
      <c r="R206" s="71" t="s">
        <v>625</v>
      </c>
      <c r="S206" s="71">
        <v>7414000005</v>
      </c>
      <c r="W206" s="3">
        <v>1037115</v>
      </c>
      <c r="X206">
        <v>11248503.419558</v>
      </c>
      <c r="AB206"/>
      <c r="AC206"/>
    </row>
    <row r="207" spans="1:29" x14ac:dyDescent="0.25">
      <c r="A207" t="str">
        <f t="shared" si="4"/>
        <v xml:space="preserve">1015473UDIBONO 461108      </v>
      </c>
      <c r="B207" s="71">
        <v>1015474</v>
      </c>
      <c r="C207" s="71" t="s">
        <v>660</v>
      </c>
      <c r="D207" s="71" t="s">
        <v>422</v>
      </c>
      <c r="E207" s="71" t="s">
        <v>623</v>
      </c>
      <c r="F207" s="71" t="s">
        <v>624</v>
      </c>
      <c r="G207" s="74">
        <v>517</v>
      </c>
      <c r="H207" s="72">
        <v>97.654420999999999</v>
      </c>
      <c r="I207" s="73">
        <v>50487.335657000003</v>
      </c>
      <c r="J207" s="72">
        <v>98.224185000000006</v>
      </c>
      <c r="K207" s="73">
        <v>-294.56798800000001</v>
      </c>
      <c r="L207" s="74">
        <v>0</v>
      </c>
      <c r="M207" s="73">
        <v>0</v>
      </c>
      <c r="N207" s="74">
        <v>0</v>
      </c>
      <c r="O207" s="73">
        <v>0</v>
      </c>
      <c r="P207" s="74">
        <v>517</v>
      </c>
      <c r="Q207" s="73">
        <v>50487.335657000003</v>
      </c>
      <c r="R207" s="71" t="s">
        <v>625</v>
      </c>
      <c r="S207" s="71">
        <v>7414000005</v>
      </c>
      <c r="W207" s="3">
        <v>1037117</v>
      </c>
      <c r="X207">
        <v>8890963.5312760007</v>
      </c>
      <c r="AB207"/>
      <c r="AC207"/>
    </row>
    <row r="208" spans="1:29" x14ac:dyDescent="0.25">
      <c r="A208" t="str">
        <f t="shared" si="4"/>
        <v xml:space="preserve">1015473UDIBONO 501103      </v>
      </c>
      <c r="B208" s="71">
        <v>1015474</v>
      </c>
      <c r="C208" s="71" t="s">
        <v>660</v>
      </c>
      <c r="D208" s="71" t="s">
        <v>363</v>
      </c>
      <c r="E208" s="71" t="s">
        <v>623</v>
      </c>
      <c r="F208" s="71" t="s">
        <v>624</v>
      </c>
      <c r="G208" s="74">
        <v>111169</v>
      </c>
      <c r="H208" s="72">
        <v>9.4935880000000008</v>
      </c>
      <c r="I208" s="73">
        <v>1055392.6843719999</v>
      </c>
      <c r="J208" s="72">
        <v>8.4405498100000003</v>
      </c>
      <c r="K208" s="73">
        <v>117065.20254411</v>
      </c>
      <c r="L208" s="74">
        <v>0</v>
      </c>
      <c r="M208" s="73">
        <v>0</v>
      </c>
      <c r="N208" s="74">
        <v>0</v>
      </c>
      <c r="O208" s="73">
        <v>0</v>
      </c>
      <c r="P208" s="74">
        <v>111169</v>
      </c>
      <c r="Q208" s="73">
        <v>1055392.6843719999</v>
      </c>
      <c r="R208" s="71" t="s">
        <v>625</v>
      </c>
      <c r="S208" s="71">
        <v>7414000005</v>
      </c>
      <c r="W208" s="3">
        <v>1037118</v>
      </c>
      <c r="X208">
        <v>14737348.621164</v>
      </c>
      <c r="AB208"/>
      <c r="AC208"/>
    </row>
    <row r="209" spans="1:29" x14ac:dyDescent="0.25">
      <c r="A209" t="str">
        <f t="shared" si="4"/>
        <v xml:space="preserve">1015474CETELEM 22          </v>
      </c>
      <c r="B209" s="71">
        <v>1015474</v>
      </c>
      <c r="C209" s="71" t="s">
        <v>660</v>
      </c>
      <c r="D209" s="71" t="s">
        <v>409</v>
      </c>
      <c r="E209" s="71" t="s">
        <v>623</v>
      </c>
      <c r="F209" s="71" t="s">
        <v>624</v>
      </c>
      <c r="G209" s="74">
        <v>151380</v>
      </c>
      <c r="H209" s="72">
        <v>9.3381629999999998</v>
      </c>
      <c r="I209" s="73">
        <v>1413611.11494</v>
      </c>
      <c r="J209" s="72">
        <v>8.3307969100000001</v>
      </c>
      <c r="K209" s="73">
        <v>152495.07870419999</v>
      </c>
      <c r="L209" s="74">
        <v>0</v>
      </c>
      <c r="M209" s="73">
        <v>0</v>
      </c>
      <c r="N209" s="74">
        <v>0</v>
      </c>
      <c r="O209" s="73">
        <v>0</v>
      </c>
      <c r="P209" s="74">
        <v>151380</v>
      </c>
      <c r="Q209" s="73">
        <v>1413611.11494</v>
      </c>
      <c r="R209" s="71" t="s">
        <v>625</v>
      </c>
      <c r="S209" s="71">
        <v>7414000005</v>
      </c>
      <c r="W209" s="3">
        <v>65501902345</v>
      </c>
      <c r="X209">
        <v>29211516.135896001</v>
      </c>
      <c r="AB209"/>
      <c r="AC209"/>
    </row>
    <row r="210" spans="1:29" x14ac:dyDescent="0.25">
      <c r="A210" t="str">
        <f t="shared" si="4"/>
        <v xml:space="preserve">1015474CETES 241003        </v>
      </c>
      <c r="B210" s="71">
        <v>1015474</v>
      </c>
      <c r="C210" s="71" t="s">
        <v>660</v>
      </c>
      <c r="D210" s="71" t="s">
        <v>375</v>
      </c>
      <c r="E210" s="71" t="s">
        <v>623</v>
      </c>
      <c r="F210" s="71" t="s">
        <v>624</v>
      </c>
      <c r="G210" s="74">
        <v>6408</v>
      </c>
      <c r="H210" s="72">
        <v>98.730349000000004</v>
      </c>
      <c r="I210" s="73">
        <v>632664.07639199996</v>
      </c>
      <c r="J210" s="72">
        <v>104.31018780918852</v>
      </c>
      <c r="K210" s="73">
        <v>-35755.607089279998</v>
      </c>
      <c r="L210" s="74">
        <v>0</v>
      </c>
      <c r="M210" s="73">
        <v>0</v>
      </c>
      <c r="N210" s="74">
        <v>0</v>
      </c>
      <c r="O210" s="73">
        <v>0</v>
      </c>
      <c r="P210" s="74">
        <v>6408</v>
      </c>
      <c r="Q210" s="73">
        <v>632664.07639199996</v>
      </c>
      <c r="R210" s="71" t="s">
        <v>625</v>
      </c>
      <c r="S210" s="71">
        <v>7414000005</v>
      </c>
      <c r="W210" s="3">
        <v>65502397418</v>
      </c>
      <c r="X210">
        <v>21732632.524448</v>
      </c>
      <c r="AB210"/>
      <c r="AC210"/>
    </row>
    <row r="211" spans="1:29" x14ac:dyDescent="0.25">
      <c r="A211" t="str">
        <f t="shared" si="4"/>
        <v xml:space="preserve">1015474CETES 241128        </v>
      </c>
      <c r="B211" s="71">
        <v>1015474</v>
      </c>
      <c r="C211" s="71" t="s">
        <v>660</v>
      </c>
      <c r="D211" s="71" t="s">
        <v>376</v>
      </c>
      <c r="E211" s="71" t="s">
        <v>623</v>
      </c>
      <c r="F211" s="71" t="s">
        <v>624</v>
      </c>
      <c r="G211" s="74">
        <v>7929</v>
      </c>
      <c r="H211" s="72">
        <v>99.247497999999993</v>
      </c>
      <c r="I211" s="73">
        <v>786933.41164199996</v>
      </c>
      <c r="J211" s="72">
        <v>112.2401488518817</v>
      </c>
      <c r="K211" s="73">
        <v>-103018.72860457</v>
      </c>
      <c r="L211" s="74">
        <v>0</v>
      </c>
      <c r="M211" s="73">
        <v>0</v>
      </c>
      <c r="N211" s="74">
        <v>0</v>
      </c>
      <c r="O211" s="73">
        <v>0</v>
      </c>
      <c r="P211" s="74">
        <v>7929</v>
      </c>
      <c r="Q211" s="73">
        <v>786933.41164199996</v>
      </c>
      <c r="R211" s="71" t="s">
        <v>625</v>
      </c>
      <c r="S211" s="71">
        <v>7414000005</v>
      </c>
      <c r="W211" s="3">
        <v>1036525</v>
      </c>
      <c r="X211">
        <v>2119073.3439429998</v>
      </c>
      <c r="AB211"/>
      <c r="AC211"/>
    </row>
    <row r="212" spans="1:29" x14ac:dyDescent="0.25">
      <c r="A212" t="str">
        <f t="shared" si="4"/>
        <v xml:space="preserve">1015474GOBFED 240905       </v>
      </c>
      <c r="B212" s="71">
        <v>1015474</v>
      </c>
      <c r="C212" s="71" t="s">
        <v>660</v>
      </c>
      <c r="D212" s="71" t="s">
        <v>377</v>
      </c>
      <c r="E212" s="71" t="s">
        <v>623</v>
      </c>
      <c r="F212" s="71" t="s">
        <v>624</v>
      </c>
      <c r="G212" s="74">
        <v>2610</v>
      </c>
      <c r="H212" s="72">
        <v>94.973146999999997</v>
      </c>
      <c r="I212" s="73">
        <v>247879.91367000001</v>
      </c>
      <c r="J212" s="72">
        <v>89.776975398927206</v>
      </c>
      <c r="K212" s="73">
        <v>13562.007878799999</v>
      </c>
      <c r="L212" s="74">
        <v>0</v>
      </c>
      <c r="M212" s="73">
        <v>0</v>
      </c>
      <c r="N212" s="74">
        <v>0</v>
      </c>
      <c r="O212" s="73">
        <v>0</v>
      </c>
      <c r="P212" s="74">
        <v>2610</v>
      </c>
      <c r="Q212" s="73">
        <v>247879.91367000001</v>
      </c>
      <c r="R212" s="71" t="s">
        <v>625</v>
      </c>
      <c r="S212" s="71">
        <v>7414000005</v>
      </c>
      <c r="W212" s="3">
        <v>1036526</v>
      </c>
      <c r="X212">
        <v>1067046.578792</v>
      </c>
      <c r="AB212"/>
      <c r="AC212"/>
    </row>
    <row r="213" spans="1:29" x14ac:dyDescent="0.25">
      <c r="A213" t="str">
        <f t="shared" si="4"/>
        <v xml:space="preserve">1015474GOBFED 241205       </v>
      </c>
      <c r="B213" s="71">
        <v>1015474</v>
      </c>
      <c r="C213" s="71" t="s">
        <v>660</v>
      </c>
      <c r="D213" s="71" t="s">
        <v>378</v>
      </c>
      <c r="E213" s="71" t="s">
        <v>623</v>
      </c>
      <c r="F213" s="71" t="s">
        <v>624</v>
      </c>
      <c r="G213" s="74">
        <v>8849</v>
      </c>
      <c r="H213" s="72">
        <v>91.911821000000003</v>
      </c>
      <c r="I213" s="73">
        <v>813327.70402900001</v>
      </c>
      <c r="J213" s="72">
        <v>93.2088459</v>
      </c>
      <c r="K213" s="73">
        <v>-11477.373340100001</v>
      </c>
      <c r="L213" s="74">
        <v>0</v>
      </c>
      <c r="M213" s="73">
        <v>0</v>
      </c>
      <c r="N213" s="74">
        <v>0</v>
      </c>
      <c r="O213" s="73">
        <v>0</v>
      </c>
      <c r="P213" s="74">
        <v>8849</v>
      </c>
      <c r="Q213" s="73">
        <v>813327.70402900001</v>
      </c>
      <c r="R213" s="71" t="s">
        <v>625</v>
      </c>
      <c r="S213" s="71">
        <v>7414000005</v>
      </c>
      <c r="W213" s="3">
        <v>1036527</v>
      </c>
      <c r="X213">
        <v>35638167.537603997</v>
      </c>
      <c r="AB213"/>
      <c r="AC213"/>
    </row>
    <row r="214" spans="1:29" x14ac:dyDescent="0.25">
      <c r="A214" t="str">
        <f t="shared" si="4"/>
        <v xml:space="preserve">1015474GOBFED 250306       </v>
      </c>
      <c r="B214" s="71">
        <v>1015474</v>
      </c>
      <c r="C214" s="71" t="s">
        <v>660</v>
      </c>
      <c r="D214" s="71" t="s">
        <v>499</v>
      </c>
      <c r="E214" s="71" t="s">
        <v>623</v>
      </c>
      <c r="F214" s="71" t="s">
        <v>624</v>
      </c>
      <c r="G214" s="74">
        <v>4630</v>
      </c>
      <c r="H214" s="72">
        <v>92.954503000000003</v>
      </c>
      <c r="I214" s="73">
        <v>430379.34889000002</v>
      </c>
      <c r="J214" s="72">
        <v>93.325851670388772</v>
      </c>
      <c r="K214" s="73">
        <v>-1719.3443439</v>
      </c>
      <c r="L214" s="74">
        <v>0</v>
      </c>
      <c r="M214" s="73">
        <v>0</v>
      </c>
      <c r="N214" s="74">
        <v>0</v>
      </c>
      <c r="O214" s="73">
        <v>0</v>
      </c>
      <c r="P214" s="74">
        <v>4630</v>
      </c>
      <c r="Q214" s="73">
        <v>430379.34889000002</v>
      </c>
      <c r="R214" s="71" t="s">
        <v>625</v>
      </c>
      <c r="S214" s="71">
        <v>7414000005</v>
      </c>
      <c r="W214" s="3">
        <v>1036528</v>
      </c>
      <c r="X214">
        <v>39490518.886013985</v>
      </c>
      <c r="AB214"/>
      <c r="AC214"/>
    </row>
    <row r="215" spans="1:29" x14ac:dyDescent="0.25">
      <c r="A215" t="str">
        <f t="shared" si="4"/>
        <v xml:space="preserve">1015474GOBFED 260305       </v>
      </c>
      <c r="B215" s="71">
        <v>1015474</v>
      </c>
      <c r="C215" s="71" t="s">
        <v>660</v>
      </c>
      <c r="D215" s="71" t="s">
        <v>379</v>
      </c>
      <c r="E215" s="71" t="s">
        <v>623</v>
      </c>
      <c r="F215" s="71" t="s">
        <v>624</v>
      </c>
      <c r="G215" s="74">
        <v>4584</v>
      </c>
      <c r="H215" s="72">
        <v>88.698122999999995</v>
      </c>
      <c r="I215" s="73">
        <v>406592.195832</v>
      </c>
      <c r="J215" s="72">
        <v>85.585976865994766</v>
      </c>
      <c r="K215" s="73">
        <v>14266.077878280001</v>
      </c>
      <c r="L215" s="74">
        <v>0</v>
      </c>
      <c r="M215" s="73">
        <v>0</v>
      </c>
      <c r="N215" s="74">
        <v>0</v>
      </c>
      <c r="O215" s="73">
        <v>0</v>
      </c>
      <c r="P215" s="74">
        <v>4584</v>
      </c>
      <c r="Q215" s="73">
        <v>406592.195832</v>
      </c>
      <c r="R215" s="71" t="s">
        <v>625</v>
      </c>
      <c r="S215" s="71">
        <v>7414000005</v>
      </c>
      <c r="W215" s="3">
        <v>1036529</v>
      </c>
      <c r="X215">
        <v>12520465.63951</v>
      </c>
      <c r="AB215"/>
      <c r="AC215"/>
    </row>
    <row r="216" spans="1:29" x14ac:dyDescent="0.25">
      <c r="A216" t="str">
        <f t="shared" si="4"/>
        <v xml:space="preserve">1015474GOBFED 260903       </v>
      </c>
      <c r="B216" s="71">
        <v>1015474</v>
      </c>
      <c r="C216" s="71" t="s">
        <v>660</v>
      </c>
      <c r="D216" s="71" t="s">
        <v>380</v>
      </c>
      <c r="E216" s="71" t="s">
        <v>623</v>
      </c>
      <c r="F216" s="71" t="s">
        <v>624</v>
      </c>
      <c r="G216" s="74">
        <v>8740</v>
      </c>
      <c r="H216" s="72">
        <v>93.314192000000006</v>
      </c>
      <c r="I216" s="73">
        <v>815566.03807999997</v>
      </c>
      <c r="J216" s="72">
        <v>98.652228244038895</v>
      </c>
      <c r="K216" s="73">
        <v>-46654.436772900001</v>
      </c>
      <c r="L216" s="74">
        <v>0</v>
      </c>
      <c r="M216" s="73">
        <v>0</v>
      </c>
      <c r="N216" s="74">
        <v>0</v>
      </c>
      <c r="O216" s="73">
        <v>0</v>
      </c>
      <c r="P216" s="74">
        <v>8740</v>
      </c>
      <c r="Q216" s="73">
        <v>815566.03807999997</v>
      </c>
      <c r="R216" s="71" t="s">
        <v>625</v>
      </c>
      <c r="S216" s="71">
        <v>7414000005</v>
      </c>
      <c r="W216" s="3">
        <v>1036530</v>
      </c>
      <c r="X216">
        <v>13382850.821404001</v>
      </c>
      <c r="AB216"/>
      <c r="AC216"/>
    </row>
    <row r="217" spans="1:29" x14ac:dyDescent="0.25">
      <c r="A217" t="str">
        <f t="shared" si="4"/>
        <v xml:space="preserve">1015474GOBFED 270304       </v>
      </c>
      <c r="B217" s="71">
        <v>1015474</v>
      </c>
      <c r="C217" s="71" t="s">
        <v>660</v>
      </c>
      <c r="D217" s="71" t="s">
        <v>507</v>
      </c>
      <c r="E217" s="71" t="s">
        <v>623</v>
      </c>
      <c r="F217" s="71" t="s">
        <v>624</v>
      </c>
      <c r="G217" s="74">
        <v>8050</v>
      </c>
      <c r="H217" s="72">
        <v>94.864168000000006</v>
      </c>
      <c r="I217" s="73">
        <v>763656.55240000004</v>
      </c>
      <c r="J217" s="72">
        <v>96.406456791875783</v>
      </c>
      <c r="K217" s="73">
        <v>-12415.4247746</v>
      </c>
      <c r="L217" s="74">
        <v>0</v>
      </c>
      <c r="M217" s="73">
        <v>0</v>
      </c>
      <c r="N217" s="74">
        <v>0</v>
      </c>
      <c r="O217" s="73">
        <v>0</v>
      </c>
      <c r="P217" s="74">
        <v>8050</v>
      </c>
      <c r="Q217" s="73">
        <v>763656.55240000004</v>
      </c>
      <c r="R217" s="71" t="s">
        <v>625</v>
      </c>
      <c r="S217" s="71">
        <v>7414000005</v>
      </c>
      <c r="W217" s="3">
        <v>65501285111</v>
      </c>
      <c r="X217">
        <v>32732470.33326</v>
      </c>
      <c r="AB217"/>
      <c r="AC217"/>
    </row>
    <row r="218" spans="1:29" x14ac:dyDescent="0.25">
      <c r="A218" t="str">
        <f t="shared" si="4"/>
        <v xml:space="preserve">1015474GOBFED 270603       </v>
      </c>
      <c r="B218" s="71">
        <v>1015474</v>
      </c>
      <c r="C218" s="71" t="s">
        <v>660</v>
      </c>
      <c r="D218" s="71" t="s">
        <v>381</v>
      </c>
      <c r="E218" s="71" t="s">
        <v>623</v>
      </c>
      <c r="F218" s="71" t="s">
        <v>624</v>
      </c>
      <c r="G218" s="74">
        <v>22164</v>
      </c>
      <c r="H218" s="72">
        <v>94.870157000000006</v>
      </c>
      <c r="I218" s="73">
        <v>2102702.1597480001</v>
      </c>
      <c r="J218" s="72">
        <v>96.826569857579855</v>
      </c>
      <c r="K218" s="73">
        <v>-43361.934575400002</v>
      </c>
      <c r="L218" s="74">
        <v>0</v>
      </c>
      <c r="M218" s="73">
        <v>0</v>
      </c>
      <c r="N218" s="74">
        <v>0</v>
      </c>
      <c r="O218" s="73">
        <v>0</v>
      </c>
      <c r="P218" s="74">
        <v>22164</v>
      </c>
      <c r="Q218" s="73">
        <v>2102702.1597480001</v>
      </c>
      <c r="R218" s="71" t="s">
        <v>625</v>
      </c>
      <c r="S218" s="71">
        <v>7414000005</v>
      </c>
      <c r="W218" s="3">
        <v>1034042</v>
      </c>
      <c r="X218">
        <v>2651823761.6945496</v>
      </c>
      <c r="AB218"/>
      <c r="AC218"/>
    </row>
    <row r="219" spans="1:29" x14ac:dyDescent="0.25">
      <c r="A219" t="str">
        <f t="shared" si="4"/>
        <v xml:space="preserve">1015474GOBFED 290301       </v>
      </c>
      <c r="B219" s="71">
        <v>1015474</v>
      </c>
      <c r="C219" s="71" t="s">
        <v>660</v>
      </c>
      <c r="D219" s="71" t="s">
        <v>382</v>
      </c>
      <c r="E219" s="71" t="s">
        <v>623</v>
      </c>
      <c r="F219" s="71" t="s">
        <v>624</v>
      </c>
      <c r="G219" s="74">
        <v>8482</v>
      </c>
      <c r="H219" s="72">
        <v>89.489464999999996</v>
      </c>
      <c r="I219" s="73">
        <v>759049.64213000005</v>
      </c>
      <c r="J219" s="72">
        <v>90.484544077868421</v>
      </c>
      <c r="K219" s="73">
        <v>-8440.2607384799994</v>
      </c>
      <c r="L219" s="74">
        <v>0</v>
      </c>
      <c r="M219" s="73">
        <v>0</v>
      </c>
      <c r="N219" s="74">
        <v>0</v>
      </c>
      <c r="O219" s="73">
        <v>0</v>
      </c>
      <c r="P219" s="74">
        <v>8482</v>
      </c>
      <c r="Q219" s="73">
        <v>759049.64213000005</v>
      </c>
      <c r="R219" s="71" t="s">
        <v>625</v>
      </c>
      <c r="S219" s="71">
        <v>7414000005</v>
      </c>
      <c r="W219" s="3">
        <v>1037085</v>
      </c>
      <c r="X219">
        <v>40351701.630644001</v>
      </c>
      <c r="AB219"/>
      <c r="AC219"/>
    </row>
    <row r="220" spans="1:29" x14ac:dyDescent="0.25">
      <c r="A220" t="str">
        <f t="shared" si="4"/>
        <v xml:space="preserve">1015474GOBFED 290531       </v>
      </c>
      <c r="B220" s="71">
        <v>1015474</v>
      </c>
      <c r="C220" s="71" t="s">
        <v>660</v>
      </c>
      <c r="D220" s="71" t="s">
        <v>383</v>
      </c>
      <c r="E220" s="71" t="s">
        <v>623</v>
      </c>
      <c r="F220" s="71" t="s">
        <v>624</v>
      </c>
      <c r="G220" s="74">
        <v>18360</v>
      </c>
      <c r="H220" s="72">
        <v>86.197128000000006</v>
      </c>
      <c r="I220" s="73">
        <v>1582579.2700799999</v>
      </c>
      <c r="J220" s="72">
        <v>89.64878798292483</v>
      </c>
      <c r="K220" s="73">
        <v>-63372.477286499998</v>
      </c>
      <c r="L220" s="74">
        <v>0</v>
      </c>
      <c r="M220" s="73">
        <v>0</v>
      </c>
      <c r="N220" s="74">
        <v>0</v>
      </c>
      <c r="O220" s="73">
        <v>0</v>
      </c>
      <c r="P220" s="74">
        <v>18360</v>
      </c>
      <c r="Q220" s="73">
        <v>1582579.2700799999</v>
      </c>
      <c r="R220" s="71" t="s">
        <v>625</v>
      </c>
      <c r="S220" s="71">
        <v>7414000005</v>
      </c>
      <c r="W220" s="3">
        <v>1037086</v>
      </c>
      <c r="X220">
        <v>55433047.280056</v>
      </c>
      <c r="AB220"/>
      <c r="AC220"/>
    </row>
    <row r="221" spans="1:29" x14ac:dyDescent="0.25">
      <c r="A221" t="str">
        <f t="shared" si="4"/>
        <v xml:space="preserve">1015474GOBFED 310529       </v>
      </c>
      <c r="B221" s="71">
        <v>1015474</v>
      </c>
      <c r="C221" s="71" t="s">
        <v>660</v>
      </c>
      <c r="D221" s="71" t="s">
        <v>427</v>
      </c>
      <c r="E221" s="71" t="s">
        <v>623</v>
      </c>
      <c r="F221" s="71" t="s">
        <v>624</v>
      </c>
      <c r="G221" s="74">
        <v>20994</v>
      </c>
      <c r="H221" s="72">
        <v>86.469353999999996</v>
      </c>
      <c r="I221" s="73">
        <v>1815337.617876</v>
      </c>
      <c r="J221" s="72">
        <v>90.893867012348764</v>
      </c>
      <c r="K221" s="73">
        <v>-92888.226181249993</v>
      </c>
      <c r="L221" s="74">
        <v>0</v>
      </c>
      <c r="M221" s="73">
        <v>0</v>
      </c>
      <c r="N221" s="74">
        <v>0</v>
      </c>
      <c r="O221" s="73">
        <v>0</v>
      </c>
      <c r="P221" s="74">
        <v>20994</v>
      </c>
      <c r="Q221" s="73">
        <v>1815337.617876</v>
      </c>
      <c r="R221" s="71" t="s">
        <v>625</v>
      </c>
      <c r="S221" s="71">
        <v>7414000005</v>
      </c>
      <c r="W221" s="3">
        <v>1037124</v>
      </c>
      <c r="X221">
        <v>2875696.5890790001</v>
      </c>
      <c r="AB221"/>
      <c r="AC221"/>
    </row>
    <row r="222" spans="1:29" x14ac:dyDescent="0.25">
      <c r="A222" t="str">
        <f t="shared" si="4"/>
        <v xml:space="preserve">1015474GOBFED 330526       </v>
      </c>
      <c r="B222" s="71">
        <v>1015474</v>
      </c>
      <c r="C222" s="71" t="s">
        <v>660</v>
      </c>
      <c r="D222" s="71" t="s">
        <v>418</v>
      </c>
      <c r="E222" s="71" t="s">
        <v>623</v>
      </c>
      <c r="F222" s="71" t="s">
        <v>624</v>
      </c>
      <c r="G222" s="74">
        <v>739</v>
      </c>
      <c r="H222" s="72">
        <v>101.45096599999999</v>
      </c>
      <c r="I222" s="73">
        <v>74972.263873999997</v>
      </c>
      <c r="J222" s="72">
        <v>114.11447106</v>
      </c>
      <c r="K222" s="73">
        <v>-9358.3302393400008</v>
      </c>
      <c r="L222" s="74">
        <v>0</v>
      </c>
      <c r="M222" s="73">
        <v>0</v>
      </c>
      <c r="N222" s="74">
        <v>0</v>
      </c>
      <c r="O222" s="73">
        <v>0</v>
      </c>
      <c r="P222" s="74">
        <v>739</v>
      </c>
      <c r="Q222" s="73">
        <v>74972.263873999997</v>
      </c>
      <c r="R222" s="71" t="s">
        <v>625</v>
      </c>
      <c r="S222" s="71">
        <v>7414000005</v>
      </c>
      <c r="W222" s="3">
        <v>1037125</v>
      </c>
      <c r="X222">
        <v>37110417.361504003</v>
      </c>
      <c r="AB222"/>
      <c r="AC222"/>
    </row>
    <row r="223" spans="1:29" x14ac:dyDescent="0.25">
      <c r="A223" t="str">
        <f t="shared" si="4"/>
        <v xml:space="preserve">1015474GOBFED 341123       </v>
      </c>
      <c r="B223" s="71">
        <v>1015474</v>
      </c>
      <c r="C223" s="71" t="s">
        <v>660</v>
      </c>
      <c r="D223" s="71" t="s">
        <v>408</v>
      </c>
      <c r="E223" s="71" t="s">
        <v>623</v>
      </c>
      <c r="F223" s="71" t="s">
        <v>624</v>
      </c>
      <c r="G223" s="74">
        <v>634</v>
      </c>
      <c r="H223" s="72">
        <v>89.643172000000007</v>
      </c>
      <c r="I223" s="73">
        <v>56833.771048000002</v>
      </c>
      <c r="J223" s="72">
        <v>108.47711812999999</v>
      </c>
      <c r="K223" s="73">
        <v>-11940.72184642</v>
      </c>
      <c r="L223" s="74">
        <v>0</v>
      </c>
      <c r="M223" s="73">
        <v>0</v>
      </c>
      <c r="N223" s="74">
        <v>0</v>
      </c>
      <c r="O223" s="73">
        <v>0</v>
      </c>
      <c r="P223" s="74">
        <v>634</v>
      </c>
      <c r="Q223" s="73">
        <v>56833.771048000002</v>
      </c>
      <c r="R223" s="71" t="s">
        <v>625</v>
      </c>
      <c r="S223" s="71">
        <v>7414000005</v>
      </c>
      <c r="W223" s="3">
        <v>1036724</v>
      </c>
      <c r="X223">
        <v>9398474.0984480008</v>
      </c>
      <c r="AB223"/>
      <c r="AC223"/>
    </row>
    <row r="224" spans="1:29" x14ac:dyDescent="0.25">
      <c r="A224" t="str">
        <f t="shared" si="4"/>
        <v xml:space="preserve">1015474GOBFED 361120       </v>
      </c>
      <c r="B224" s="71">
        <v>1015474</v>
      </c>
      <c r="C224" s="71" t="s">
        <v>660</v>
      </c>
      <c r="D224" s="71" t="s">
        <v>384</v>
      </c>
      <c r="E224" s="71" t="s">
        <v>623</v>
      </c>
      <c r="F224" s="71" t="s">
        <v>624</v>
      </c>
      <c r="G224" s="74">
        <v>15271</v>
      </c>
      <c r="H224" s="72">
        <v>81.738860000000003</v>
      </c>
      <c r="I224" s="73">
        <v>1248234.13106</v>
      </c>
      <c r="J224" s="72">
        <v>86.434963932790254</v>
      </c>
      <c r="K224" s="73">
        <v>-71714.203157640004</v>
      </c>
      <c r="L224" s="74">
        <v>0</v>
      </c>
      <c r="M224" s="73">
        <v>0</v>
      </c>
      <c r="N224" s="74">
        <v>0</v>
      </c>
      <c r="O224" s="73">
        <v>0</v>
      </c>
      <c r="P224" s="74">
        <v>15271</v>
      </c>
      <c r="Q224" s="73">
        <v>1248234.13106</v>
      </c>
      <c r="R224" s="71" t="s">
        <v>625</v>
      </c>
      <c r="S224" s="71">
        <v>7414000005</v>
      </c>
      <c r="W224" s="3">
        <v>65508989338</v>
      </c>
      <c r="X224">
        <v>57461140.273712002</v>
      </c>
      <c r="AB224"/>
      <c r="AC224"/>
    </row>
    <row r="225" spans="1:29" x14ac:dyDescent="0.25">
      <c r="A225" t="str">
        <f t="shared" si="4"/>
        <v xml:space="preserve">1015474GOBFED 381118       </v>
      </c>
      <c r="B225" s="71">
        <v>1015474</v>
      </c>
      <c r="C225" s="71" t="s">
        <v>660</v>
      </c>
      <c r="D225" s="71" t="s">
        <v>385</v>
      </c>
      <c r="E225" s="71" t="s">
        <v>623</v>
      </c>
      <c r="F225" s="71" t="s">
        <v>624</v>
      </c>
      <c r="G225" s="74">
        <v>3549</v>
      </c>
      <c r="H225" s="72">
        <v>83.200761</v>
      </c>
      <c r="I225" s="73">
        <v>295279.50078900001</v>
      </c>
      <c r="J225" s="72">
        <v>93.143183912344327</v>
      </c>
      <c r="K225" s="73">
        <v>-35285.658915909997</v>
      </c>
      <c r="L225" s="74">
        <v>0</v>
      </c>
      <c r="M225" s="73">
        <v>0</v>
      </c>
      <c r="N225" s="74">
        <v>0</v>
      </c>
      <c r="O225" s="73">
        <v>0</v>
      </c>
      <c r="P225" s="74">
        <v>3549</v>
      </c>
      <c r="Q225" s="73">
        <v>295279.50078900001</v>
      </c>
      <c r="R225" s="71" t="s">
        <v>625</v>
      </c>
      <c r="S225" s="71">
        <v>7414000005</v>
      </c>
      <c r="W225" s="3">
        <v>1037923</v>
      </c>
      <c r="X225">
        <v>1499134.751252</v>
      </c>
      <c r="AB225"/>
      <c r="AC225"/>
    </row>
    <row r="226" spans="1:29" x14ac:dyDescent="0.25">
      <c r="A226" t="str">
        <f t="shared" si="4"/>
        <v xml:space="preserve">1015474GOBFED 421113       </v>
      </c>
      <c r="B226" s="71">
        <v>1015474</v>
      </c>
      <c r="C226" s="71" t="s">
        <v>660</v>
      </c>
      <c r="D226" s="71" t="s">
        <v>386</v>
      </c>
      <c r="E226" s="71" t="s">
        <v>623</v>
      </c>
      <c r="F226" s="71" t="s">
        <v>624</v>
      </c>
      <c r="G226" s="74">
        <v>25610</v>
      </c>
      <c r="H226" s="72">
        <v>82.159907000000004</v>
      </c>
      <c r="I226" s="73">
        <v>2104115.2182700001</v>
      </c>
      <c r="J226" s="72">
        <v>83.989124130640377</v>
      </c>
      <c r="K226" s="73">
        <v>-46846.2507157</v>
      </c>
      <c r="L226" s="74">
        <v>0</v>
      </c>
      <c r="M226" s="73">
        <v>0</v>
      </c>
      <c r="N226" s="74">
        <v>0</v>
      </c>
      <c r="O226" s="73">
        <v>0</v>
      </c>
      <c r="P226" s="74">
        <v>25610</v>
      </c>
      <c r="Q226" s="73">
        <v>2104115.2182700001</v>
      </c>
      <c r="R226" s="71" t="s">
        <v>625</v>
      </c>
      <c r="S226" s="71">
        <v>7414000005</v>
      </c>
      <c r="W226" s="3">
        <v>1037925</v>
      </c>
      <c r="X226">
        <v>1531784.5237159999</v>
      </c>
      <c r="AB226"/>
      <c r="AC226"/>
    </row>
    <row r="227" spans="1:29" x14ac:dyDescent="0.25">
      <c r="A227" t="str">
        <f t="shared" si="4"/>
        <v xml:space="preserve">1015474GOBFED 471107       </v>
      </c>
      <c r="B227" s="71">
        <v>1015474</v>
      </c>
      <c r="C227" s="71" t="s">
        <v>660</v>
      </c>
      <c r="D227" s="71" t="s">
        <v>429</v>
      </c>
      <c r="E227" s="71" t="s">
        <v>623</v>
      </c>
      <c r="F227" s="71" t="s">
        <v>624</v>
      </c>
      <c r="G227" s="74">
        <v>18558</v>
      </c>
      <c r="H227" s="72">
        <v>98.007834000000003</v>
      </c>
      <c r="I227" s="73">
        <v>1818829.383372</v>
      </c>
      <c r="J227" s="72">
        <v>89.820929565081371</v>
      </c>
      <c r="K227" s="73">
        <v>151932.57250322</v>
      </c>
      <c r="L227" s="74">
        <v>0</v>
      </c>
      <c r="M227" s="73">
        <v>0</v>
      </c>
      <c r="N227" s="74">
        <v>0</v>
      </c>
      <c r="O227" s="73">
        <v>0</v>
      </c>
      <c r="P227" s="74">
        <v>18558</v>
      </c>
      <c r="Q227" s="73">
        <v>1818829.383372</v>
      </c>
      <c r="R227" s="71" t="s">
        <v>625</v>
      </c>
      <c r="S227" s="71">
        <v>7414000005</v>
      </c>
      <c r="W227" s="3">
        <v>1037540</v>
      </c>
      <c r="X227">
        <v>27059361.441995993</v>
      </c>
      <c r="AB227"/>
      <c r="AC227"/>
    </row>
    <row r="228" spans="1:29" x14ac:dyDescent="0.25">
      <c r="A228" t="str">
        <f t="shared" si="4"/>
        <v xml:space="preserve">1015474GOBFED 530731       </v>
      </c>
      <c r="B228" s="71">
        <v>1015474</v>
      </c>
      <c r="C228" s="71" t="s">
        <v>660</v>
      </c>
      <c r="D228" s="71" t="s">
        <v>430</v>
      </c>
      <c r="E228" s="71" t="s">
        <v>623</v>
      </c>
      <c r="F228" s="71" t="s">
        <v>624</v>
      </c>
      <c r="G228" s="74">
        <v>3582960</v>
      </c>
      <c r="H228" s="72">
        <v>3.1390400000000001</v>
      </c>
      <c r="I228" s="73">
        <v>11247054.758400001</v>
      </c>
      <c r="J228" s="72">
        <v>2.3738999123629623</v>
      </c>
      <c r="K228" s="73">
        <v>2741466.3284</v>
      </c>
      <c r="L228" s="74">
        <v>0</v>
      </c>
      <c r="M228" s="73">
        <v>0</v>
      </c>
      <c r="N228" s="74">
        <v>0</v>
      </c>
      <c r="O228" s="73">
        <v>0</v>
      </c>
      <c r="P228" s="74">
        <v>3582960</v>
      </c>
      <c r="Q228" s="73">
        <v>11247054.758400001</v>
      </c>
      <c r="R228" s="71" t="s">
        <v>625</v>
      </c>
      <c r="S228" s="71">
        <v>7414000005</v>
      </c>
      <c r="W228" s="3">
        <v>65508702490</v>
      </c>
      <c r="X228">
        <v>196894751.760088</v>
      </c>
      <c r="AB228"/>
      <c r="AC228"/>
    </row>
    <row r="229" spans="1:29" x14ac:dyDescent="0.25">
      <c r="A229" t="str">
        <f t="shared" si="4"/>
        <v xml:space="preserve">1015474PEMEX 13-2          </v>
      </c>
      <c r="B229" s="71">
        <v>1015474</v>
      </c>
      <c r="C229" s="71" t="s">
        <v>660</v>
      </c>
      <c r="D229" s="71" t="s">
        <v>389</v>
      </c>
      <c r="E229" s="71" t="s">
        <v>623</v>
      </c>
      <c r="F229" s="71" t="s">
        <v>624</v>
      </c>
      <c r="G229" s="74">
        <v>1026763</v>
      </c>
      <c r="H229" s="72">
        <v>3.3967719999999999</v>
      </c>
      <c r="I229" s="73">
        <v>3487679.8090360002</v>
      </c>
      <c r="J229" s="72">
        <v>3.2938378087250904</v>
      </c>
      <c r="K229" s="73">
        <v>105689.019036</v>
      </c>
      <c r="L229" s="74">
        <v>0</v>
      </c>
      <c r="M229" s="73">
        <v>0</v>
      </c>
      <c r="N229" s="74">
        <v>0</v>
      </c>
      <c r="O229" s="73">
        <v>0</v>
      </c>
      <c r="P229" s="74">
        <v>1026763</v>
      </c>
      <c r="Q229" s="73">
        <v>3487679.8090360002</v>
      </c>
      <c r="R229" s="71" t="s">
        <v>625</v>
      </c>
      <c r="S229" s="71">
        <v>7414000005</v>
      </c>
      <c r="W229" s="3">
        <v>1036723</v>
      </c>
      <c r="X229">
        <v>4302568.8086080002</v>
      </c>
      <c r="AB229"/>
      <c r="AC229"/>
    </row>
    <row r="230" spans="1:29" x14ac:dyDescent="0.25">
      <c r="A230" t="str">
        <f t="shared" si="4"/>
        <v xml:space="preserve">1015474ST&amp;ER-C ED          </v>
      </c>
      <c r="B230" s="71">
        <v>1015474</v>
      </c>
      <c r="C230" s="71" t="s">
        <v>660</v>
      </c>
      <c r="D230" s="71" t="s">
        <v>391</v>
      </c>
      <c r="E230" s="71" t="s">
        <v>623</v>
      </c>
      <c r="F230" s="71" t="s">
        <v>624</v>
      </c>
      <c r="G230" s="74">
        <v>1979</v>
      </c>
      <c r="H230" s="72">
        <v>775.69178699999998</v>
      </c>
      <c r="I230" s="73">
        <v>1535094.046473</v>
      </c>
      <c r="J230" s="72">
        <v>766.69784126000002</v>
      </c>
      <c r="K230" s="73">
        <v>17799.018619459999</v>
      </c>
      <c r="L230" s="74">
        <v>0</v>
      </c>
      <c r="M230" s="73">
        <v>0</v>
      </c>
      <c r="N230" s="74">
        <v>0</v>
      </c>
      <c r="O230" s="73">
        <v>0</v>
      </c>
      <c r="P230" s="74">
        <v>1979</v>
      </c>
      <c r="Q230" s="73">
        <v>1535094.046473</v>
      </c>
      <c r="R230" s="71" t="s">
        <v>625</v>
      </c>
      <c r="S230" s="71">
        <v>7414000005</v>
      </c>
      <c r="W230" s="3">
        <v>1000001573</v>
      </c>
      <c r="X230">
        <v>316697159.45986885</v>
      </c>
      <c r="AB230"/>
      <c r="AC230"/>
    </row>
    <row r="231" spans="1:29" x14ac:dyDescent="0.25">
      <c r="A231" t="str">
        <f t="shared" si="4"/>
        <v xml:space="preserve">1015474STERGOB ED          </v>
      </c>
      <c r="B231" s="71">
        <v>1015474</v>
      </c>
      <c r="C231" s="71" t="s">
        <v>660</v>
      </c>
      <c r="D231" s="71" t="s">
        <v>392</v>
      </c>
      <c r="E231" s="71" t="s">
        <v>623</v>
      </c>
      <c r="F231" s="71" t="s">
        <v>624</v>
      </c>
      <c r="G231" s="74">
        <v>3163</v>
      </c>
      <c r="H231" s="72">
        <v>747.17843200000004</v>
      </c>
      <c r="I231" s="73">
        <v>2363325.3804159998</v>
      </c>
      <c r="J231" s="72">
        <v>723.86476962782172</v>
      </c>
      <c r="K231" s="73">
        <v>73741.114083199995</v>
      </c>
      <c r="L231" s="74">
        <v>0</v>
      </c>
      <c r="M231" s="73">
        <v>0</v>
      </c>
      <c r="N231" s="74">
        <v>0</v>
      </c>
      <c r="O231" s="73">
        <v>0</v>
      </c>
      <c r="P231" s="74">
        <v>3163</v>
      </c>
      <c r="Q231" s="73">
        <v>2363325.3804159998</v>
      </c>
      <c r="R231" s="71" t="s">
        <v>625</v>
      </c>
      <c r="S231" s="71">
        <v>7414000005</v>
      </c>
      <c r="W231" s="3">
        <v>1000002191</v>
      </c>
      <c r="X231">
        <v>319598965.16798598</v>
      </c>
      <c r="AB231"/>
      <c r="AC231"/>
    </row>
    <row r="232" spans="1:29" x14ac:dyDescent="0.25">
      <c r="A232" t="str">
        <f t="shared" si="4"/>
        <v xml:space="preserve">1015474UDIBONO 251204      </v>
      </c>
      <c r="B232" s="71">
        <v>1015474</v>
      </c>
      <c r="C232" s="71" t="s">
        <v>660</v>
      </c>
      <c r="D232" s="71" t="s">
        <v>393</v>
      </c>
      <c r="E232" s="71" t="s">
        <v>623</v>
      </c>
      <c r="F232" s="71" t="s">
        <v>624</v>
      </c>
      <c r="G232" s="74">
        <v>1006</v>
      </c>
      <c r="H232" s="72">
        <v>765.92388300000005</v>
      </c>
      <c r="I232" s="73">
        <v>770519.42629800003</v>
      </c>
      <c r="J232" s="72">
        <v>752.47319028974152</v>
      </c>
      <c r="K232" s="73">
        <v>13531.396866519999</v>
      </c>
      <c r="L232" s="74">
        <v>0</v>
      </c>
      <c r="M232" s="73">
        <v>0</v>
      </c>
      <c r="N232" s="74">
        <v>0</v>
      </c>
      <c r="O232" s="73">
        <v>0</v>
      </c>
      <c r="P232" s="74">
        <v>1006</v>
      </c>
      <c r="Q232" s="73">
        <v>770519.42629800003</v>
      </c>
      <c r="R232" s="71" t="s">
        <v>625</v>
      </c>
      <c r="S232" s="71">
        <v>7414000005</v>
      </c>
      <c r="W232" s="3">
        <v>1015460</v>
      </c>
      <c r="X232">
        <v>0</v>
      </c>
      <c r="AB232"/>
      <c r="AC232"/>
    </row>
    <row r="233" spans="1:29" x14ac:dyDescent="0.25">
      <c r="A233" t="str">
        <f t="shared" si="4"/>
        <v xml:space="preserve">1015474UDIBONO 261203      </v>
      </c>
      <c r="B233" s="71">
        <v>1015474</v>
      </c>
      <c r="C233" s="71" t="s">
        <v>660</v>
      </c>
      <c r="D233" s="71" t="s">
        <v>394</v>
      </c>
      <c r="E233" s="71" t="s">
        <v>623</v>
      </c>
      <c r="F233" s="71" t="s">
        <v>624</v>
      </c>
      <c r="G233" s="74">
        <v>1813</v>
      </c>
      <c r="H233" s="72">
        <v>684.88915799999995</v>
      </c>
      <c r="I233" s="73">
        <v>1241704.043454</v>
      </c>
      <c r="J233" s="72">
        <v>680.5910191140099</v>
      </c>
      <c r="K233" s="73">
        <v>7792.5258002999999</v>
      </c>
      <c r="L233" s="74">
        <v>0</v>
      </c>
      <c r="M233" s="73">
        <v>0</v>
      </c>
      <c r="N233" s="74">
        <v>0</v>
      </c>
      <c r="O233" s="73">
        <v>0</v>
      </c>
      <c r="P233" s="74">
        <v>1813</v>
      </c>
      <c r="Q233" s="73">
        <v>1241704.043454</v>
      </c>
      <c r="R233" s="71" t="s">
        <v>625</v>
      </c>
      <c r="S233" s="71">
        <v>7414000005</v>
      </c>
      <c r="W233" s="3">
        <v>1032436</v>
      </c>
      <c r="X233">
        <v>4479548.5287760003</v>
      </c>
      <c r="AB233"/>
      <c r="AC233"/>
    </row>
    <row r="234" spans="1:29" x14ac:dyDescent="0.25">
      <c r="A234" t="str">
        <f t="shared" si="4"/>
        <v xml:space="preserve">1015474UDIBONO 281130      </v>
      </c>
      <c r="B234" s="71">
        <v>1015474</v>
      </c>
      <c r="C234" s="71" t="s">
        <v>660</v>
      </c>
      <c r="D234" s="71" t="s">
        <v>395</v>
      </c>
      <c r="E234" s="71" t="s">
        <v>623</v>
      </c>
      <c r="F234" s="71" t="s">
        <v>624</v>
      </c>
      <c r="G234" s="74">
        <v>1035</v>
      </c>
      <c r="H234" s="72">
        <v>772.926965</v>
      </c>
      <c r="I234" s="73">
        <v>799979.40877500002</v>
      </c>
      <c r="J234" s="72">
        <v>801.69943516787441</v>
      </c>
      <c r="K234" s="73">
        <v>-29779.50662375</v>
      </c>
      <c r="L234" s="74">
        <v>0</v>
      </c>
      <c r="M234" s="73">
        <v>0</v>
      </c>
      <c r="N234" s="74">
        <v>0</v>
      </c>
      <c r="O234" s="73">
        <v>0</v>
      </c>
      <c r="P234" s="74">
        <v>1035</v>
      </c>
      <c r="Q234" s="73">
        <v>799979.40877500002</v>
      </c>
      <c r="R234" s="71" t="s">
        <v>625</v>
      </c>
      <c r="S234" s="71">
        <v>7414000005</v>
      </c>
      <c r="W234" s="3">
        <v>1032437</v>
      </c>
      <c r="X234">
        <v>3925572.4221359999</v>
      </c>
      <c r="AB234"/>
      <c r="AC234"/>
    </row>
    <row r="235" spans="1:29" x14ac:dyDescent="0.25">
      <c r="A235" t="str">
        <f t="shared" si="4"/>
        <v xml:space="preserve">1015474UDIBONO 311127      </v>
      </c>
      <c r="B235" s="71">
        <v>1015474</v>
      </c>
      <c r="C235" s="71" t="s">
        <v>660</v>
      </c>
      <c r="D235" s="71" t="s">
        <v>396</v>
      </c>
      <c r="E235" s="71" t="s">
        <v>623</v>
      </c>
      <c r="F235" s="71" t="s">
        <v>624</v>
      </c>
      <c r="G235" s="74">
        <v>1123</v>
      </c>
      <c r="H235" s="72">
        <v>721.59464000000003</v>
      </c>
      <c r="I235" s="73">
        <v>810350.78072000004</v>
      </c>
      <c r="J235" s="72">
        <v>757.24852496216386</v>
      </c>
      <c r="K235" s="73">
        <v>-40039.312812509997</v>
      </c>
      <c r="L235" s="74">
        <v>0</v>
      </c>
      <c r="M235" s="73">
        <v>0</v>
      </c>
      <c r="N235" s="74">
        <v>0</v>
      </c>
      <c r="O235" s="73">
        <v>0</v>
      </c>
      <c r="P235" s="74">
        <v>1123</v>
      </c>
      <c r="Q235" s="73">
        <v>810350.78072000004</v>
      </c>
      <c r="R235" s="71" t="s">
        <v>625</v>
      </c>
      <c r="S235" s="71">
        <v>7414000005</v>
      </c>
      <c r="W235" s="3">
        <v>1032438</v>
      </c>
      <c r="X235">
        <v>15451747.354831999</v>
      </c>
      <c r="AB235"/>
      <c r="AC235"/>
    </row>
    <row r="236" spans="1:29" x14ac:dyDescent="0.25">
      <c r="A236" t="str">
        <f t="shared" si="4"/>
        <v xml:space="preserve">1015474UDIBONO 351122      </v>
      </c>
      <c r="B236" s="71">
        <v>1015474</v>
      </c>
      <c r="C236" s="71" t="s">
        <v>660</v>
      </c>
      <c r="D236" s="71" t="s">
        <v>397</v>
      </c>
      <c r="E236" s="71" t="s">
        <v>623</v>
      </c>
      <c r="F236" s="71" t="s">
        <v>624</v>
      </c>
      <c r="G236" s="74">
        <v>597</v>
      </c>
      <c r="H236" s="72">
        <v>635.96311900000001</v>
      </c>
      <c r="I236" s="73">
        <v>379669.982043</v>
      </c>
      <c r="J236" s="72">
        <v>647.93802047999998</v>
      </c>
      <c r="K236" s="73">
        <v>-7149.0161835600002</v>
      </c>
      <c r="L236" s="74">
        <v>0</v>
      </c>
      <c r="M236" s="73">
        <v>0</v>
      </c>
      <c r="N236" s="74">
        <v>0</v>
      </c>
      <c r="O236" s="73">
        <v>0</v>
      </c>
      <c r="P236" s="74">
        <v>597</v>
      </c>
      <c r="Q236" s="73">
        <v>379669.982043</v>
      </c>
      <c r="R236" s="71" t="s">
        <v>625</v>
      </c>
      <c r="S236" s="71">
        <v>7414000005</v>
      </c>
      <c r="W236" s="3">
        <v>1032439</v>
      </c>
      <c r="X236">
        <v>44032599.217880003</v>
      </c>
      <c r="AB236"/>
      <c r="AC236"/>
    </row>
    <row r="237" spans="1:29" x14ac:dyDescent="0.25">
      <c r="A237" t="str">
        <f t="shared" si="4"/>
        <v xml:space="preserve">1015474UDIBONO 401115      </v>
      </c>
      <c r="B237" s="71">
        <v>1015474</v>
      </c>
      <c r="C237" s="71" t="s">
        <v>660</v>
      </c>
      <c r="D237" s="71" t="s">
        <v>398</v>
      </c>
      <c r="E237" s="71" t="s">
        <v>623</v>
      </c>
      <c r="F237" s="71" t="s">
        <v>624</v>
      </c>
      <c r="G237" s="74">
        <v>1496</v>
      </c>
      <c r="H237" s="72">
        <v>709.36974099999998</v>
      </c>
      <c r="I237" s="73">
        <v>1061217.1325360001</v>
      </c>
      <c r="J237" s="72">
        <v>728.64687149318854</v>
      </c>
      <c r="K237" s="73">
        <v>-28838.58721781</v>
      </c>
      <c r="L237" s="74">
        <v>0</v>
      </c>
      <c r="M237" s="73">
        <v>0</v>
      </c>
      <c r="N237" s="74">
        <v>0</v>
      </c>
      <c r="O237" s="73">
        <v>0</v>
      </c>
      <c r="P237" s="74">
        <v>1496</v>
      </c>
      <c r="Q237" s="73">
        <v>1061217.1325360001</v>
      </c>
      <c r="R237" s="71" t="s">
        <v>625</v>
      </c>
      <c r="S237" s="71">
        <v>7414000005</v>
      </c>
      <c r="W237" s="3">
        <v>1032440</v>
      </c>
      <c r="X237">
        <v>821847.40873599995</v>
      </c>
      <c r="AB237"/>
      <c r="AC237"/>
    </row>
    <row r="238" spans="1:29" x14ac:dyDescent="0.25">
      <c r="A238" t="str">
        <f t="shared" si="4"/>
        <v xml:space="preserve">1015474UDIBONO 431112      </v>
      </c>
      <c r="B238" s="71">
        <v>1015474</v>
      </c>
      <c r="C238" s="71" t="s">
        <v>660</v>
      </c>
      <c r="D238" s="71" t="s">
        <v>399</v>
      </c>
      <c r="E238" s="71" t="s">
        <v>623</v>
      </c>
      <c r="F238" s="71" t="s">
        <v>624</v>
      </c>
      <c r="G238" s="74">
        <v>2427</v>
      </c>
      <c r="H238" s="72">
        <v>694.41118700000004</v>
      </c>
      <c r="I238" s="73">
        <v>1685335.9508489999</v>
      </c>
      <c r="J238" s="72">
        <v>725.92860517697568</v>
      </c>
      <c r="K238" s="73">
        <v>-76492.773915519996</v>
      </c>
      <c r="L238" s="74">
        <v>0</v>
      </c>
      <c r="M238" s="73">
        <v>0</v>
      </c>
      <c r="N238" s="74">
        <v>0</v>
      </c>
      <c r="O238" s="73">
        <v>0</v>
      </c>
      <c r="P238" s="74">
        <v>2427</v>
      </c>
      <c r="Q238" s="73">
        <v>1685335.9508489999</v>
      </c>
      <c r="R238" s="71" t="s">
        <v>625</v>
      </c>
      <c r="S238" s="71">
        <v>7414000005</v>
      </c>
      <c r="W238" s="3">
        <v>1032441</v>
      </c>
      <c r="X238">
        <v>2953789.9910320002</v>
      </c>
      <c r="AB238"/>
      <c r="AC238"/>
    </row>
    <row r="239" spans="1:29" x14ac:dyDescent="0.25">
      <c r="A239" t="str">
        <f t="shared" si="4"/>
        <v xml:space="preserve">1015474UDIBONO 461108      </v>
      </c>
      <c r="B239" s="71">
        <v>1018694</v>
      </c>
      <c r="C239" s="71" t="s">
        <v>661</v>
      </c>
      <c r="D239" s="71" t="s">
        <v>422</v>
      </c>
      <c r="E239" s="71" t="s">
        <v>623</v>
      </c>
      <c r="F239" s="71" t="s">
        <v>624</v>
      </c>
      <c r="G239" s="74">
        <v>1971</v>
      </c>
      <c r="H239" s="72">
        <v>97.654420999999999</v>
      </c>
      <c r="I239" s="73">
        <v>192476.86379100001</v>
      </c>
      <c r="J239" s="72">
        <v>98.224185000000006</v>
      </c>
      <c r="K239" s="73">
        <v>-1123.004844</v>
      </c>
      <c r="L239" s="74">
        <v>0</v>
      </c>
      <c r="M239" s="73">
        <v>0</v>
      </c>
      <c r="N239" s="74">
        <v>0</v>
      </c>
      <c r="O239" s="73">
        <v>0</v>
      </c>
      <c r="P239" s="74">
        <v>1971</v>
      </c>
      <c r="Q239" s="73">
        <v>192476.86379100001</v>
      </c>
      <c r="R239" s="71" t="s">
        <v>625</v>
      </c>
      <c r="S239" s="71">
        <v>7414000005</v>
      </c>
      <c r="W239" s="3">
        <v>1032442</v>
      </c>
      <c r="X239">
        <v>3468384.8608479998</v>
      </c>
      <c r="AB239"/>
      <c r="AC239"/>
    </row>
    <row r="240" spans="1:29" x14ac:dyDescent="0.25">
      <c r="A240" t="str">
        <f t="shared" si="4"/>
        <v xml:space="preserve">1015474UDIBONO 501103      </v>
      </c>
      <c r="B240" s="71">
        <v>1018694</v>
      </c>
      <c r="C240" s="71" t="s">
        <v>661</v>
      </c>
      <c r="D240" s="71" t="s">
        <v>363</v>
      </c>
      <c r="E240" s="71" t="s">
        <v>623</v>
      </c>
      <c r="F240" s="71" t="s">
        <v>624</v>
      </c>
      <c r="G240" s="74">
        <v>422686</v>
      </c>
      <c r="H240" s="72">
        <v>9.4935880000000008</v>
      </c>
      <c r="I240" s="73">
        <v>4012806.7373680002</v>
      </c>
      <c r="J240" s="72">
        <v>8.4405498100000003</v>
      </c>
      <c r="K240" s="73">
        <v>445104.50037834002</v>
      </c>
      <c r="L240" s="74">
        <v>0</v>
      </c>
      <c r="M240" s="73">
        <v>0</v>
      </c>
      <c r="N240" s="74">
        <v>0</v>
      </c>
      <c r="O240" s="73">
        <v>0</v>
      </c>
      <c r="P240" s="74">
        <v>422686</v>
      </c>
      <c r="Q240" s="73">
        <v>4012806.7373680002</v>
      </c>
      <c r="R240" s="71" t="s">
        <v>625</v>
      </c>
      <c r="S240" s="71">
        <v>7414000005</v>
      </c>
      <c r="W240" s="3">
        <v>1032443</v>
      </c>
      <c r="X240">
        <v>3501016.097232</v>
      </c>
      <c r="AB240"/>
      <c r="AC240"/>
    </row>
    <row r="241" spans="1:29" x14ac:dyDescent="0.25">
      <c r="A241" t="str">
        <f t="shared" si="4"/>
        <v xml:space="preserve">1018694CETELEM 22          </v>
      </c>
      <c r="B241" s="71">
        <v>1018694</v>
      </c>
      <c r="C241" s="71" t="s">
        <v>661</v>
      </c>
      <c r="D241" s="71" t="s">
        <v>409</v>
      </c>
      <c r="E241" s="71" t="s">
        <v>623</v>
      </c>
      <c r="F241" s="71" t="s">
        <v>624</v>
      </c>
      <c r="G241" s="74">
        <v>575690</v>
      </c>
      <c r="H241" s="72">
        <v>9.3381629999999998</v>
      </c>
      <c r="I241" s="73">
        <v>5375887.0574700003</v>
      </c>
      <c r="J241" s="72">
        <v>8.3307969100000001</v>
      </c>
      <c r="K241" s="73">
        <v>579930.58435210004</v>
      </c>
      <c r="L241" s="74">
        <v>0</v>
      </c>
      <c r="M241" s="73">
        <v>0</v>
      </c>
      <c r="N241" s="74">
        <v>0</v>
      </c>
      <c r="O241" s="73">
        <v>0</v>
      </c>
      <c r="P241" s="74">
        <v>575690</v>
      </c>
      <c r="Q241" s="73">
        <v>5375887.0574700003</v>
      </c>
      <c r="R241" s="71" t="s">
        <v>625</v>
      </c>
      <c r="S241" s="71">
        <v>7414000005</v>
      </c>
      <c r="W241" s="3">
        <v>1032445</v>
      </c>
      <c r="X241">
        <v>1327862.80696</v>
      </c>
      <c r="AB241"/>
      <c r="AC241"/>
    </row>
    <row r="242" spans="1:29" x14ac:dyDescent="0.25">
      <c r="A242" t="str">
        <f t="shared" si="4"/>
        <v xml:space="preserve">1018694CETES 241003        </v>
      </c>
      <c r="B242" s="71">
        <v>1018694</v>
      </c>
      <c r="C242" s="71" t="s">
        <v>661</v>
      </c>
      <c r="D242" s="71" t="s">
        <v>375</v>
      </c>
      <c r="E242" s="71" t="s">
        <v>623</v>
      </c>
      <c r="F242" s="71" t="s">
        <v>624</v>
      </c>
      <c r="G242" s="74">
        <v>23232</v>
      </c>
      <c r="H242" s="72">
        <v>98.730349000000004</v>
      </c>
      <c r="I242" s="73">
        <v>2293703.4679680001</v>
      </c>
      <c r="J242" s="72">
        <v>104.65571289378099</v>
      </c>
      <c r="K242" s="73">
        <v>-137658.05398031999</v>
      </c>
      <c r="L242" s="74">
        <v>0</v>
      </c>
      <c r="M242" s="73">
        <v>0</v>
      </c>
      <c r="N242" s="74">
        <v>0</v>
      </c>
      <c r="O242" s="73">
        <v>0</v>
      </c>
      <c r="P242" s="74">
        <v>23232</v>
      </c>
      <c r="Q242" s="73">
        <v>2293703.4679680001</v>
      </c>
      <c r="R242" s="71" t="s">
        <v>625</v>
      </c>
      <c r="S242" s="71">
        <v>7414000005</v>
      </c>
      <c r="W242" s="3">
        <v>1032446</v>
      </c>
      <c r="X242">
        <v>2297101.6610719999</v>
      </c>
      <c r="AB242"/>
      <c r="AC242"/>
    </row>
    <row r="243" spans="1:29" x14ac:dyDescent="0.25">
      <c r="A243" t="str">
        <f t="shared" si="4"/>
        <v xml:space="preserve">1018694CETES 241128        </v>
      </c>
      <c r="B243" s="71">
        <v>1018694</v>
      </c>
      <c r="C243" s="71" t="s">
        <v>661</v>
      </c>
      <c r="D243" s="71" t="s">
        <v>376</v>
      </c>
      <c r="E243" s="71" t="s">
        <v>623</v>
      </c>
      <c r="F243" s="71" t="s">
        <v>624</v>
      </c>
      <c r="G243" s="74">
        <v>31335</v>
      </c>
      <c r="H243" s="72">
        <v>99.247497999999993</v>
      </c>
      <c r="I243" s="73">
        <v>3109920.3498300002</v>
      </c>
      <c r="J243" s="72">
        <v>112.37579195702409</v>
      </c>
      <c r="K243" s="73">
        <v>-411375.09114335</v>
      </c>
      <c r="L243" s="74">
        <v>0</v>
      </c>
      <c r="M243" s="73">
        <v>0</v>
      </c>
      <c r="N243" s="74">
        <v>0</v>
      </c>
      <c r="O243" s="73">
        <v>0</v>
      </c>
      <c r="P243" s="74">
        <v>31335</v>
      </c>
      <c r="Q243" s="73">
        <v>3109920.3498300002</v>
      </c>
      <c r="R243" s="71" t="s">
        <v>625</v>
      </c>
      <c r="S243" s="71">
        <v>7414000005</v>
      </c>
      <c r="W243" s="3">
        <v>1036731</v>
      </c>
      <c r="X243">
        <v>613029.25910400006</v>
      </c>
      <c r="AB243"/>
      <c r="AC243"/>
    </row>
    <row r="244" spans="1:29" x14ac:dyDescent="0.25">
      <c r="A244" t="str">
        <f t="shared" si="4"/>
        <v xml:space="preserve">1018694GOBFED 240905       </v>
      </c>
      <c r="B244" s="71">
        <v>1018694</v>
      </c>
      <c r="C244" s="71" t="s">
        <v>661</v>
      </c>
      <c r="D244" s="71" t="s">
        <v>377</v>
      </c>
      <c r="E244" s="71" t="s">
        <v>623</v>
      </c>
      <c r="F244" s="71" t="s">
        <v>624</v>
      </c>
      <c r="G244" s="74">
        <v>9920</v>
      </c>
      <c r="H244" s="72">
        <v>94.973146999999997</v>
      </c>
      <c r="I244" s="73">
        <v>942133.61823999998</v>
      </c>
      <c r="J244" s="72">
        <v>89.778146203931456</v>
      </c>
      <c r="K244" s="73">
        <v>51534.407896999997</v>
      </c>
      <c r="L244" s="74">
        <v>0</v>
      </c>
      <c r="M244" s="73">
        <v>0</v>
      </c>
      <c r="N244" s="74">
        <v>0</v>
      </c>
      <c r="O244" s="73">
        <v>0</v>
      </c>
      <c r="P244" s="74">
        <v>9920</v>
      </c>
      <c r="Q244" s="73">
        <v>942133.61823999998</v>
      </c>
      <c r="R244" s="71" t="s">
        <v>625</v>
      </c>
      <c r="S244" s="71">
        <v>7414000005</v>
      </c>
      <c r="W244" s="3">
        <v>1037097</v>
      </c>
      <c r="X244">
        <v>4638287.4560000002</v>
      </c>
      <c r="AB244"/>
      <c r="AC244"/>
    </row>
    <row r="245" spans="1:29" x14ac:dyDescent="0.25">
      <c r="A245" t="str">
        <f t="shared" si="4"/>
        <v xml:space="preserve">1018694GOBFED 241205       </v>
      </c>
      <c r="B245" s="71">
        <v>1018694</v>
      </c>
      <c r="C245" s="71" t="s">
        <v>661</v>
      </c>
      <c r="D245" s="71" t="s">
        <v>378</v>
      </c>
      <c r="E245" s="71" t="s">
        <v>623</v>
      </c>
      <c r="F245" s="71" t="s">
        <v>624</v>
      </c>
      <c r="G245" s="74">
        <v>33911</v>
      </c>
      <c r="H245" s="72">
        <v>91.911821000000003</v>
      </c>
      <c r="I245" s="73">
        <v>3116821.7619309998</v>
      </c>
      <c r="J245" s="72">
        <v>93.2088459</v>
      </c>
      <c r="K245" s="73">
        <v>-43983.411383899998</v>
      </c>
      <c r="L245" s="74">
        <v>0</v>
      </c>
      <c r="M245" s="73">
        <v>0</v>
      </c>
      <c r="N245" s="74">
        <v>0</v>
      </c>
      <c r="O245" s="73">
        <v>0</v>
      </c>
      <c r="P245" s="74">
        <v>33911</v>
      </c>
      <c r="Q245" s="73">
        <v>3116821.7619309998</v>
      </c>
      <c r="R245" s="71" t="s">
        <v>625</v>
      </c>
      <c r="S245" s="71">
        <v>7414000005</v>
      </c>
      <c r="W245" s="3">
        <v>1037109</v>
      </c>
      <c r="X245">
        <v>6374054.3197760005</v>
      </c>
      <c r="AB245"/>
      <c r="AC245"/>
    </row>
    <row r="246" spans="1:29" x14ac:dyDescent="0.25">
      <c r="A246" t="str">
        <f t="shared" si="4"/>
        <v xml:space="preserve">1018694GOBFED 250306       </v>
      </c>
      <c r="B246" s="71">
        <v>1018694</v>
      </c>
      <c r="C246" s="71" t="s">
        <v>661</v>
      </c>
      <c r="D246" s="71" t="s">
        <v>499</v>
      </c>
      <c r="E246" s="71" t="s">
        <v>623</v>
      </c>
      <c r="F246" s="71" t="s">
        <v>624</v>
      </c>
      <c r="G246" s="74">
        <v>17490</v>
      </c>
      <c r="H246" s="72">
        <v>92.954503000000003</v>
      </c>
      <c r="I246" s="73">
        <v>1625774.2574700001</v>
      </c>
      <c r="J246" s="72">
        <v>93.326299851440822</v>
      </c>
      <c r="K246" s="73">
        <v>-6502.7269317</v>
      </c>
      <c r="L246" s="74">
        <v>0</v>
      </c>
      <c r="M246" s="73">
        <v>0</v>
      </c>
      <c r="N246" s="74">
        <v>0</v>
      </c>
      <c r="O246" s="73">
        <v>0</v>
      </c>
      <c r="P246" s="74">
        <v>17490</v>
      </c>
      <c r="Q246" s="73">
        <v>1625774.2574700001</v>
      </c>
      <c r="R246" s="71" t="s">
        <v>625</v>
      </c>
      <c r="S246" s="71">
        <v>7414000005</v>
      </c>
      <c r="W246" s="3">
        <v>1038853</v>
      </c>
      <c r="X246">
        <v>982585.83231199998</v>
      </c>
      <c r="AB246"/>
      <c r="AC246"/>
    </row>
    <row r="247" spans="1:29" x14ac:dyDescent="0.25">
      <c r="A247" t="str">
        <f t="shared" si="4"/>
        <v xml:space="preserve">1018694GOBFED 260305       </v>
      </c>
      <c r="B247" s="71">
        <v>1018694</v>
      </c>
      <c r="C247" s="71" t="s">
        <v>661</v>
      </c>
      <c r="D247" s="71" t="s">
        <v>379</v>
      </c>
      <c r="E247" s="71" t="s">
        <v>623</v>
      </c>
      <c r="F247" s="71" t="s">
        <v>624</v>
      </c>
      <c r="G247" s="74">
        <v>17357</v>
      </c>
      <c r="H247" s="72">
        <v>88.698122999999995</v>
      </c>
      <c r="I247" s="73">
        <v>1539533.320911</v>
      </c>
      <c r="J247" s="72">
        <v>85.583216460166497</v>
      </c>
      <c r="K247" s="73">
        <v>54065.432811890001</v>
      </c>
      <c r="L247" s="74">
        <v>0</v>
      </c>
      <c r="M247" s="73">
        <v>0</v>
      </c>
      <c r="N247" s="74">
        <v>0</v>
      </c>
      <c r="O247" s="73">
        <v>0</v>
      </c>
      <c r="P247" s="74">
        <v>17357</v>
      </c>
      <c r="Q247" s="73">
        <v>1539533.320911</v>
      </c>
      <c r="R247" s="71" t="s">
        <v>625</v>
      </c>
      <c r="S247" s="71">
        <v>7414000005</v>
      </c>
      <c r="W247" s="3">
        <v>65509560409</v>
      </c>
      <c r="X247">
        <v>57344512.107092001</v>
      </c>
      <c r="AB247"/>
      <c r="AC247"/>
    </row>
    <row r="248" spans="1:29" x14ac:dyDescent="0.25">
      <c r="A248" t="str">
        <f t="shared" si="4"/>
        <v xml:space="preserve">1018694GOBFED 260903       </v>
      </c>
      <c r="B248" s="71">
        <v>1018694</v>
      </c>
      <c r="C248" s="71" t="s">
        <v>661</v>
      </c>
      <c r="D248" s="71" t="s">
        <v>380</v>
      </c>
      <c r="E248" s="71" t="s">
        <v>623</v>
      </c>
      <c r="F248" s="71" t="s">
        <v>624</v>
      </c>
      <c r="G248" s="74">
        <v>33880</v>
      </c>
      <c r="H248" s="72">
        <v>93.314192000000006</v>
      </c>
      <c r="I248" s="73">
        <v>3161484.8249599999</v>
      </c>
      <c r="J248" s="72">
        <v>98.894973383435655</v>
      </c>
      <c r="K248" s="73">
        <v>-189076.87327079999</v>
      </c>
      <c r="L248" s="74">
        <v>0</v>
      </c>
      <c r="M248" s="73">
        <v>0</v>
      </c>
      <c r="N248" s="74">
        <v>0</v>
      </c>
      <c r="O248" s="73">
        <v>0</v>
      </c>
      <c r="P248" s="74">
        <v>33880</v>
      </c>
      <c r="Q248" s="73">
        <v>3161484.8249599999</v>
      </c>
      <c r="R248" s="71" t="s">
        <v>625</v>
      </c>
      <c r="S248" s="71">
        <v>7414000005</v>
      </c>
      <c r="W248" s="3">
        <v>65509560426</v>
      </c>
      <c r="X248">
        <v>217913.11411600001</v>
      </c>
      <c r="AB248"/>
      <c r="AC248"/>
    </row>
    <row r="249" spans="1:29" x14ac:dyDescent="0.25">
      <c r="A249" t="str">
        <f t="shared" si="4"/>
        <v xml:space="preserve">1018694GOBFED 270304       </v>
      </c>
      <c r="B249" s="71">
        <v>1018694</v>
      </c>
      <c r="C249" s="71" t="s">
        <v>661</v>
      </c>
      <c r="D249" s="71" t="s">
        <v>507</v>
      </c>
      <c r="E249" s="71" t="s">
        <v>623</v>
      </c>
      <c r="F249" s="71" t="s">
        <v>624</v>
      </c>
      <c r="G249" s="74">
        <v>30730</v>
      </c>
      <c r="H249" s="72">
        <v>94.864168000000006</v>
      </c>
      <c r="I249" s="73">
        <v>2915175.88264</v>
      </c>
      <c r="J249" s="72">
        <v>96.403544792235607</v>
      </c>
      <c r="K249" s="73">
        <v>-47305.048825400001</v>
      </c>
      <c r="L249" s="74">
        <v>0</v>
      </c>
      <c r="M249" s="73">
        <v>0</v>
      </c>
      <c r="N249" s="74">
        <v>0</v>
      </c>
      <c r="O249" s="73">
        <v>0</v>
      </c>
      <c r="P249" s="74">
        <v>30730</v>
      </c>
      <c r="Q249" s="73">
        <v>2915175.88264</v>
      </c>
      <c r="R249" s="71" t="s">
        <v>625</v>
      </c>
      <c r="S249" s="71">
        <v>7414000005</v>
      </c>
      <c r="W249" s="3">
        <v>65509560443</v>
      </c>
      <c r="X249">
        <v>594835.91909600003</v>
      </c>
      <c r="AB249"/>
      <c r="AC249"/>
    </row>
    <row r="250" spans="1:29" x14ac:dyDescent="0.25">
      <c r="A250" t="str">
        <f t="shared" si="4"/>
        <v xml:space="preserve">1018694GOBFED 270603       </v>
      </c>
      <c r="B250" s="71">
        <v>1018694</v>
      </c>
      <c r="C250" s="71" t="s">
        <v>661</v>
      </c>
      <c r="D250" s="71" t="s">
        <v>381</v>
      </c>
      <c r="E250" s="71" t="s">
        <v>623</v>
      </c>
      <c r="F250" s="71" t="s">
        <v>624</v>
      </c>
      <c r="G250" s="74">
        <v>89129</v>
      </c>
      <c r="H250" s="72">
        <v>94.870157000000006</v>
      </c>
      <c r="I250" s="73">
        <v>8455682.2232530005</v>
      </c>
      <c r="J250" s="72">
        <v>96.750571777887103</v>
      </c>
      <c r="K250" s="73">
        <v>-167599.48873829999</v>
      </c>
      <c r="L250" s="74">
        <v>0</v>
      </c>
      <c r="M250" s="73">
        <v>0</v>
      </c>
      <c r="N250" s="74">
        <v>0</v>
      </c>
      <c r="O250" s="73">
        <v>0</v>
      </c>
      <c r="P250" s="74">
        <v>89129</v>
      </c>
      <c r="Q250" s="73">
        <v>8455682.2232530005</v>
      </c>
      <c r="R250" s="71" t="s">
        <v>625</v>
      </c>
      <c r="S250" s="71">
        <v>7414000005</v>
      </c>
      <c r="W250" s="3">
        <v>65509560457</v>
      </c>
      <c r="X250">
        <v>1277403.6654079999</v>
      </c>
      <c r="AB250"/>
      <c r="AC250"/>
    </row>
    <row r="251" spans="1:29" x14ac:dyDescent="0.25">
      <c r="A251" t="str">
        <f t="shared" si="4"/>
        <v xml:space="preserve">1018694GOBFED 290301       </v>
      </c>
      <c r="B251" s="71">
        <v>1018694</v>
      </c>
      <c r="C251" s="71" t="s">
        <v>661</v>
      </c>
      <c r="D251" s="71" t="s">
        <v>382</v>
      </c>
      <c r="E251" s="71" t="s">
        <v>623</v>
      </c>
      <c r="F251" s="71" t="s">
        <v>624</v>
      </c>
      <c r="G251" s="74">
        <v>41710</v>
      </c>
      <c r="H251" s="72">
        <v>89.489464999999996</v>
      </c>
      <c r="I251" s="73">
        <v>3732605.5851500002</v>
      </c>
      <c r="J251" s="72">
        <v>90.958526981819702</v>
      </c>
      <c r="K251" s="73">
        <v>-61274.575261700003</v>
      </c>
      <c r="L251" s="74">
        <v>0</v>
      </c>
      <c r="M251" s="73">
        <v>0</v>
      </c>
      <c r="N251" s="74">
        <v>0</v>
      </c>
      <c r="O251" s="73">
        <v>0</v>
      </c>
      <c r="P251" s="74">
        <v>41710</v>
      </c>
      <c r="Q251" s="73">
        <v>3732605.5851500002</v>
      </c>
      <c r="R251" s="71" t="s">
        <v>625</v>
      </c>
      <c r="S251" s="71">
        <v>7414000005</v>
      </c>
      <c r="W251" s="3">
        <v>1000001940</v>
      </c>
      <c r="X251">
        <v>137939612.65438801</v>
      </c>
      <c r="AB251"/>
      <c r="AC251"/>
    </row>
    <row r="252" spans="1:29" x14ac:dyDescent="0.25">
      <c r="A252" t="str">
        <f t="shared" si="4"/>
        <v xml:space="preserve">1018694GOBFED 290531       </v>
      </c>
      <c r="B252" s="71">
        <v>1018694</v>
      </c>
      <c r="C252" s="71" t="s">
        <v>661</v>
      </c>
      <c r="D252" s="71" t="s">
        <v>383</v>
      </c>
      <c r="E252" s="71" t="s">
        <v>623</v>
      </c>
      <c r="F252" s="71" t="s">
        <v>624</v>
      </c>
      <c r="G252" s="74">
        <v>83750</v>
      </c>
      <c r="H252" s="72">
        <v>86.197128000000006</v>
      </c>
      <c r="I252" s="73">
        <v>7219009.4699999997</v>
      </c>
      <c r="J252" s="72">
        <v>89.67892150592597</v>
      </c>
      <c r="K252" s="73">
        <v>-291600.2061213</v>
      </c>
      <c r="L252" s="74">
        <v>0</v>
      </c>
      <c r="M252" s="73">
        <v>0</v>
      </c>
      <c r="N252" s="74">
        <v>0</v>
      </c>
      <c r="O252" s="73">
        <v>0</v>
      </c>
      <c r="P252" s="74">
        <v>83750</v>
      </c>
      <c r="Q252" s="73">
        <v>7219009.4699999997</v>
      </c>
      <c r="R252" s="71" t="s">
        <v>625</v>
      </c>
      <c r="S252" s="71">
        <v>7414000005</v>
      </c>
      <c r="W252" s="3">
        <v>1000002861</v>
      </c>
      <c r="X252">
        <v>13097239.509880001</v>
      </c>
      <c r="AB252"/>
      <c r="AC252"/>
    </row>
    <row r="253" spans="1:29" x14ac:dyDescent="0.25">
      <c r="A253" t="str">
        <f t="shared" si="4"/>
        <v xml:space="preserve">1018694GOBFED 310529       </v>
      </c>
      <c r="B253" s="71">
        <v>1018694</v>
      </c>
      <c r="C253" s="71" t="s">
        <v>661</v>
      </c>
      <c r="D253" s="71" t="s">
        <v>427</v>
      </c>
      <c r="E253" s="71" t="s">
        <v>623</v>
      </c>
      <c r="F253" s="71" t="s">
        <v>624</v>
      </c>
      <c r="G253" s="74">
        <v>66571</v>
      </c>
      <c r="H253" s="72">
        <v>86.469353999999996</v>
      </c>
      <c r="I253" s="73">
        <v>5756351.3651339998</v>
      </c>
      <c r="J253" s="72">
        <v>90.709951541621876</v>
      </c>
      <c r="K253" s="73">
        <v>-282300.81894331001</v>
      </c>
      <c r="L253" s="74">
        <v>0</v>
      </c>
      <c r="M253" s="73">
        <v>0</v>
      </c>
      <c r="N253" s="74">
        <v>0</v>
      </c>
      <c r="O253" s="73">
        <v>0</v>
      </c>
      <c r="P253" s="74">
        <v>66571</v>
      </c>
      <c r="Q253" s="73">
        <v>5756351.3651339998</v>
      </c>
      <c r="R253" s="71" t="s">
        <v>625</v>
      </c>
      <c r="S253" s="71">
        <v>7414000005</v>
      </c>
      <c r="W253" s="3">
        <v>1000003291</v>
      </c>
      <c r="X253">
        <v>60779327.953492001</v>
      </c>
      <c r="AB253"/>
      <c r="AC253"/>
    </row>
    <row r="254" spans="1:29" x14ac:dyDescent="0.25">
      <c r="A254" t="str">
        <f t="shared" si="4"/>
        <v xml:space="preserve">1018694GOBFED 330526       </v>
      </c>
      <c r="B254" s="71">
        <v>1018694</v>
      </c>
      <c r="C254" s="71" t="s">
        <v>661</v>
      </c>
      <c r="D254" s="71" t="s">
        <v>418</v>
      </c>
      <c r="E254" s="71" t="s">
        <v>623</v>
      </c>
      <c r="F254" s="71" t="s">
        <v>624</v>
      </c>
      <c r="G254" s="74">
        <v>2803</v>
      </c>
      <c r="H254" s="72">
        <v>101.45096599999999</v>
      </c>
      <c r="I254" s="73">
        <v>284367.05769799999</v>
      </c>
      <c r="J254" s="72">
        <v>114.11447106</v>
      </c>
      <c r="K254" s="73">
        <v>-35495.804683180002</v>
      </c>
      <c r="L254" s="74">
        <v>0</v>
      </c>
      <c r="M254" s="73">
        <v>0</v>
      </c>
      <c r="N254" s="74">
        <v>0</v>
      </c>
      <c r="O254" s="73">
        <v>0</v>
      </c>
      <c r="P254" s="74">
        <v>2803</v>
      </c>
      <c r="Q254" s="73">
        <v>284367.05769799999</v>
      </c>
      <c r="R254" s="71" t="s">
        <v>625</v>
      </c>
      <c r="S254" s="71">
        <v>7414000005</v>
      </c>
      <c r="W254" s="3">
        <v>1000003292</v>
      </c>
      <c r="X254">
        <v>8581992.0128080007</v>
      </c>
      <c r="AB254"/>
      <c r="AC254"/>
    </row>
    <row r="255" spans="1:29" x14ac:dyDescent="0.25">
      <c r="A255" t="str">
        <f t="shared" si="4"/>
        <v xml:space="preserve">1018694GOBFED 341123       </v>
      </c>
      <c r="B255" s="71">
        <v>1018694</v>
      </c>
      <c r="C255" s="71" t="s">
        <v>661</v>
      </c>
      <c r="D255" s="71" t="s">
        <v>408</v>
      </c>
      <c r="E255" s="71" t="s">
        <v>623</v>
      </c>
      <c r="F255" s="71" t="s">
        <v>624</v>
      </c>
      <c r="G255" s="74">
        <v>2448</v>
      </c>
      <c r="H255" s="72">
        <v>89.643172000000007</v>
      </c>
      <c r="I255" s="73">
        <v>219446.485056</v>
      </c>
      <c r="J255" s="72">
        <v>108.47711812999999</v>
      </c>
      <c r="K255" s="73">
        <v>-46105.500126239996</v>
      </c>
      <c r="L255" s="74">
        <v>0</v>
      </c>
      <c r="M255" s="73">
        <v>0</v>
      </c>
      <c r="N255" s="74">
        <v>0</v>
      </c>
      <c r="O255" s="73">
        <v>0</v>
      </c>
      <c r="P255" s="74">
        <v>2448</v>
      </c>
      <c r="Q255" s="73">
        <v>219446.485056</v>
      </c>
      <c r="R255" s="71" t="s">
        <v>625</v>
      </c>
      <c r="S255" s="71">
        <v>7414000005</v>
      </c>
      <c r="W255" s="3">
        <v>1000003293</v>
      </c>
      <c r="X255">
        <v>31340123.241996001</v>
      </c>
      <c r="AB255"/>
      <c r="AC255"/>
    </row>
    <row r="256" spans="1:29" x14ac:dyDescent="0.25">
      <c r="A256" t="str">
        <f t="shared" si="4"/>
        <v xml:space="preserve">1018694GOBFED 361120       </v>
      </c>
      <c r="B256" s="71">
        <v>1018694</v>
      </c>
      <c r="C256" s="71" t="s">
        <v>661</v>
      </c>
      <c r="D256" s="71" t="s">
        <v>384</v>
      </c>
      <c r="E256" s="71" t="s">
        <v>623</v>
      </c>
      <c r="F256" s="71" t="s">
        <v>624</v>
      </c>
      <c r="G256" s="74">
        <v>57775</v>
      </c>
      <c r="H256" s="72">
        <v>81.738860000000003</v>
      </c>
      <c r="I256" s="73">
        <v>4722462.6365</v>
      </c>
      <c r="J256" s="72">
        <v>86.431341162410732</v>
      </c>
      <c r="K256" s="73">
        <v>-271108.09915828001</v>
      </c>
      <c r="L256" s="74">
        <v>0</v>
      </c>
      <c r="M256" s="73">
        <v>0</v>
      </c>
      <c r="N256" s="74">
        <v>0</v>
      </c>
      <c r="O256" s="73">
        <v>0</v>
      </c>
      <c r="P256" s="74">
        <v>57775</v>
      </c>
      <c r="Q256" s="73">
        <v>4722462.6365</v>
      </c>
      <c r="R256" s="71" t="s">
        <v>625</v>
      </c>
      <c r="S256" s="71">
        <v>7414000005</v>
      </c>
      <c r="W256" s="3">
        <v>1000003294</v>
      </c>
      <c r="X256">
        <v>2752363.5903360001</v>
      </c>
      <c r="AB256"/>
      <c r="AC256"/>
    </row>
    <row r="257" spans="1:29" x14ac:dyDescent="0.25">
      <c r="A257" t="str">
        <f t="shared" si="4"/>
        <v xml:space="preserve">1018694GOBFED 381118       </v>
      </c>
      <c r="B257" s="71">
        <v>1018694</v>
      </c>
      <c r="C257" s="71" t="s">
        <v>661</v>
      </c>
      <c r="D257" s="71" t="s">
        <v>385</v>
      </c>
      <c r="E257" s="71" t="s">
        <v>623</v>
      </c>
      <c r="F257" s="71" t="s">
        <v>624</v>
      </c>
      <c r="G257" s="74">
        <v>16984</v>
      </c>
      <c r="H257" s="72">
        <v>83.200761</v>
      </c>
      <c r="I257" s="73">
        <v>1413081.7248239999</v>
      </c>
      <c r="J257" s="72">
        <v>92.435743429566656</v>
      </c>
      <c r="K257" s="73">
        <v>-156846.94158376</v>
      </c>
      <c r="L257" s="74">
        <v>0</v>
      </c>
      <c r="M257" s="73">
        <v>0</v>
      </c>
      <c r="N257" s="74">
        <v>0</v>
      </c>
      <c r="O257" s="73">
        <v>0</v>
      </c>
      <c r="P257" s="74">
        <v>16984</v>
      </c>
      <c r="Q257" s="73">
        <v>1413081.7248239999</v>
      </c>
      <c r="R257" s="71" t="s">
        <v>625</v>
      </c>
      <c r="S257" s="71">
        <v>7414000005</v>
      </c>
      <c r="W257" s="3">
        <v>1000003295</v>
      </c>
      <c r="X257">
        <v>82669240.862708002</v>
      </c>
      <c r="AB257"/>
      <c r="AC257"/>
    </row>
    <row r="258" spans="1:29" x14ac:dyDescent="0.25">
      <c r="A258" t="str">
        <f t="shared" si="4"/>
        <v xml:space="preserve">1018694GOBFED 421113       </v>
      </c>
      <c r="B258" s="71">
        <v>1018694</v>
      </c>
      <c r="C258" s="71" t="s">
        <v>661</v>
      </c>
      <c r="D258" s="71" t="s">
        <v>386</v>
      </c>
      <c r="E258" s="71" t="s">
        <v>623</v>
      </c>
      <c r="F258" s="71" t="s">
        <v>624</v>
      </c>
      <c r="G258" s="74">
        <v>82572</v>
      </c>
      <c r="H258" s="72">
        <v>82.159907000000004</v>
      </c>
      <c r="I258" s="73">
        <v>6784107.8408040004</v>
      </c>
      <c r="J258" s="72">
        <v>84.188416131988319</v>
      </c>
      <c r="K258" s="73">
        <v>-167498.05604654</v>
      </c>
      <c r="L258" s="74">
        <v>0</v>
      </c>
      <c r="M258" s="73">
        <v>0</v>
      </c>
      <c r="N258" s="74">
        <v>0</v>
      </c>
      <c r="O258" s="73">
        <v>0</v>
      </c>
      <c r="P258" s="74">
        <v>82572</v>
      </c>
      <c r="Q258" s="73">
        <v>6784107.8408040004</v>
      </c>
      <c r="R258" s="71" t="s">
        <v>625</v>
      </c>
      <c r="S258" s="71">
        <v>7414000005</v>
      </c>
      <c r="W258" s="3">
        <v>1000003296</v>
      </c>
      <c r="X258">
        <v>29963625.547031999</v>
      </c>
      <c r="AB258"/>
      <c r="AC258"/>
    </row>
    <row r="259" spans="1:29" x14ac:dyDescent="0.25">
      <c r="A259" t="str">
        <f t="shared" si="4"/>
        <v xml:space="preserve">1018694GOBFED 471107       </v>
      </c>
      <c r="B259" s="71">
        <v>1018694</v>
      </c>
      <c r="C259" s="71" t="s">
        <v>661</v>
      </c>
      <c r="D259" s="71" t="s">
        <v>419</v>
      </c>
      <c r="E259" s="71" t="s">
        <v>623</v>
      </c>
      <c r="F259" s="71" t="s">
        <v>624</v>
      </c>
      <c r="G259" s="74">
        <v>0</v>
      </c>
      <c r="H259" s="72">
        <v>0</v>
      </c>
      <c r="I259" s="73">
        <v>0</v>
      </c>
      <c r="J259" s="72">
        <v>0</v>
      </c>
      <c r="K259" s="73">
        <v>0</v>
      </c>
      <c r="L259" s="74">
        <v>0</v>
      </c>
      <c r="M259" s="73">
        <v>0</v>
      </c>
      <c r="N259" s="74">
        <v>0</v>
      </c>
      <c r="O259" s="73">
        <v>0</v>
      </c>
      <c r="P259" s="74">
        <v>0</v>
      </c>
      <c r="Q259" s="73">
        <v>0</v>
      </c>
      <c r="R259" s="71" t="s">
        <v>625</v>
      </c>
      <c r="S259" s="71">
        <v>7414000005</v>
      </c>
      <c r="W259" s="3">
        <v>1000003297</v>
      </c>
      <c r="X259">
        <v>10801619.469752001</v>
      </c>
      <c r="AB259"/>
      <c r="AC259"/>
    </row>
    <row r="260" spans="1:29" x14ac:dyDescent="0.25">
      <c r="A260" t="str">
        <f t="shared" si="4"/>
        <v xml:space="preserve">1018694GOBFED 530731       </v>
      </c>
      <c r="B260" s="71">
        <v>1018694</v>
      </c>
      <c r="C260" s="71" t="s">
        <v>661</v>
      </c>
      <c r="D260" s="71" t="s">
        <v>429</v>
      </c>
      <c r="E260" s="71" t="s">
        <v>623</v>
      </c>
      <c r="F260" s="71" t="s">
        <v>624</v>
      </c>
      <c r="G260" s="74">
        <v>72279</v>
      </c>
      <c r="H260" s="72">
        <v>98.007834000000003</v>
      </c>
      <c r="I260" s="73">
        <v>7083908.2336860001</v>
      </c>
      <c r="J260" s="72">
        <v>89.811540712579585</v>
      </c>
      <c r="K260" s="73">
        <v>592419.88252145995</v>
      </c>
      <c r="L260" s="74">
        <v>0</v>
      </c>
      <c r="M260" s="73">
        <v>0</v>
      </c>
      <c r="N260" s="74">
        <v>0</v>
      </c>
      <c r="O260" s="73">
        <v>0</v>
      </c>
      <c r="P260" s="74">
        <v>72279</v>
      </c>
      <c r="Q260" s="73">
        <v>7083908.2336860001</v>
      </c>
      <c r="R260" s="71" t="s">
        <v>625</v>
      </c>
      <c r="S260" s="71">
        <v>7414000005</v>
      </c>
      <c r="W260" s="3">
        <v>1000003298</v>
      </c>
      <c r="X260">
        <v>26481530.031164002</v>
      </c>
      <c r="AB260"/>
      <c r="AC260"/>
    </row>
    <row r="261" spans="1:29" x14ac:dyDescent="0.25">
      <c r="A261" t="str">
        <f t="shared" si="4"/>
        <v xml:space="preserve">1018694IENOVA *            </v>
      </c>
      <c r="B261" s="71">
        <v>1018694</v>
      </c>
      <c r="C261" s="71" t="s">
        <v>661</v>
      </c>
      <c r="D261" s="71" t="s">
        <v>389</v>
      </c>
      <c r="E261" s="71" t="s">
        <v>623</v>
      </c>
      <c r="F261" s="71" t="s">
        <v>624</v>
      </c>
      <c r="G261" s="74">
        <v>3047659</v>
      </c>
      <c r="H261" s="72">
        <v>3.3967719999999999</v>
      </c>
      <c r="I261" s="73">
        <v>10352202.756748</v>
      </c>
      <c r="J261" s="72">
        <v>3.3096765681462395</v>
      </c>
      <c r="K261" s="73">
        <v>265437.17674800003</v>
      </c>
      <c r="L261" s="74">
        <v>0</v>
      </c>
      <c r="M261" s="73">
        <v>0</v>
      </c>
      <c r="N261" s="74">
        <v>0</v>
      </c>
      <c r="O261" s="73">
        <v>0</v>
      </c>
      <c r="P261" s="74">
        <v>3047659</v>
      </c>
      <c r="Q261" s="73">
        <v>10352202.756748</v>
      </c>
      <c r="R261" s="71" t="s">
        <v>625</v>
      </c>
      <c r="S261" s="71">
        <v>7414000005</v>
      </c>
      <c r="W261" s="3">
        <v>1000003299</v>
      </c>
      <c r="X261">
        <v>96704930.350431994</v>
      </c>
      <c r="AB261"/>
      <c r="AC261"/>
    </row>
    <row r="262" spans="1:29" x14ac:dyDescent="0.25">
      <c r="A262" t="str">
        <f t="shared" si="4"/>
        <v xml:space="preserve">1018694PEMEX 13-2          </v>
      </c>
      <c r="B262" s="71">
        <v>1018694</v>
      </c>
      <c r="C262" s="71" t="s">
        <v>661</v>
      </c>
      <c r="D262" s="71" t="s">
        <v>391</v>
      </c>
      <c r="E262" s="71" t="s">
        <v>623</v>
      </c>
      <c r="F262" s="71" t="s">
        <v>624</v>
      </c>
      <c r="G262" s="74">
        <v>5861</v>
      </c>
      <c r="H262" s="72">
        <v>775.69178699999998</v>
      </c>
      <c r="I262" s="73">
        <v>4546329.5636069998</v>
      </c>
      <c r="J262" s="72">
        <v>766.69784126000002</v>
      </c>
      <c r="K262" s="73">
        <v>52713.515982140001</v>
      </c>
      <c r="L262" s="74">
        <v>0</v>
      </c>
      <c r="M262" s="73">
        <v>0</v>
      </c>
      <c r="N262" s="74">
        <v>0</v>
      </c>
      <c r="O262" s="73">
        <v>0</v>
      </c>
      <c r="P262" s="74">
        <v>5861</v>
      </c>
      <c r="Q262" s="73">
        <v>4546329.5636069998</v>
      </c>
      <c r="R262" s="71" t="s">
        <v>625</v>
      </c>
      <c r="S262" s="71">
        <v>7414000005</v>
      </c>
      <c r="W262" s="3">
        <v>1000003300</v>
      </c>
      <c r="X262">
        <v>10765009.061136</v>
      </c>
      <c r="AB262"/>
      <c r="AC262"/>
    </row>
    <row r="263" spans="1:29" x14ac:dyDescent="0.25">
      <c r="A263" t="str">
        <f t="shared" ref="A263:A326" si="5">B261&amp;D261</f>
        <v xml:space="preserve">1018694STERGOB ED          </v>
      </c>
      <c r="B263" s="71">
        <v>1018694</v>
      </c>
      <c r="C263" s="71" t="s">
        <v>661</v>
      </c>
      <c r="D263" s="71" t="s">
        <v>392</v>
      </c>
      <c r="E263" s="71" t="s">
        <v>623</v>
      </c>
      <c r="F263" s="71" t="s">
        <v>624</v>
      </c>
      <c r="G263" s="74">
        <v>12002</v>
      </c>
      <c r="H263" s="72">
        <v>747.17843200000004</v>
      </c>
      <c r="I263" s="73">
        <v>8967635.5408640001</v>
      </c>
      <c r="J263" s="72">
        <v>723.84327280451589</v>
      </c>
      <c r="K263" s="73">
        <v>280068.58066420001</v>
      </c>
      <c r="L263" s="74">
        <v>0</v>
      </c>
      <c r="M263" s="73">
        <v>0</v>
      </c>
      <c r="N263" s="74">
        <v>0</v>
      </c>
      <c r="O263" s="73">
        <v>0</v>
      </c>
      <c r="P263" s="74">
        <v>12002</v>
      </c>
      <c r="Q263" s="73">
        <v>8967635.5408640001</v>
      </c>
      <c r="R263" s="71" t="s">
        <v>625</v>
      </c>
      <c r="S263" s="71">
        <v>7414000005</v>
      </c>
      <c r="W263" s="3">
        <v>1000003301</v>
      </c>
      <c r="X263">
        <v>21470183.983491998</v>
      </c>
      <c r="AB263"/>
      <c r="AC263"/>
    </row>
    <row r="264" spans="1:29" x14ac:dyDescent="0.25">
      <c r="A264" t="str">
        <f t="shared" si="5"/>
        <v xml:space="preserve">1018694UDIBONO 251204      </v>
      </c>
      <c r="B264" s="71">
        <v>1018694</v>
      </c>
      <c r="C264" s="71" t="s">
        <v>661</v>
      </c>
      <c r="D264" s="71" t="s">
        <v>393</v>
      </c>
      <c r="E264" s="71" t="s">
        <v>623</v>
      </c>
      <c r="F264" s="71" t="s">
        <v>624</v>
      </c>
      <c r="G264" s="74">
        <v>3840</v>
      </c>
      <c r="H264" s="72">
        <v>765.92388300000005</v>
      </c>
      <c r="I264" s="73">
        <v>2941147.7107199999</v>
      </c>
      <c r="J264" s="72">
        <v>752.52974169119796</v>
      </c>
      <c r="K264" s="73">
        <v>51433.5026258</v>
      </c>
      <c r="L264" s="74">
        <v>0</v>
      </c>
      <c r="M264" s="73">
        <v>0</v>
      </c>
      <c r="N264" s="74">
        <v>0</v>
      </c>
      <c r="O264" s="73">
        <v>0</v>
      </c>
      <c r="P264" s="74">
        <v>3840</v>
      </c>
      <c r="Q264" s="73">
        <v>2941147.7107199999</v>
      </c>
      <c r="R264" s="71" t="s">
        <v>625</v>
      </c>
      <c r="S264" s="71">
        <v>7414000005</v>
      </c>
      <c r="W264" s="3">
        <v>1000003302</v>
      </c>
      <c r="X264">
        <v>13975865.53926</v>
      </c>
      <c r="AB264"/>
      <c r="AC264"/>
    </row>
    <row r="265" spans="1:29" x14ac:dyDescent="0.25">
      <c r="A265" t="str">
        <f t="shared" si="5"/>
        <v xml:space="preserve">1018694UDIBONO 261203      </v>
      </c>
      <c r="B265" s="71">
        <v>1018694</v>
      </c>
      <c r="C265" s="71" t="s">
        <v>661</v>
      </c>
      <c r="D265" s="71" t="s">
        <v>394</v>
      </c>
      <c r="E265" s="71" t="s">
        <v>623</v>
      </c>
      <c r="F265" s="71" t="s">
        <v>624</v>
      </c>
      <c r="G265" s="74">
        <v>12221</v>
      </c>
      <c r="H265" s="72">
        <v>684.88915799999995</v>
      </c>
      <c r="I265" s="73">
        <v>8370030.3999180002</v>
      </c>
      <c r="J265" s="72">
        <v>678.03104617035433</v>
      </c>
      <c r="K265" s="73">
        <v>83812.984670100006</v>
      </c>
      <c r="L265" s="74">
        <v>0</v>
      </c>
      <c r="M265" s="73">
        <v>0</v>
      </c>
      <c r="N265" s="74">
        <v>0</v>
      </c>
      <c r="O265" s="73">
        <v>0</v>
      </c>
      <c r="P265" s="74">
        <v>12221</v>
      </c>
      <c r="Q265" s="73">
        <v>8370030.3999180002</v>
      </c>
      <c r="R265" s="71" t="s">
        <v>625</v>
      </c>
      <c r="S265" s="71">
        <v>7414000005</v>
      </c>
      <c r="W265" s="3">
        <v>1000003305</v>
      </c>
      <c r="X265">
        <v>10526385.828136001</v>
      </c>
      <c r="AB265"/>
      <c r="AC265"/>
    </row>
    <row r="266" spans="1:29" x14ac:dyDescent="0.25">
      <c r="A266" t="str">
        <f t="shared" si="5"/>
        <v xml:space="preserve">1018694UDIBONO 281130      </v>
      </c>
      <c r="B266" s="71">
        <v>1018694</v>
      </c>
      <c r="C266" s="71" t="s">
        <v>661</v>
      </c>
      <c r="D266" s="71" t="s">
        <v>395</v>
      </c>
      <c r="E266" s="71" t="s">
        <v>623</v>
      </c>
      <c r="F266" s="71" t="s">
        <v>624</v>
      </c>
      <c r="G266" s="74">
        <v>793</v>
      </c>
      <c r="H266" s="72">
        <v>772.926965</v>
      </c>
      <c r="I266" s="73">
        <v>612931.08324499999</v>
      </c>
      <c r="J266" s="72">
        <v>798.93664675000002</v>
      </c>
      <c r="K266" s="73">
        <v>-20625.677627749999</v>
      </c>
      <c r="L266" s="74">
        <v>0</v>
      </c>
      <c r="M266" s="73">
        <v>0</v>
      </c>
      <c r="N266" s="74">
        <v>0</v>
      </c>
      <c r="O266" s="73">
        <v>0</v>
      </c>
      <c r="P266" s="74">
        <v>793</v>
      </c>
      <c r="Q266" s="73">
        <v>612931.08324499999</v>
      </c>
      <c r="R266" s="71" t="s">
        <v>625</v>
      </c>
      <c r="S266" s="71">
        <v>7414000005</v>
      </c>
      <c r="W266" s="3">
        <v>65508881201</v>
      </c>
      <c r="X266">
        <v>1529145.231872</v>
      </c>
      <c r="AB266"/>
      <c r="AC266"/>
    </row>
    <row r="267" spans="1:29" x14ac:dyDescent="0.25">
      <c r="A267" t="str">
        <f t="shared" si="5"/>
        <v xml:space="preserve">1018694UDIBONO 311127      </v>
      </c>
      <c r="B267" s="71">
        <v>1018694</v>
      </c>
      <c r="C267" s="71" t="s">
        <v>661</v>
      </c>
      <c r="D267" s="71" t="s">
        <v>396</v>
      </c>
      <c r="E267" s="71" t="s">
        <v>623</v>
      </c>
      <c r="F267" s="71" t="s">
        <v>624</v>
      </c>
      <c r="G267" s="74">
        <v>4837</v>
      </c>
      <c r="H267" s="72">
        <v>721.59464000000003</v>
      </c>
      <c r="I267" s="73">
        <v>3490353.2736800001</v>
      </c>
      <c r="J267" s="72">
        <v>757.14391105401694</v>
      </c>
      <c r="K267" s="73">
        <v>-171951.82408828</v>
      </c>
      <c r="L267" s="74">
        <v>0</v>
      </c>
      <c r="M267" s="73">
        <v>0</v>
      </c>
      <c r="N267" s="74">
        <v>0</v>
      </c>
      <c r="O267" s="73">
        <v>0</v>
      </c>
      <c r="P267" s="74">
        <v>4837</v>
      </c>
      <c r="Q267" s="73">
        <v>3490353.2736800001</v>
      </c>
      <c r="R267" s="71" t="s">
        <v>625</v>
      </c>
      <c r="S267" s="71">
        <v>7414000005</v>
      </c>
      <c r="W267" s="3">
        <v>65508886089</v>
      </c>
      <c r="X267">
        <v>96488725.812631994</v>
      </c>
      <c r="AB267"/>
      <c r="AC267"/>
    </row>
    <row r="268" spans="1:29" x14ac:dyDescent="0.25">
      <c r="A268" t="str">
        <f t="shared" si="5"/>
        <v xml:space="preserve">1018694UDIBONO 351122      </v>
      </c>
      <c r="B268" s="71">
        <v>1018694</v>
      </c>
      <c r="C268" s="71" t="s">
        <v>661</v>
      </c>
      <c r="D268" s="71" t="s">
        <v>397</v>
      </c>
      <c r="E268" s="71" t="s">
        <v>623</v>
      </c>
      <c r="F268" s="71" t="s">
        <v>624</v>
      </c>
      <c r="G268" s="74">
        <v>2287</v>
      </c>
      <c r="H268" s="72">
        <v>635.96311900000001</v>
      </c>
      <c r="I268" s="73">
        <v>1454447.6531529999</v>
      </c>
      <c r="J268" s="72">
        <v>647.93802047999998</v>
      </c>
      <c r="K268" s="73">
        <v>-27386.59968476</v>
      </c>
      <c r="L268" s="74">
        <v>0</v>
      </c>
      <c r="M268" s="73">
        <v>0</v>
      </c>
      <c r="N268" s="74">
        <v>0</v>
      </c>
      <c r="O268" s="73">
        <v>0</v>
      </c>
      <c r="P268" s="74">
        <v>2287</v>
      </c>
      <c r="Q268" s="73">
        <v>1454447.6531529999</v>
      </c>
      <c r="R268" s="71" t="s">
        <v>625</v>
      </c>
      <c r="S268" s="71">
        <v>7414000005</v>
      </c>
      <c r="W268" s="3">
        <v>65508888184</v>
      </c>
      <c r="X268">
        <v>1513312.8775800001</v>
      </c>
      <c r="AB268"/>
      <c r="AC268"/>
    </row>
    <row r="269" spans="1:29" x14ac:dyDescent="0.25">
      <c r="A269" t="str">
        <f t="shared" si="5"/>
        <v xml:space="preserve">1018694UDIBONO 401115      </v>
      </c>
      <c r="B269" s="71">
        <v>1018694</v>
      </c>
      <c r="C269" s="71" t="s">
        <v>661</v>
      </c>
      <c r="D269" s="71" t="s">
        <v>398</v>
      </c>
      <c r="E269" s="71" t="s">
        <v>623</v>
      </c>
      <c r="F269" s="71" t="s">
        <v>624</v>
      </c>
      <c r="G269" s="74">
        <v>5175</v>
      </c>
      <c r="H269" s="72">
        <v>709.36974099999998</v>
      </c>
      <c r="I269" s="73">
        <v>3670988.4096749998</v>
      </c>
      <c r="J269" s="72">
        <v>724.7392342995015</v>
      </c>
      <c r="K269" s="73">
        <v>-79537.127824919997</v>
      </c>
      <c r="L269" s="74">
        <v>0</v>
      </c>
      <c r="M269" s="73">
        <v>0</v>
      </c>
      <c r="N269" s="74">
        <v>0</v>
      </c>
      <c r="O269" s="73">
        <v>0</v>
      </c>
      <c r="P269" s="74">
        <v>5175</v>
      </c>
      <c r="Q269" s="73">
        <v>3670988.4096749998</v>
      </c>
      <c r="R269" s="71" t="s">
        <v>625</v>
      </c>
      <c r="S269" s="71">
        <v>7414000005</v>
      </c>
      <c r="W269" s="3">
        <v>65509889998</v>
      </c>
      <c r="X269">
        <v>8487768.9542999994</v>
      </c>
      <c r="AB269"/>
      <c r="AC269"/>
    </row>
    <row r="270" spans="1:29" x14ac:dyDescent="0.25">
      <c r="A270" t="str">
        <f t="shared" si="5"/>
        <v xml:space="preserve">1018694UDIBONO 431112      </v>
      </c>
      <c r="B270" s="71">
        <v>1018694</v>
      </c>
      <c r="C270" s="71" t="s">
        <v>661</v>
      </c>
      <c r="D270" s="71" t="s">
        <v>399</v>
      </c>
      <c r="E270" s="71" t="s">
        <v>623</v>
      </c>
      <c r="F270" s="71" t="s">
        <v>624</v>
      </c>
      <c r="G270" s="74">
        <v>9197</v>
      </c>
      <c r="H270" s="72">
        <v>694.41118700000004</v>
      </c>
      <c r="I270" s="73">
        <v>6386499.6868390003</v>
      </c>
      <c r="J270" s="72">
        <v>721.263691953288</v>
      </c>
      <c r="K270" s="73">
        <v>-246962.48805538999</v>
      </c>
      <c r="L270" s="74">
        <v>0</v>
      </c>
      <c r="M270" s="73">
        <v>0</v>
      </c>
      <c r="N270" s="74">
        <v>0</v>
      </c>
      <c r="O270" s="73">
        <v>0</v>
      </c>
      <c r="P270" s="74">
        <v>9197</v>
      </c>
      <c r="Q270" s="73">
        <v>6386499.6868390003</v>
      </c>
      <c r="R270" s="71" t="s">
        <v>625</v>
      </c>
      <c r="S270" s="71">
        <v>7414000005</v>
      </c>
      <c r="W270" s="3">
        <v>65509890080</v>
      </c>
      <c r="X270">
        <v>164613488.29682401</v>
      </c>
      <c r="AB270"/>
      <c r="AC270"/>
    </row>
    <row r="271" spans="1:29" x14ac:dyDescent="0.25">
      <c r="A271" t="str">
        <f t="shared" si="5"/>
        <v xml:space="preserve">1018694UDIBONO 461108      </v>
      </c>
      <c r="B271" s="71">
        <v>1018695</v>
      </c>
      <c r="C271" s="71" t="s">
        <v>662</v>
      </c>
      <c r="D271" s="71" t="s">
        <v>422</v>
      </c>
      <c r="E271" s="71" t="s">
        <v>623</v>
      </c>
      <c r="F271" s="71" t="s">
        <v>624</v>
      </c>
      <c r="G271" s="74">
        <v>35</v>
      </c>
      <c r="H271" s="72">
        <v>97.654420999999999</v>
      </c>
      <c r="I271" s="73">
        <v>3417.9047350000001</v>
      </c>
      <c r="J271" s="72">
        <v>98.224185000000006</v>
      </c>
      <c r="K271" s="73">
        <v>-19.941739999999999</v>
      </c>
      <c r="L271" s="74">
        <v>0</v>
      </c>
      <c r="M271" s="73">
        <v>0</v>
      </c>
      <c r="N271" s="74">
        <v>0</v>
      </c>
      <c r="O271" s="73">
        <v>0</v>
      </c>
      <c r="P271" s="74">
        <v>35</v>
      </c>
      <c r="Q271" s="73">
        <v>3417.9047350000001</v>
      </c>
      <c r="R271" s="71" t="s">
        <v>625</v>
      </c>
      <c r="S271" s="71">
        <v>7414000005</v>
      </c>
      <c r="W271" s="3">
        <v>65509890154</v>
      </c>
      <c r="X271">
        <v>6151374.0630839998</v>
      </c>
      <c r="AB271"/>
      <c r="AC271"/>
    </row>
    <row r="272" spans="1:29" x14ac:dyDescent="0.25">
      <c r="A272" t="str">
        <f t="shared" si="5"/>
        <v xml:space="preserve">1018694UDIBONO 501103      </v>
      </c>
      <c r="B272" s="71">
        <v>1018695</v>
      </c>
      <c r="C272" s="71" t="s">
        <v>662</v>
      </c>
      <c r="D272" s="71" t="s">
        <v>375</v>
      </c>
      <c r="E272" s="71" t="s">
        <v>623</v>
      </c>
      <c r="F272" s="71" t="s">
        <v>624</v>
      </c>
      <c r="G272" s="74">
        <v>389</v>
      </c>
      <c r="H272" s="72">
        <v>98.730349000000004</v>
      </c>
      <c r="I272" s="73">
        <v>38406.105760999999</v>
      </c>
      <c r="J272" s="72">
        <v>104.81191507</v>
      </c>
      <c r="K272" s="73">
        <v>-2365.7292012299999</v>
      </c>
      <c r="L272" s="74">
        <v>0</v>
      </c>
      <c r="M272" s="73">
        <v>0</v>
      </c>
      <c r="N272" s="74">
        <v>0</v>
      </c>
      <c r="O272" s="73">
        <v>0</v>
      </c>
      <c r="P272" s="74">
        <v>389</v>
      </c>
      <c r="Q272" s="73">
        <v>38406.105760999999</v>
      </c>
      <c r="R272" s="71" t="s">
        <v>625</v>
      </c>
      <c r="S272" s="71">
        <v>7414000005</v>
      </c>
      <c r="W272" s="3">
        <v>65509890276</v>
      </c>
      <c r="X272">
        <v>6706960.2817200003</v>
      </c>
      <c r="AB272"/>
      <c r="AC272"/>
    </row>
    <row r="273" spans="1:29" x14ac:dyDescent="0.25">
      <c r="A273" t="str">
        <f t="shared" si="5"/>
        <v xml:space="preserve">1018695CETELEM 22          </v>
      </c>
      <c r="B273" s="71">
        <v>1018695</v>
      </c>
      <c r="C273" s="71" t="s">
        <v>662</v>
      </c>
      <c r="D273" s="71" t="s">
        <v>376</v>
      </c>
      <c r="E273" s="71" t="s">
        <v>623</v>
      </c>
      <c r="F273" s="71" t="s">
        <v>624</v>
      </c>
      <c r="G273" s="74">
        <v>742</v>
      </c>
      <c r="H273" s="72">
        <v>99.247497999999993</v>
      </c>
      <c r="I273" s="73">
        <v>73641.643515999996</v>
      </c>
      <c r="J273" s="72">
        <v>112.90833475762803</v>
      </c>
      <c r="K273" s="73">
        <v>-10136.34087416</v>
      </c>
      <c r="L273" s="74">
        <v>0</v>
      </c>
      <c r="M273" s="73">
        <v>0</v>
      </c>
      <c r="N273" s="74">
        <v>0</v>
      </c>
      <c r="O273" s="73">
        <v>0</v>
      </c>
      <c r="P273" s="74">
        <v>742</v>
      </c>
      <c r="Q273" s="73">
        <v>73641.643515999996</v>
      </c>
      <c r="R273" s="71" t="s">
        <v>625</v>
      </c>
      <c r="S273" s="71">
        <v>7414000005</v>
      </c>
      <c r="W273" s="3">
        <v>1000001249</v>
      </c>
      <c r="X273">
        <v>4424422.0716279997</v>
      </c>
      <c r="AB273"/>
      <c r="AC273"/>
    </row>
    <row r="274" spans="1:29" x14ac:dyDescent="0.25">
      <c r="A274" t="str">
        <f t="shared" si="5"/>
        <v xml:space="preserve">1018695GOBFED 240905       </v>
      </c>
      <c r="B274" s="71">
        <v>1018695</v>
      </c>
      <c r="C274" s="71" t="s">
        <v>662</v>
      </c>
      <c r="D274" s="71" t="s">
        <v>377</v>
      </c>
      <c r="E274" s="71" t="s">
        <v>623</v>
      </c>
      <c r="F274" s="71" t="s">
        <v>624</v>
      </c>
      <c r="G274" s="74">
        <v>190</v>
      </c>
      <c r="H274" s="72">
        <v>94.973146999999997</v>
      </c>
      <c r="I274" s="73">
        <v>18044.897929999999</v>
      </c>
      <c r="J274" s="72">
        <v>89.786778143157889</v>
      </c>
      <c r="K274" s="73">
        <v>985.41008280000005</v>
      </c>
      <c r="L274" s="74">
        <v>0</v>
      </c>
      <c r="M274" s="73">
        <v>0</v>
      </c>
      <c r="N274" s="74">
        <v>0</v>
      </c>
      <c r="O274" s="73">
        <v>0</v>
      </c>
      <c r="P274" s="74">
        <v>190</v>
      </c>
      <c r="Q274" s="73">
        <v>18044.897929999999</v>
      </c>
      <c r="R274" s="71" t="s">
        <v>625</v>
      </c>
      <c r="S274" s="71">
        <v>7414000005</v>
      </c>
      <c r="W274" s="3">
        <v>1000002677</v>
      </c>
      <c r="X274">
        <v>1037139.253318</v>
      </c>
      <c r="AB274"/>
      <c r="AC274"/>
    </row>
    <row r="275" spans="1:29" x14ac:dyDescent="0.25">
      <c r="A275" t="str">
        <f t="shared" si="5"/>
        <v xml:space="preserve">1018695GOBFED 241205       </v>
      </c>
      <c r="B275" s="71">
        <v>1018695</v>
      </c>
      <c r="C275" s="71" t="s">
        <v>662</v>
      </c>
      <c r="D275" s="71" t="s">
        <v>378</v>
      </c>
      <c r="E275" s="71" t="s">
        <v>623</v>
      </c>
      <c r="F275" s="71" t="s">
        <v>624</v>
      </c>
      <c r="G275" s="74">
        <v>673</v>
      </c>
      <c r="H275" s="72">
        <v>91.911821000000003</v>
      </c>
      <c r="I275" s="73">
        <v>61856.655532999997</v>
      </c>
      <c r="J275" s="72">
        <v>93.2088459</v>
      </c>
      <c r="K275" s="73">
        <v>-872.89775770000006</v>
      </c>
      <c r="L275" s="74">
        <v>0</v>
      </c>
      <c r="M275" s="73">
        <v>0</v>
      </c>
      <c r="N275" s="74">
        <v>0</v>
      </c>
      <c r="O275" s="73">
        <v>0</v>
      </c>
      <c r="P275" s="74">
        <v>673</v>
      </c>
      <c r="Q275" s="73">
        <v>61856.655532999997</v>
      </c>
      <c r="R275" s="71" t="s">
        <v>625</v>
      </c>
      <c r="S275" s="71">
        <v>7414000005</v>
      </c>
      <c r="W275" s="3">
        <v>1000003307</v>
      </c>
      <c r="X275">
        <v>7177.3792359999998</v>
      </c>
      <c r="AB275"/>
      <c r="AC275"/>
    </row>
    <row r="276" spans="1:29" x14ac:dyDescent="0.25">
      <c r="A276" t="str">
        <f t="shared" si="5"/>
        <v xml:space="preserve">1018695GOBFED 250306       </v>
      </c>
      <c r="B276" s="71">
        <v>1018695</v>
      </c>
      <c r="C276" s="71" t="s">
        <v>662</v>
      </c>
      <c r="D276" s="71" t="s">
        <v>499</v>
      </c>
      <c r="E276" s="71" t="s">
        <v>623</v>
      </c>
      <c r="F276" s="71" t="s">
        <v>624</v>
      </c>
      <c r="G276" s="74">
        <v>290</v>
      </c>
      <c r="H276" s="72">
        <v>92.954503000000003</v>
      </c>
      <c r="I276" s="73">
        <v>26956.80587</v>
      </c>
      <c r="J276" s="72">
        <v>93.332995301034487</v>
      </c>
      <c r="K276" s="73">
        <v>-109.76276729999999</v>
      </c>
      <c r="L276" s="74">
        <v>0</v>
      </c>
      <c r="M276" s="73">
        <v>0</v>
      </c>
      <c r="N276" s="74">
        <v>0</v>
      </c>
      <c r="O276" s="73">
        <v>0</v>
      </c>
      <c r="P276" s="74">
        <v>290</v>
      </c>
      <c r="Q276" s="73">
        <v>26956.80587</v>
      </c>
      <c r="R276" s="71" t="s">
        <v>625</v>
      </c>
      <c r="S276" s="71">
        <v>7414000005</v>
      </c>
      <c r="W276" s="3">
        <v>1000003633</v>
      </c>
      <c r="X276">
        <v>417343521.534922</v>
      </c>
      <c r="AB276"/>
      <c r="AC276"/>
    </row>
    <row r="277" spans="1:29" x14ac:dyDescent="0.25">
      <c r="A277" t="str">
        <f t="shared" si="5"/>
        <v xml:space="preserve">1018695GOBFED 260305       </v>
      </c>
      <c r="B277" s="71">
        <v>1018695</v>
      </c>
      <c r="C277" s="71" t="s">
        <v>662</v>
      </c>
      <c r="D277" s="71" t="s">
        <v>379</v>
      </c>
      <c r="E277" s="71" t="s">
        <v>623</v>
      </c>
      <c r="F277" s="71" t="s">
        <v>624</v>
      </c>
      <c r="G277" s="74">
        <v>316</v>
      </c>
      <c r="H277" s="72">
        <v>88.698122999999995</v>
      </c>
      <c r="I277" s="73">
        <v>28028.606867999999</v>
      </c>
      <c r="J277" s="72">
        <v>85.568848202151898</v>
      </c>
      <c r="K277" s="73">
        <v>988.85083612000005</v>
      </c>
      <c r="L277" s="74">
        <v>0</v>
      </c>
      <c r="M277" s="73">
        <v>0</v>
      </c>
      <c r="N277" s="74">
        <v>0</v>
      </c>
      <c r="O277" s="73">
        <v>0</v>
      </c>
      <c r="P277" s="74">
        <v>316</v>
      </c>
      <c r="Q277" s="73">
        <v>28028.606867999999</v>
      </c>
      <c r="R277" s="71" t="s">
        <v>625</v>
      </c>
      <c r="S277" s="71">
        <v>7414000005</v>
      </c>
      <c r="W277" s="3">
        <v>1000003315</v>
      </c>
      <c r="X277">
        <v>22289085.259999998</v>
      </c>
      <c r="AB277"/>
      <c r="AC277"/>
    </row>
    <row r="278" spans="1:29" x14ac:dyDescent="0.25">
      <c r="A278" t="str">
        <f t="shared" si="5"/>
        <v xml:space="preserve">1018695GOBFED 260903       </v>
      </c>
      <c r="B278" s="71">
        <v>1018695</v>
      </c>
      <c r="C278" s="71" t="s">
        <v>662</v>
      </c>
      <c r="D278" s="71" t="s">
        <v>380</v>
      </c>
      <c r="E278" s="71" t="s">
        <v>623</v>
      </c>
      <c r="F278" s="71" t="s">
        <v>624</v>
      </c>
      <c r="G278" s="74">
        <v>1310</v>
      </c>
      <c r="H278" s="72">
        <v>93.314192000000006</v>
      </c>
      <c r="I278" s="73">
        <v>122241.59152</v>
      </c>
      <c r="J278" s="72">
        <v>96.714839917862591</v>
      </c>
      <c r="K278" s="73">
        <v>-4454.8487723999997</v>
      </c>
      <c r="L278" s="74">
        <v>0</v>
      </c>
      <c r="M278" s="73">
        <v>0</v>
      </c>
      <c r="N278" s="74">
        <v>0</v>
      </c>
      <c r="O278" s="73">
        <v>0</v>
      </c>
      <c r="P278" s="74">
        <v>1310</v>
      </c>
      <c r="Q278" s="73">
        <v>122241.59152</v>
      </c>
      <c r="R278" s="71" t="s">
        <v>625</v>
      </c>
      <c r="S278" s="71">
        <v>7414000005</v>
      </c>
      <c r="W278" s="3" t="s">
        <v>21</v>
      </c>
      <c r="X278">
        <v>33777800309.778954</v>
      </c>
      <c r="AB278"/>
      <c r="AC278"/>
    </row>
    <row r="279" spans="1:29" x14ac:dyDescent="0.25">
      <c r="A279" t="str">
        <f t="shared" si="5"/>
        <v xml:space="preserve">1018695GOBFED 270304       </v>
      </c>
      <c r="B279" s="71">
        <v>1018695</v>
      </c>
      <c r="C279" s="71" t="s">
        <v>662</v>
      </c>
      <c r="D279" s="71" t="s">
        <v>507</v>
      </c>
      <c r="E279" s="71" t="s">
        <v>623</v>
      </c>
      <c r="F279" s="71" t="s">
        <v>624</v>
      </c>
      <c r="G279" s="74">
        <v>570</v>
      </c>
      <c r="H279" s="72">
        <v>94.864168000000006</v>
      </c>
      <c r="I279" s="73">
        <v>54072.57576</v>
      </c>
      <c r="J279" s="72">
        <v>96.385970966842109</v>
      </c>
      <c r="K279" s="73">
        <v>-867.42769109999995</v>
      </c>
      <c r="L279" s="74">
        <v>0</v>
      </c>
      <c r="M279" s="73">
        <v>0</v>
      </c>
      <c r="N279" s="74">
        <v>0</v>
      </c>
      <c r="O279" s="73">
        <v>0</v>
      </c>
      <c r="P279" s="74">
        <v>570</v>
      </c>
      <c r="Q279" s="73">
        <v>54072.57576</v>
      </c>
      <c r="R279" s="71" t="s">
        <v>625</v>
      </c>
      <c r="S279" s="71">
        <v>7414000005</v>
      </c>
      <c r="X279"/>
      <c r="AB279"/>
      <c r="AC279"/>
    </row>
    <row r="280" spans="1:29" x14ac:dyDescent="0.25">
      <c r="A280" t="str">
        <f t="shared" si="5"/>
        <v xml:space="preserve">1018695GOBFED 270603       </v>
      </c>
      <c r="B280" s="71">
        <v>1018695</v>
      </c>
      <c r="C280" s="71" t="s">
        <v>662</v>
      </c>
      <c r="D280" s="71" t="s">
        <v>381</v>
      </c>
      <c r="E280" s="71" t="s">
        <v>623</v>
      </c>
      <c r="F280" s="71" t="s">
        <v>624</v>
      </c>
      <c r="G280" s="74">
        <v>1483</v>
      </c>
      <c r="H280" s="72">
        <v>94.870157000000006</v>
      </c>
      <c r="I280" s="73">
        <v>140692.44283099999</v>
      </c>
      <c r="J280" s="72">
        <v>96.965956425219147</v>
      </c>
      <c r="K280" s="73">
        <v>-3108.0705475999998</v>
      </c>
      <c r="L280" s="74">
        <v>0</v>
      </c>
      <c r="M280" s="73">
        <v>0</v>
      </c>
      <c r="N280" s="74">
        <v>0</v>
      </c>
      <c r="O280" s="73">
        <v>0</v>
      </c>
      <c r="P280" s="74">
        <v>1483</v>
      </c>
      <c r="Q280" s="73">
        <v>140692.44283099999</v>
      </c>
      <c r="R280" s="71" t="s">
        <v>625</v>
      </c>
      <c r="S280" s="71">
        <v>7414000005</v>
      </c>
      <c r="X280"/>
      <c r="AB280"/>
      <c r="AC280"/>
    </row>
    <row r="281" spans="1:29" x14ac:dyDescent="0.25">
      <c r="A281" t="str">
        <f t="shared" si="5"/>
        <v xml:space="preserve">1018695GOBFED 290301       </v>
      </c>
      <c r="B281" s="71">
        <v>1018695</v>
      </c>
      <c r="C281" s="71" t="s">
        <v>662</v>
      </c>
      <c r="D281" s="71" t="s">
        <v>382</v>
      </c>
      <c r="E281" s="71" t="s">
        <v>623</v>
      </c>
      <c r="F281" s="71" t="s">
        <v>624</v>
      </c>
      <c r="G281" s="74">
        <v>162</v>
      </c>
      <c r="H281" s="72">
        <v>89.489464999999996</v>
      </c>
      <c r="I281" s="73">
        <v>14497.29333</v>
      </c>
      <c r="J281" s="72">
        <v>92.773634099999995</v>
      </c>
      <c r="K281" s="73">
        <v>-532.03539420000004</v>
      </c>
      <c r="L281" s="74">
        <v>0</v>
      </c>
      <c r="M281" s="73">
        <v>0</v>
      </c>
      <c r="N281" s="74">
        <v>0</v>
      </c>
      <c r="O281" s="73">
        <v>0</v>
      </c>
      <c r="P281" s="74">
        <v>162</v>
      </c>
      <c r="Q281" s="73">
        <v>14497.29333</v>
      </c>
      <c r="R281" s="71" t="s">
        <v>625</v>
      </c>
      <c r="S281" s="71">
        <v>7414000005</v>
      </c>
      <c r="X281"/>
      <c r="AB281"/>
      <c r="AC281"/>
    </row>
    <row r="282" spans="1:29" x14ac:dyDescent="0.25">
      <c r="A282" t="str">
        <f t="shared" si="5"/>
        <v xml:space="preserve">1018695GOBFED 290531       </v>
      </c>
      <c r="B282" s="71">
        <v>1018695</v>
      </c>
      <c r="C282" s="71" t="s">
        <v>662</v>
      </c>
      <c r="D282" s="71" t="s">
        <v>383</v>
      </c>
      <c r="E282" s="71" t="s">
        <v>623</v>
      </c>
      <c r="F282" s="71" t="s">
        <v>624</v>
      </c>
      <c r="G282" s="74">
        <v>1320</v>
      </c>
      <c r="H282" s="72">
        <v>86.197128000000006</v>
      </c>
      <c r="I282" s="73">
        <v>113780.20896</v>
      </c>
      <c r="J282" s="72">
        <v>89.427180993787886</v>
      </c>
      <c r="K282" s="73">
        <v>-4263.6699517999996</v>
      </c>
      <c r="L282" s="74">
        <v>0</v>
      </c>
      <c r="M282" s="73">
        <v>0</v>
      </c>
      <c r="N282" s="74">
        <v>0</v>
      </c>
      <c r="O282" s="73">
        <v>0</v>
      </c>
      <c r="P282" s="74">
        <v>1320</v>
      </c>
      <c r="Q282" s="73">
        <v>113780.20896</v>
      </c>
      <c r="R282" s="71" t="s">
        <v>625</v>
      </c>
      <c r="S282" s="71">
        <v>7414000005</v>
      </c>
      <c r="X282"/>
      <c r="AB282"/>
      <c r="AC282"/>
    </row>
    <row r="283" spans="1:29" x14ac:dyDescent="0.25">
      <c r="A283" t="str">
        <f t="shared" si="5"/>
        <v xml:space="preserve">1018695GOBFED 310529       </v>
      </c>
      <c r="B283" s="71">
        <v>1018695</v>
      </c>
      <c r="C283" s="71" t="s">
        <v>662</v>
      </c>
      <c r="D283" s="71" t="s">
        <v>427</v>
      </c>
      <c r="E283" s="71" t="s">
        <v>623</v>
      </c>
      <c r="F283" s="71" t="s">
        <v>624</v>
      </c>
      <c r="G283" s="74">
        <v>60</v>
      </c>
      <c r="H283" s="72">
        <v>86.469353999999996</v>
      </c>
      <c r="I283" s="73">
        <v>5188.1612400000004</v>
      </c>
      <c r="J283" s="72">
        <v>112.18590945</v>
      </c>
      <c r="K283" s="73">
        <v>-1542.9933269999999</v>
      </c>
      <c r="L283" s="74">
        <v>0</v>
      </c>
      <c r="M283" s="73">
        <v>0</v>
      </c>
      <c r="N283" s="74">
        <v>0</v>
      </c>
      <c r="O283" s="73">
        <v>0</v>
      </c>
      <c r="P283" s="74">
        <v>60</v>
      </c>
      <c r="Q283" s="73">
        <v>5188.1612400000004</v>
      </c>
      <c r="R283" s="71" t="s">
        <v>625</v>
      </c>
      <c r="S283" s="71">
        <v>7414000005</v>
      </c>
      <c r="X283"/>
      <c r="AB283"/>
      <c r="AC283"/>
    </row>
    <row r="284" spans="1:29" x14ac:dyDescent="0.25">
      <c r="A284" t="str">
        <f t="shared" si="5"/>
        <v xml:space="preserve">1018695GOBFED 330526       </v>
      </c>
      <c r="B284" s="71">
        <v>1018695</v>
      </c>
      <c r="C284" s="71" t="s">
        <v>662</v>
      </c>
      <c r="D284" s="71" t="s">
        <v>418</v>
      </c>
      <c r="E284" s="71" t="s">
        <v>623</v>
      </c>
      <c r="F284" s="71" t="s">
        <v>624</v>
      </c>
      <c r="G284" s="74">
        <v>59</v>
      </c>
      <c r="H284" s="72">
        <v>101.45096599999999</v>
      </c>
      <c r="I284" s="73">
        <v>5985.6069939999998</v>
      </c>
      <c r="J284" s="72">
        <v>114.11447106</v>
      </c>
      <c r="K284" s="73">
        <v>-747.14679853999996</v>
      </c>
      <c r="L284" s="74">
        <v>0</v>
      </c>
      <c r="M284" s="73">
        <v>0</v>
      </c>
      <c r="N284" s="74">
        <v>0</v>
      </c>
      <c r="O284" s="73">
        <v>0</v>
      </c>
      <c r="P284" s="74">
        <v>59</v>
      </c>
      <c r="Q284" s="73">
        <v>5985.6069939999998</v>
      </c>
      <c r="R284" s="71" t="s">
        <v>625</v>
      </c>
      <c r="S284" s="71">
        <v>7414000005</v>
      </c>
      <c r="X284"/>
      <c r="AB284"/>
      <c r="AC284"/>
    </row>
    <row r="285" spans="1:29" x14ac:dyDescent="0.25">
      <c r="A285" t="str">
        <f t="shared" si="5"/>
        <v xml:space="preserve">1018695GOBFED 341123       </v>
      </c>
      <c r="B285" s="71">
        <v>1018695</v>
      </c>
      <c r="C285" s="71" t="s">
        <v>662</v>
      </c>
      <c r="D285" s="71" t="s">
        <v>408</v>
      </c>
      <c r="E285" s="71" t="s">
        <v>623</v>
      </c>
      <c r="F285" s="71" t="s">
        <v>624</v>
      </c>
      <c r="G285" s="74">
        <v>63</v>
      </c>
      <c r="H285" s="72">
        <v>89.643172000000007</v>
      </c>
      <c r="I285" s="73">
        <v>5647.5198360000004</v>
      </c>
      <c r="J285" s="72">
        <v>108.47711812999999</v>
      </c>
      <c r="K285" s="73">
        <v>-1186.5386061900001</v>
      </c>
      <c r="L285" s="74">
        <v>0</v>
      </c>
      <c r="M285" s="73">
        <v>0</v>
      </c>
      <c r="N285" s="74">
        <v>0</v>
      </c>
      <c r="O285" s="73">
        <v>0</v>
      </c>
      <c r="P285" s="74">
        <v>63</v>
      </c>
      <c r="Q285" s="73">
        <v>5647.5198360000004</v>
      </c>
      <c r="R285" s="71" t="s">
        <v>625</v>
      </c>
      <c r="S285" s="71">
        <v>7414000005</v>
      </c>
      <c r="X285"/>
      <c r="AB285"/>
      <c r="AC285"/>
    </row>
    <row r="286" spans="1:29" x14ac:dyDescent="0.25">
      <c r="A286" t="str">
        <f t="shared" si="5"/>
        <v xml:space="preserve">1018695GOBFED 361120       </v>
      </c>
      <c r="B286" s="71">
        <v>1018695</v>
      </c>
      <c r="C286" s="71" t="s">
        <v>662</v>
      </c>
      <c r="D286" s="71" t="s">
        <v>384</v>
      </c>
      <c r="E286" s="71" t="s">
        <v>623</v>
      </c>
      <c r="F286" s="71" t="s">
        <v>624</v>
      </c>
      <c r="G286" s="74">
        <v>809</v>
      </c>
      <c r="H286" s="72">
        <v>81.738860000000003</v>
      </c>
      <c r="I286" s="73">
        <v>66126.737739999997</v>
      </c>
      <c r="J286" s="72">
        <v>86.177542760939431</v>
      </c>
      <c r="K286" s="73">
        <v>-3590.8943536000002</v>
      </c>
      <c r="L286" s="74">
        <v>0</v>
      </c>
      <c r="M286" s="73">
        <v>0</v>
      </c>
      <c r="N286" s="74">
        <v>0</v>
      </c>
      <c r="O286" s="73">
        <v>0</v>
      </c>
      <c r="P286" s="74">
        <v>809</v>
      </c>
      <c r="Q286" s="73">
        <v>66126.737739999997</v>
      </c>
      <c r="R286" s="71" t="s">
        <v>625</v>
      </c>
      <c r="S286" s="71">
        <v>7414000005</v>
      </c>
      <c r="X286"/>
      <c r="AB286"/>
      <c r="AC286"/>
    </row>
    <row r="287" spans="1:29" x14ac:dyDescent="0.25">
      <c r="A287" t="str">
        <f t="shared" si="5"/>
        <v xml:space="preserve">1018695GOBFED 381118       </v>
      </c>
      <c r="B287" s="71">
        <v>1018695</v>
      </c>
      <c r="C287" s="71" t="s">
        <v>662</v>
      </c>
      <c r="D287" s="71" t="s">
        <v>385</v>
      </c>
      <c r="E287" s="71" t="s">
        <v>623</v>
      </c>
      <c r="F287" s="71" t="s">
        <v>624</v>
      </c>
      <c r="G287" s="74">
        <v>235</v>
      </c>
      <c r="H287" s="72">
        <v>83.200761</v>
      </c>
      <c r="I287" s="73">
        <v>19552.178834999999</v>
      </c>
      <c r="J287" s="72">
        <v>94.885158046170218</v>
      </c>
      <c r="K287" s="73">
        <v>-2745.8333058500002</v>
      </c>
      <c r="L287" s="74">
        <v>0</v>
      </c>
      <c r="M287" s="73">
        <v>0</v>
      </c>
      <c r="N287" s="74">
        <v>0</v>
      </c>
      <c r="O287" s="73">
        <v>0</v>
      </c>
      <c r="P287" s="74">
        <v>235</v>
      </c>
      <c r="Q287" s="73">
        <v>19552.178834999999</v>
      </c>
      <c r="R287" s="71" t="s">
        <v>625</v>
      </c>
      <c r="S287" s="71">
        <v>7414000005</v>
      </c>
      <c r="X287"/>
      <c r="AB287"/>
      <c r="AC287"/>
    </row>
    <row r="288" spans="1:29" x14ac:dyDescent="0.25">
      <c r="A288" t="str">
        <f t="shared" si="5"/>
        <v xml:space="preserve">1018695GOBFED 421113       </v>
      </c>
      <c r="B288" s="71">
        <v>1018695</v>
      </c>
      <c r="C288" s="71" t="s">
        <v>662</v>
      </c>
      <c r="D288" s="71" t="s">
        <v>386</v>
      </c>
      <c r="E288" s="71" t="s">
        <v>623</v>
      </c>
      <c r="F288" s="71" t="s">
        <v>624</v>
      </c>
      <c r="G288" s="74">
        <v>263</v>
      </c>
      <c r="H288" s="72">
        <v>82.159907000000004</v>
      </c>
      <c r="I288" s="73">
        <v>21608.055541000002</v>
      </c>
      <c r="J288" s="72">
        <v>86.420874420000004</v>
      </c>
      <c r="K288" s="73">
        <v>-1120.6344314600001</v>
      </c>
      <c r="L288" s="74">
        <v>0</v>
      </c>
      <c r="M288" s="73">
        <v>0</v>
      </c>
      <c r="N288" s="74">
        <v>0</v>
      </c>
      <c r="O288" s="73">
        <v>0</v>
      </c>
      <c r="P288" s="74">
        <v>263</v>
      </c>
      <c r="Q288" s="73">
        <v>21608.055541000002</v>
      </c>
      <c r="R288" s="71" t="s">
        <v>625</v>
      </c>
      <c r="S288" s="71">
        <v>7414000005</v>
      </c>
      <c r="X288"/>
      <c r="AB288"/>
      <c r="AC288"/>
    </row>
    <row r="289" spans="1:29" x14ac:dyDescent="0.25">
      <c r="A289" t="str">
        <f t="shared" si="5"/>
        <v xml:space="preserve">1018695GOBFED 471107       </v>
      </c>
      <c r="B289" s="71">
        <v>1018695</v>
      </c>
      <c r="C289" s="71" t="s">
        <v>662</v>
      </c>
      <c r="D289" s="71" t="s">
        <v>429</v>
      </c>
      <c r="E289" s="71" t="s">
        <v>623</v>
      </c>
      <c r="F289" s="71" t="s">
        <v>624</v>
      </c>
      <c r="G289" s="74">
        <v>1706</v>
      </c>
      <c r="H289" s="72">
        <v>98.007834000000003</v>
      </c>
      <c r="I289" s="73">
        <v>167201.36480400001</v>
      </c>
      <c r="J289" s="72">
        <v>89.8322275917116</v>
      </c>
      <c r="K289" s="73">
        <v>13947.584532540001</v>
      </c>
      <c r="L289" s="74">
        <v>0</v>
      </c>
      <c r="M289" s="73">
        <v>0</v>
      </c>
      <c r="N289" s="74">
        <v>0</v>
      </c>
      <c r="O289" s="73">
        <v>0</v>
      </c>
      <c r="P289" s="74">
        <v>1706</v>
      </c>
      <c r="Q289" s="73">
        <v>167201.36480400001</v>
      </c>
      <c r="R289" s="71" t="s">
        <v>625</v>
      </c>
      <c r="S289" s="71">
        <v>7414000005</v>
      </c>
      <c r="X289"/>
      <c r="AB289"/>
      <c r="AC289"/>
    </row>
    <row r="290" spans="1:29" x14ac:dyDescent="0.25">
      <c r="A290" t="str">
        <f t="shared" si="5"/>
        <v xml:space="preserve">1018695GOBFED 530731       </v>
      </c>
      <c r="B290" s="71">
        <v>1018695</v>
      </c>
      <c r="C290" s="71" t="s">
        <v>662</v>
      </c>
      <c r="D290" s="71" t="s">
        <v>430</v>
      </c>
      <c r="E290" s="71" t="s">
        <v>623</v>
      </c>
      <c r="F290" s="71" t="s">
        <v>624</v>
      </c>
      <c r="G290" s="74">
        <v>212990</v>
      </c>
      <c r="H290" s="72">
        <v>3.1390400000000001</v>
      </c>
      <c r="I290" s="73">
        <v>668584.12959999999</v>
      </c>
      <c r="J290" s="72">
        <v>2.3135499788722473</v>
      </c>
      <c r="K290" s="73">
        <v>175821.11960000001</v>
      </c>
      <c r="L290" s="74">
        <v>0</v>
      </c>
      <c r="M290" s="73">
        <v>0</v>
      </c>
      <c r="N290" s="74">
        <v>0</v>
      </c>
      <c r="O290" s="73">
        <v>0</v>
      </c>
      <c r="P290" s="74">
        <v>212990</v>
      </c>
      <c r="Q290" s="73">
        <v>668584.12959999999</v>
      </c>
      <c r="R290" s="71" t="s">
        <v>625</v>
      </c>
      <c r="S290" s="71">
        <v>7414000005</v>
      </c>
      <c r="X290"/>
      <c r="AB290"/>
      <c r="AC290"/>
    </row>
    <row r="291" spans="1:29" x14ac:dyDescent="0.25">
      <c r="A291" t="str">
        <f t="shared" si="5"/>
        <v xml:space="preserve">1018695PEMEX 13-2          </v>
      </c>
      <c r="B291" s="71">
        <v>1018695</v>
      </c>
      <c r="C291" s="71" t="s">
        <v>662</v>
      </c>
      <c r="D291" s="71" t="s">
        <v>389</v>
      </c>
      <c r="E291" s="71" t="s">
        <v>623</v>
      </c>
      <c r="F291" s="71" t="s">
        <v>624</v>
      </c>
      <c r="G291" s="74">
        <v>54702</v>
      </c>
      <c r="H291" s="72">
        <v>3.3967719999999999</v>
      </c>
      <c r="I291" s="73">
        <v>185810.22194399999</v>
      </c>
      <c r="J291" s="72">
        <v>3.2923437899893973</v>
      </c>
      <c r="K291" s="73">
        <v>5712.4319439999999</v>
      </c>
      <c r="L291" s="74">
        <v>0</v>
      </c>
      <c r="M291" s="73">
        <v>0</v>
      </c>
      <c r="N291" s="74">
        <v>0</v>
      </c>
      <c r="O291" s="73">
        <v>0</v>
      </c>
      <c r="P291" s="74">
        <v>54702</v>
      </c>
      <c r="Q291" s="73">
        <v>185810.22194399999</v>
      </c>
      <c r="R291" s="71" t="s">
        <v>625</v>
      </c>
      <c r="S291" s="71">
        <v>7414000005</v>
      </c>
      <c r="X291"/>
      <c r="AB291"/>
      <c r="AC291"/>
    </row>
    <row r="292" spans="1:29" x14ac:dyDescent="0.25">
      <c r="A292" t="str">
        <f t="shared" si="5"/>
        <v xml:space="preserve">1018695ST&amp;ER-C ED          </v>
      </c>
      <c r="B292" s="71">
        <v>1018695</v>
      </c>
      <c r="C292" s="71" t="s">
        <v>662</v>
      </c>
      <c r="D292" s="71" t="s">
        <v>391</v>
      </c>
      <c r="E292" s="71" t="s">
        <v>623</v>
      </c>
      <c r="F292" s="71" t="s">
        <v>624</v>
      </c>
      <c r="G292" s="74">
        <v>221</v>
      </c>
      <c r="H292" s="72">
        <v>775.69178699999998</v>
      </c>
      <c r="I292" s="73">
        <v>171427.88492700001</v>
      </c>
      <c r="J292" s="72">
        <v>766.69784126000002</v>
      </c>
      <c r="K292" s="73">
        <v>1987.66200854</v>
      </c>
      <c r="L292" s="74">
        <v>0</v>
      </c>
      <c r="M292" s="73">
        <v>0</v>
      </c>
      <c r="N292" s="74">
        <v>0</v>
      </c>
      <c r="O292" s="73">
        <v>0</v>
      </c>
      <c r="P292" s="74">
        <v>221</v>
      </c>
      <c r="Q292" s="73">
        <v>171427.88492700001</v>
      </c>
      <c r="R292" s="71" t="s">
        <v>625</v>
      </c>
      <c r="S292" s="71">
        <v>7414000005</v>
      </c>
      <c r="X292"/>
      <c r="AB292"/>
      <c r="AC292"/>
    </row>
    <row r="293" spans="1:29" x14ac:dyDescent="0.25">
      <c r="A293" t="str">
        <f t="shared" si="5"/>
        <v xml:space="preserve">1018695STERGOB ED          </v>
      </c>
      <c r="B293" s="71">
        <v>1018695</v>
      </c>
      <c r="C293" s="71" t="s">
        <v>662</v>
      </c>
      <c r="D293" s="71" t="s">
        <v>392</v>
      </c>
      <c r="E293" s="71" t="s">
        <v>623</v>
      </c>
      <c r="F293" s="71" t="s">
        <v>624</v>
      </c>
      <c r="G293" s="74">
        <v>195</v>
      </c>
      <c r="H293" s="72">
        <v>747.17843200000004</v>
      </c>
      <c r="I293" s="73">
        <v>145699.79423999999</v>
      </c>
      <c r="J293" s="72">
        <v>723.27277492615383</v>
      </c>
      <c r="K293" s="73">
        <v>4661.6031294000004</v>
      </c>
      <c r="L293" s="74">
        <v>0</v>
      </c>
      <c r="M293" s="73">
        <v>0</v>
      </c>
      <c r="N293" s="74">
        <v>0</v>
      </c>
      <c r="O293" s="73">
        <v>0</v>
      </c>
      <c r="P293" s="74">
        <v>195</v>
      </c>
      <c r="Q293" s="73">
        <v>145699.79423999999</v>
      </c>
      <c r="R293" s="71" t="s">
        <v>625</v>
      </c>
      <c r="S293" s="71">
        <v>7414000005</v>
      </c>
      <c r="X293"/>
      <c r="AB293"/>
      <c r="AC293"/>
    </row>
    <row r="294" spans="1:29" x14ac:dyDescent="0.25">
      <c r="A294" t="str">
        <f t="shared" si="5"/>
        <v xml:space="preserve">1018695UDIBONO 251204      </v>
      </c>
      <c r="B294" s="71">
        <v>1018695</v>
      </c>
      <c r="C294" s="71" t="s">
        <v>662</v>
      </c>
      <c r="D294" s="71" t="s">
        <v>393</v>
      </c>
      <c r="E294" s="71" t="s">
        <v>623</v>
      </c>
      <c r="F294" s="71" t="s">
        <v>624</v>
      </c>
      <c r="G294" s="74">
        <v>71</v>
      </c>
      <c r="H294" s="72">
        <v>765.92388300000005</v>
      </c>
      <c r="I294" s="73">
        <v>54380.595693000003</v>
      </c>
      <c r="J294" s="72">
        <v>755.62436577450705</v>
      </c>
      <c r="K294" s="73">
        <v>731.26572300999999</v>
      </c>
      <c r="L294" s="74">
        <v>0</v>
      </c>
      <c r="M294" s="73">
        <v>0</v>
      </c>
      <c r="N294" s="74">
        <v>0</v>
      </c>
      <c r="O294" s="73">
        <v>0</v>
      </c>
      <c r="P294" s="74">
        <v>71</v>
      </c>
      <c r="Q294" s="73">
        <v>54380.595693000003</v>
      </c>
      <c r="R294" s="71" t="s">
        <v>625</v>
      </c>
      <c r="S294" s="71">
        <v>7414000005</v>
      </c>
      <c r="X294"/>
      <c r="AB294"/>
      <c r="AC294"/>
    </row>
    <row r="295" spans="1:29" x14ac:dyDescent="0.25">
      <c r="A295" t="str">
        <f t="shared" si="5"/>
        <v xml:space="preserve">1018695UDIBONO 261203      </v>
      </c>
      <c r="B295" s="71">
        <v>1018695</v>
      </c>
      <c r="C295" s="71" t="s">
        <v>662</v>
      </c>
      <c r="D295" s="71" t="s">
        <v>394</v>
      </c>
      <c r="E295" s="71" t="s">
        <v>623</v>
      </c>
      <c r="F295" s="71" t="s">
        <v>624</v>
      </c>
      <c r="G295" s="74">
        <v>137</v>
      </c>
      <c r="H295" s="72">
        <v>684.88915799999995</v>
      </c>
      <c r="I295" s="73">
        <v>93829.814645999999</v>
      </c>
      <c r="J295" s="72">
        <v>678.63896544744523</v>
      </c>
      <c r="K295" s="73">
        <v>856.27637970000001</v>
      </c>
      <c r="L295" s="74">
        <v>0</v>
      </c>
      <c r="M295" s="73">
        <v>0</v>
      </c>
      <c r="N295" s="74">
        <v>0</v>
      </c>
      <c r="O295" s="73">
        <v>0</v>
      </c>
      <c r="P295" s="74">
        <v>137</v>
      </c>
      <c r="Q295" s="73">
        <v>93829.814645999999</v>
      </c>
      <c r="R295" s="71" t="s">
        <v>625</v>
      </c>
      <c r="S295" s="71">
        <v>7414000005</v>
      </c>
      <c r="X295"/>
      <c r="AB295"/>
      <c r="AC295"/>
    </row>
    <row r="296" spans="1:29" x14ac:dyDescent="0.25">
      <c r="A296" t="str">
        <f t="shared" si="5"/>
        <v xml:space="preserve">1018695UDIBONO 281130      </v>
      </c>
      <c r="B296" s="71">
        <v>1018695</v>
      </c>
      <c r="C296" s="71" t="s">
        <v>662</v>
      </c>
      <c r="D296" s="71" t="s">
        <v>395</v>
      </c>
      <c r="E296" s="71" t="s">
        <v>623</v>
      </c>
      <c r="F296" s="71" t="s">
        <v>624</v>
      </c>
      <c r="G296" s="74">
        <v>65</v>
      </c>
      <c r="H296" s="72">
        <v>772.926965</v>
      </c>
      <c r="I296" s="73">
        <v>50240.252724999998</v>
      </c>
      <c r="J296" s="72">
        <v>801.54097862599997</v>
      </c>
      <c r="K296" s="73">
        <v>-1859.91088569</v>
      </c>
      <c r="L296" s="74">
        <v>0</v>
      </c>
      <c r="M296" s="73">
        <v>0</v>
      </c>
      <c r="N296" s="74">
        <v>0</v>
      </c>
      <c r="O296" s="73">
        <v>0</v>
      </c>
      <c r="P296" s="74">
        <v>65</v>
      </c>
      <c r="Q296" s="73">
        <v>50240.252724999998</v>
      </c>
      <c r="R296" s="71" t="s">
        <v>625</v>
      </c>
      <c r="S296" s="71">
        <v>7414000005</v>
      </c>
      <c r="X296"/>
      <c r="AB296"/>
      <c r="AC296"/>
    </row>
    <row r="297" spans="1:29" x14ac:dyDescent="0.25">
      <c r="A297" t="str">
        <f t="shared" si="5"/>
        <v xml:space="preserve">1018695UDIBONO 311127      </v>
      </c>
      <c r="B297" s="71">
        <v>1018695</v>
      </c>
      <c r="C297" s="71" t="s">
        <v>662</v>
      </c>
      <c r="D297" s="71" t="s">
        <v>396</v>
      </c>
      <c r="E297" s="71" t="s">
        <v>623</v>
      </c>
      <c r="F297" s="71" t="s">
        <v>624</v>
      </c>
      <c r="G297" s="74">
        <v>68</v>
      </c>
      <c r="H297" s="72">
        <v>721.59464000000003</v>
      </c>
      <c r="I297" s="73">
        <v>49068.435519999999</v>
      </c>
      <c r="J297" s="72">
        <v>757.11254959897053</v>
      </c>
      <c r="K297" s="73">
        <v>-2415.2178527299998</v>
      </c>
      <c r="L297" s="74">
        <v>0</v>
      </c>
      <c r="M297" s="73">
        <v>0</v>
      </c>
      <c r="N297" s="74">
        <v>0</v>
      </c>
      <c r="O297" s="73">
        <v>0</v>
      </c>
      <c r="P297" s="74">
        <v>68</v>
      </c>
      <c r="Q297" s="73">
        <v>49068.435519999999</v>
      </c>
      <c r="R297" s="71" t="s">
        <v>625</v>
      </c>
      <c r="S297" s="71">
        <v>7414000005</v>
      </c>
      <c r="X297"/>
      <c r="AB297"/>
      <c r="AC297"/>
    </row>
    <row r="298" spans="1:29" x14ac:dyDescent="0.25">
      <c r="A298" t="str">
        <f t="shared" si="5"/>
        <v xml:space="preserve">1018695UDIBONO 351122      </v>
      </c>
      <c r="B298" s="71">
        <v>1018695</v>
      </c>
      <c r="C298" s="71" t="s">
        <v>662</v>
      </c>
      <c r="D298" s="71" t="s">
        <v>397</v>
      </c>
      <c r="E298" s="71" t="s">
        <v>623</v>
      </c>
      <c r="F298" s="71" t="s">
        <v>624</v>
      </c>
      <c r="G298" s="74">
        <v>31</v>
      </c>
      <c r="H298" s="72">
        <v>635.96311900000001</v>
      </c>
      <c r="I298" s="73">
        <v>19714.856689</v>
      </c>
      <c r="J298" s="72">
        <v>647.93802047999998</v>
      </c>
      <c r="K298" s="73">
        <v>-371.22194588000002</v>
      </c>
      <c r="L298" s="74">
        <v>0</v>
      </c>
      <c r="M298" s="73">
        <v>0</v>
      </c>
      <c r="N298" s="74">
        <v>0</v>
      </c>
      <c r="O298" s="73">
        <v>0</v>
      </c>
      <c r="P298" s="74">
        <v>31</v>
      </c>
      <c r="Q298" s="73">
        <v>19714.856689</v>
      </c>
      <c r="R298" s="71" t="s">
        <v>625</v>
      </c>
      <c r="S298" s="71">
        <v>7414000005</v>
      </c>
      <c r="X298"/>
      <c r="AB298"/>
      <c r="AC298"/>
    </row>
    <row r="299" spans="1:29" x14ac:dyDescent="0.25">
      <c r="A299" t="str">
        <f t="shared" si="5"/>
        <v xml:space="preserve">1018695UDIBONO 401115      </v>
      </c>
      <c r="B299" s="71">
        <v>1018695</v>
      </c>
      <c r="C299" s="71" t="s">
        <v>662</v>
      </c>
      <c r="D299" s="71" t="s">
        <v>398</v>
      </c>
      <c r="E299" s="71" t="s">
        <v>623</v>
      </c>
      <c r="F299" s="71" t="s">
        <v>624</v>
      </c>
      <c r="G299" s="74">
        <v>97</v>
      </c>
      <c r="H299" s="72">
        <v>709.36974099999998</v>
      </c>
      <c r="I299" s="73">
        <v>68808.864877</v>
      </c>
      <c r="J299" s="72">
        <v>724.63651936999997</v>
      </c>
      <c r="K299" s="73">
        <v>-1480.8775018900001</v>
      </c>
      <c r="L299" s="74">
        <v>0</v>
      </c>
      <c r="M299" s="73">
        <v>0</v>
      </c>
      <c r="N299" s="74">
        <v>0</v>
      </c>
      <c r="O299" s="73">
        <v>0</v>
      </c>
      <c r="P299" s="74">
        <v>97</v>
      </c>
      <c r="Q299" s="73">
        <v>68808.864877</v>
      </c>
      <c r="R299" s="71" t="s">
        <v>625</v>
      </c>
      <c r="S299" s="71">
        <v>7414000005</v>
      </c>
      <c r="X299"/>
      <c r="AB299"/>
      <c r="AC299"/>
    </row>
    <row r="300" spans="1:29" x14ac:dyDescent="0.25">
      <c r="A300" t="str">
        <f t="shared" si="5"/>
        <v xml:space="preserve">1018695UDIBONO 431112      </v>
      </c>
      <c r="B300" s="71">
        <v>1018695</v>
      </c>
      <c r="C300" s="71" t="s">
        <v>662</v>
      </c>
      <c r="D300" s="71" t="s">
        <v>399</v>
      </c>
      <c r="E300" s="71" t="s">
        <v>623</v>
      </c>
      <c r="F300" s="71" t="s">
        <v>624</v>
      </c>
      <c r="G300" s="74">
        <v>222</v>
      </c>
      <c r="H300" s="72">
        <v>694.41118700000004</v>
      </c>
      <c r="I300" s="73">
        <v>154159.28351400001</v>
      </c>
      <c r="J300" s="72">
        <v>720.77534897378382</v>
      </c>
      <c r="K300" s="73">
        <v>-5852.8439581800003</v>
      </c>
      <c r="L300" s="74">
        <v>0</v>
      </c>
      <c r="M300" s="73">
        <v>0</v>
      </c>
      <c r="N300" s="74">
        <v>0</v>
      </c>
      <c r="O300" s="73">
        <v>0</v>
      </c>
      <c r="P300" s="74">
        <v>222</v>
      </c>
      <c r="Q300" s="73">
        <v>154159.28351400001</v>
      </c>
      <c r="R300" s="71" t="s">
        <v>625</v>
      </c>
      <c r="S300" s="71">
        <v>7414000005</v>
      </c>
      <c r="X300"/>
      <c r="AB300"/>
      <c r="AC300"/>
    </row>
    <row r="301" spans="1:29" x14ac:dyDescent="0.25">
      <c r="A301" t="str">
        <f t="shared" si="5"/>
        <v xml:space="preserve">1018695UDIBONO 461108      </v>
      </c>
      <c r="B301" s="71">
        <v>1018867</v>
      </c>
      <c r="C301" s="71" t="s">
        <v>663</v>
      </c>
      <c r="D301" s="71" t="s">
        <v>431</v>
      </c>
      <c r="E301" s="71" t="s">
        <v>623</v>
      </c>
      <c r="F301" s="71" t="s">
        <v>624</v>
      </c>
      <c r="G301" s="74">
        <v>8579692</v>
      </c>
      <c r="H301" s="72">
        <v>3.4005040000000002</v>
      </c>
      <c r="I301" s="73">
        <v>29175276.964768</v>
      </c>
      <c r="J301" s="72">
        <v>3.3808276835578712</v>
      </c>
      <c r="K301" s="73">
        <v>168816.73476799999</v>
      </c>
      <c r="L301" s="74">
        <v>0</v>
      </c>
      <c r="M301" s="73">
        <v>0</v>
      </c>
      <c r="N301" s="74">
        <v>0</v>
      </c>
      <c r="O301" s="73">
        <v>0</v>
      </c>
      <c r="P301" s="74">
        <v>8579692</v>
      </c>
      <c r="Q301" s="73">
        <v>29175276.964768</v>
      </c>
      <c r="R301" s="71" t="s">
        <v>625</v>
      </c>
      <c r="S301" s="71">
        <v>7414000005</v>
      </c>
      <c r="X301"/>
      <c r="AB301"/>
      <c r="AC301"/>
    </row>
    <row r="302" spans="1:29" x14ac:dyDescent="0.25">
      <c r="A302" t="str">
        <f t="shared" si="5"/>
        <v xml:space="preserve">1018695UDIBONO 501103      </v>
      </c>
      <c r="B302" s="71">
        <v>1018997</v>
      </c>
      <c r="C302" s="71" t="s">
        <v>664</v>
      </c>
      <c r="D302" s="71" t="s">
        <v>432</v>
      </c>
      <c r="E302" s="71" t="s">
        <v>623</v>
      </c>
      <c r="F302" s="71" t="s">
        <v>624</v>
      </c>
      <c r="G302" s="74">
        <v>0</v>
      </c>
      <c r="H302" s="72">
        <v>0</v>
      </c>
      <c r="I302" s="73">
        <v>0</v>
      </c>
      <c r="J302" s="72">
        <v>0</v>
      </c>
      <c r="K302" s="73">
        <v>0</v>
      </c>
      <c r="L302" s="74">
        <v>0</v>
      </c>
      <c r="M302" s="73">
        <v>0</v>
      </c>
      <c r="N302" s="74">
        <v>0</v>
      </c>
      <c r="O302" s="73">
        <v>0</v>
      </c>
      <c r="P302" s="74">
        <v>0</v>
      </c>
      <c r="Q302" s="73">
        <v>0</v>
      </c>
      <c r="R302" s="71" t="s">
        <v>625</v>
      </c>
      <c r="S302" s="71">
        <v>7414000005</v>
      </c>
      <c r="X302"/>
      <c r="AB302"/>
      <c r="AC302"/>
    </row>
    <row r="303" spans="1:29" x14ac:dyDescent="0.25">
      <c r="A303" t="str">
        <f t="shared" si="5"/>
        <v xml:space="preserve">1018867STERGOB B1          </v>
      </c>
      <c r="B303" s="71">
        <v>1020027</v>
      </c>
      <c r="C303" s="71" t="s">
        <v>665</v>
      </c>
      <c r="D303" s="71" t="s">
        <v>419</v>
      </c>
      <c r="E303" s="71" t="s">
        <v>623</v>
      </c>
      <c r="F303" s="71" t="s">
        <v>624</v>
      </c>
      <c r="G303" s="74">
        <v>0</v>
      </c>
      <c r="H303" s="72">
        <v>0</v>
      </c>
      <c r="I303" s="73">
        <v>0</v>
      </c>
      <c r="J303" s="72">
        <v>0</v>
      </c>
      <c r="K303" s="73">
        <v>0</v>
      </c>
      <c r="L303" s="74">
        <v>0</v>
      </c>
      <c r="M303" s="73">
        <v>0</v>
      </c>
      <c r="N303" s="74">
        <v>0</v>
      </c>
      <c r="O303" s="73">
        <v>0</v>
      </c>
      <c r="P303" s="74">
        <v>0</v>
      </c>
      <c r="Q303" s="73">
        <v>0</v>
      </c>
      <c r="R303" s="71" t="s">
        <v>625</v>
      </c>
      <c r="S303" s="71">
        <v>7414000005</v>
      </c>
      <c r="X303"/>
      <c r="AB303"/>
      <c r="AC303"/>
    </row>
    <row r="304" spans="1:29" x14ac:dyDescent="0.25">
      <c r="A304" t="str">
        <f t="shared" si="5"/>
        <v xml:space="preserve">1018997SANMEX B            </v>
      </c>
      <c r="B304" s="71">
        <v>1020029</v>
      </c>
      <c r="C304" s="71" t="s">
        <v>666</v>
      </c>
      <c r="D304" s="71" t="s">
        <v>419</v>
      </c>
      <c r="E304" s="71" t="s">
        <v>623</v>
      </c>
      <c r="F304" s="71" t="s">
        <v>624</v>
      </c>
      <c r="G304" s="74">
        <v>0</v>
      </c>
      <c r="H304" s="72">
        <v>0</v>
      </c>
      <c r="I304" s="73">
        <v>0</v>
      </c>
      <c r="J304" s="72">
        <v>0</v>
      </c>
      <c r="K304" s="73">
        <v>0</v>
      </c>
      <c r="L304" s="74">
        <v>0</v>
      </c>
      <c r="M304" s="73">
        <v>0</v>
      </c>
      <c r="N304" s="74">
        <v>0</v>
      </c>
      <c r="O304" s="73">
        <v>0</v>
      </c>
      <c r="P304" s="74">
        <v>0</v>
      </c>
      <c r="Q304" s="73">
        <v>0</v>
      </c>
      <c r="R304" s="71" t="s">
        <v>625</v>
      </c>
      <c r="S304" s="71">
        <v>7414000005</v>
      </c>
      <c r="X304"/>
      <c r="AB304"/>
      <c r="AC304"/>
    </row>
    <row r="305" spans="1:29" x14ac:dyDescent="0.25">
      <c r="A305" t="str">
        <f t="shared" si="5"/>
        <v xml:space="preserve">1020027IENOVA *            </v>
      </c>
      <c r="B305" s="71">
        <v>1020040</v>
      </c>
      <c r="C305" s="71" t="s">
        <v>667</v>
      </c>
      <c r="D305" s="71" t="s">
        <v>419</v>
      </c>
      <c r="E305" s="71" t="s">
        <v>623</v>
      </c>
      <c r="F305" s="71" t="s">
        <v>624</v>
      </c>
      <c r="G305" s="74">
        <v>0</v>
      </c>
      <c r="H305" s="72">
        <v>0</v>
      </c>
      <c r="I305" s="73">
        <v>0</v>
      </c>
      <c r="J305" s="72">
        <v>0</v>
      </c>
      <c r="K305" s="73">
        <v>0</v>
      </c>
      <c r="L305" s="74">
        <v>0</v>
      </c>
      <c r="M305" s="73">
        <v>0</v>
      </c>
      <c r="N305" s="74">
        <v>0</v>
      </c>
      <c r="O305" s="73">
        <v>0</v>
      </c>
      <c r="P305" s="74">
        <v>0</v>
      </c>
      <c r="Q305" s="73">
        <v>0</v>
      </c>
      <c r="R305" s="71" t="s">
        <v>625</v>
      </c>
      <c r="S305" s="71">
        <v>7414000005</v>
      </c>
      <c r="X305"/>
      <c r="AB305"/>
      <c r="AC305"/>
    </row>
    <row r="306" spans="1:29" x14ac:dyDescent="0.25">
      <c r="A306" t="str">
        <f t="shared" si="5"/>
        <v xml:space="preserve">1020029IENOVA *            </v>
      </c>
      <c r="B306" s="71">
        <v>1021018</v>
      </c>
      <c r="C306" s="71" t="s">
        <v>668</v>
      </c>
      <c r="D306" s="71" t="s">
        <v>502</v>
      </c>
      <c r="E306" s="71" t="s">
        <v>623</v>
      </c>
      <c r="F306" s="71" t="s">
        <v>624</v>
      </c>
      <c r="G306" s="74">
        <v>682</v>
      </c>
      <c r="H306" s="72">
        <v>9469.6491050000004</v>
      </c>
      <c r="I306" s="73">
        <v>6458300.6896099998</v>
      </c>
      <c r="J306" s="72">
        <v>9977.4</v>
      </c>
      <c r="K306" s="73">
        <v>-346286.11038999999</v>
      </c>
      <c r="L306" s="74">
        <v>0</v>
      </c>
      <c r="M306" s="73">
        <v>0</v>
      </c>
      <c r="N306" s="74">
        <v>0</v>
      </c>
      <c r="O306" s="73">
        <v>0</v>
      </c>
      <c r="P306" s="74">
        <v>682</v>
      </c>
      <c r="Q306" s="73">
        <v>6458300.6896099998</v>
      </c>
      <c r="R306" s="71" t="s">
        <v>625</v>
      </c>
      <c r="S306" s="71">
        <v>7414000005</v>
      </c>
      <c r="X306"/>
      <c r="AB306"/>
      <c r="AC306"/>
    </row>
    <row r="307" spans="1:29" x14ac:dyDescent="0.25">
      <c r="A307" t="str">
        <f t="shared" si="5"/>
        <v xml:space="preserve">1020040IENOVA *            </v>
      </c>
      <c r="B307" s="71">
        <v>1021018</v>
      </c>
      <c r="C307" s="71" t="s">
        <v>668</v>
      </c>
      <c r="D307" s="71" t="s">
        <v>433</v>
      </c>
      <c r="E307" s="71" t="s">
        <v>623</v>
      </c>
      <c r="F307" s="71" t="s">
        <v>624</v>
      </c>
      <c r="G307" s="74">
        <v>300000</v>
      </c>
      <c r="H307" s="72">
        <v>100.000056</v>
      </c>
      <c r="I307" s="73">
        <v>30000016.800000001</v>
      </c>
      <c r="J307" s="72">
        <v>100</v>
      </c>
      <c r="K307" s="73">
        <v>16.8</v>
      </c>
      <c r="L307" s="74">
        <v>0</v>
      </c>
      <c r="M307" s="73">
        <v>0</v>
      </c>
      <c r="N307" s="74">
        <v>0</v>
      </c>
      <c r="O307" s="73">
        <v>0</v>
      </c>
      <c r="P307" s="74">
        <v>300000</v>
      </c>
      <c r="Q307" s="73">
        <v>30000016.800000001</v>
      </c>
      <c r="R307" s="71" t="s">
        <v>625</v>
      </c>
      <c r="S307" s="71">
        <v>7414000005</v>
      </c>
      <c r="X307"/>
      <c r="AB307"/>
      <c r="AC307"/>
    </row>
    <row r="308" spans="1:29" x14ac:dyDescent="0.25">
      <c r="A308" t="str">
        <f t="shared" si="5"/>
        <v xml:space="preserve">1021018AMX 0131X           </v>
      </c>
      <c r="B308" s="71">
        <v>1021018</v>
      </c>
      <c r="C308" s="71" t="s">
        <v>668</v>
      </c>
      <c r="D308" s="71" t="s">
        <v>509</v>
      </c>
      <c r="E308" s="71" t="s">
        <v>623</v>
      </c>
      <c r="F308" s="71" t="s">
        <v>624</v>
      </c>
      <c r="G308" s="74">
        <v>2269560</v>
      </c>
      <c r="H308" s="72">
        <v>99.968271000000001</v>
      </c>
      <c r="I308" s="73">
        <v>226883989.13076001</v>
      </c>
      <c r="J308" s="72">
        <v>99.896581785896828</v>
      </c>
      <c r="K308" s="73">
        <v>162702.97276</v>
      </c>
      <c r="L308" s="74">
        <v>0</v>
      </c>
      <c r="M308" s="73">
        <v>0</v>
      </c>
      <c r="N308" s="74">
        <v>0</v>
      </c>
      <c r="O308" s="73">
        <v>0</v>
      </c>
      <c r="P308" s="74">
        <v>2269560</v>
      </c>
      <c r="Q308" s="73">
        <v>226883989.13076001</v>
      </c>
      <c r="R308" s="71" t="s">
        <v>625</v>
      </c>
      <c r="S308" s="71">
        <v>7414000005</v>
      </c>
      <c r="X308"/>
      <c r="AB308"/>
      <c r="AC308"/>
    </row>
    <row r="309" spans="1:29" x14ac:dyDescent="0.25">
      <c r="A309" t="str">
        <f t="shared" si="5"/>
        <v xml:space="preserve">1021018BBVAMX 22X          </v>
      </c>
      <c r="B309" s="71">
        <v>1021018</v>
      </c>
      <c r="C309" s="71" t="s">
        <v>668</v>
      </c>
      <c r="D309" s="71" t="s">
        <v>542</v>
      </c>
      <c r="E309" s="71" t="s">
        <v>623</v>
      </c>
      <c r="F309" s="71" t="s">
        <v>624</v>
      </c>
      <c r="G309" s="74">
        <v>5000000</v>
      </c>
      <c r="H309" s="72">
        <v>99.949897000000007</v>
      </c>
      <c r="I309" s="73">
        <v>499749485</v>
      </c>
      <c r="J309" s="72">
        <v>99.893904000000006</v>
      </c>
      <c r="K309" s="73">
        <v>279965</v>
      </c>
      <c r="L309" s="74">
        <v>0</v>
      </c>
      <c r="M309" s="73">
        <v>0</v>
      </c>
      <c r="N309" s="74">
        <v>0</v>
      </c>
      <c r="O309" s="73">
        <v>0</v>
      </c>
      <c r="P309" s="74">
        <v>5000000</v>
      </c>
      <c r="Q309" s="73">
        <v>499749485</v>
      </c>
      <c r="R309" s="71" t="s">
        <v>625</v>
      </c>
      <c r="S309" s="71">
        <v>7414000005</v>
      </c>
      <c r="X309"/>
      <c r="AB309"/>
      <c r="AC309"/>
    </row>
    <row r="310" spans="1:29" x14ac:dyDescent="0.25">
      <c r="A310" t="str">
        <f t="shared" si="5"/>
        <v xml:space="preserve">1021018BONDESF 240815      </v>
      </c>
      <c r="B310" s="71">
        <v>1021018</v>
      </c>
      <c r="C310" s="71" t="s">
        <v>668</v>
      </c>
      <c r="D310" s="71" t="s">
        <v>434</v>
      </c>
      <c r="E310" s="71" t="s">
        <v>623</v>
      </c>
      <c r="F310" s="71" t="s">
        <v>624</v>
      </c>
      <c r="G310" s="74">
        <v>246400</v>
      </c>
      <c r="H310" s="72">
        <v>99.629997000000003</v>
      </c>
      <c r="I310" s="73">
        <v>24548831.2608</v>
      </c>
      <c r="J310" s="72">
        <v>99.126983839999994</v>
      </c>
      <c r="K310" s="73">
        <v>123942.442624</v>
      </c>
      <c r="L310" s="74">
        <v>0</v>
      </c>
      <c r="M310" s="73">
        <v>0</v>
      </c>
      <c r="N310" s="74">
        <v>0</v>
      </c>
      <c r="O310" s="73">
        <v>0</v>
      </c>
      <c r="P310" s="74">
        <v>246400</v>
      </c>
      <c r="Q310" s="73">
        <v>24548831.2608</v>
      </c>
      <c r="R310" s="71" t="s">
        <v>625</v>
      </c>
      <c r="S310" s="71">
        <v>7414000005</v>
      </c>
      <c r="X310"/>
      <c r="AB310"/>
      <c r="AC310"/>
    </row>
    <row r="311" spans="1:29" x14ac:dyDescent="0.25">
      <c r="A311" t="str">
        <f t="shared" si="5"/>
        <v xml:space="preserve">1021018BONDESF 241107      </v>
      </c>
      <c r="B311" s="71">
        <v>1021018</v>
      </c>
      <c r="C311" s="71" t="s">
        <v>668</v>
      </c>
      <c r="D311" s="71" t="s">
        <v>546</v>
      </c>
      <c r="E311" s="71" t="s">
        <v>623</v>
      </c>
      <c r="F311" s="71" t="s">
        <v>624</v>
      </c>
      <c r="G311" s="74">
        <v>1000000</v>
      </c>
      <c r="H311" s="72">
        <v>99.183683000000002</v>
      </c>
      <c r="I311" s="73">
        <v>99183683</v>
      </c>
      <c r="J311" s="72">
        <v>99.051699999999997</v>
      </c>
      <c r="K311" s="73">
        <v>131983</v>
      </c>
      <c r="L311" s="74">
        <v>0</v>
      </c>
      <c r="M311" s="73">
        <v>0</v>
      </c>
      <c r="N311" s="74">
        <v>0</v>
      </c>
      <c r="O311" s="73">
        <v>0</v>
      </c>
      <c r="P311" s="74">
        <v>1000000</v>
      </c>
      <c r="Q311" s="73">
        <v>99183683</v>
      </c>
      <c r="R311" s="71" t="s">
        <v>625</v>
      </c>
      <c r="S311" s="71">
        <v>7414000005</v>
      </c>
      <c r="X311"/>
      <c r="AB311"/>
      <c r="AC311"/>
    </row>
    <row r="312" spans="1:29" x14ac:dyDescent="0.25">
      <c r="A312" t="str">
        <f t="shared" si="5"/>
        <v xml:space="preserve">1021018BPA182 270121       </v>
      </c>
      <c r="B312" s="71">
        <v>1021018</v>
      </c>
      <c r="C312" s="71" t="s">
        <v>668</v>
      </c>
      <c r="D312" s="71" t="s">
        <v>555</v>
      </c>
      <c r="E312" s="71" t="s">
        <v>623</v>
      </c>
      <c r="F312" s="71" t="s">
        <v>624</v>
      </c>
      <c r="G312" s="74">
        <v>2000000</v>
      </c>
      <c r="H312" s="72">
        <v>99.694078000000005</v>
      </c>
      <c r="I312" s="73">
        <v>199388156</v>
      </c>
      <c r="J312" s="72">
        <v>99.673544739999997</v>
      </c>
      <c r="K312" s="73">
        <v>41066.519999999997</v>
      </c>
      <c r="L312" s="74">
        <v>0</v>
      </c>
      <c r="M312" s="73">
        <v>0</v>
      </c>
      <c r="N312" s="74">
        <v>0</v>
      </c>
      <c r="O312" s="73">
        <v>0</v>
      </c>
      <c r="P312" s="74">
        <v>2000000</v>
      </c>
      <c r="Q312" s="73">
        <v>199388156</v>
      </c>
      <c r="R312" s="71" t="s">
        <v>625</v>
      </c>
      <c r="S312" s="71">
        <v>7414000005</v>
      </c>
      <c r="X312"/>
      <c r="AB312"/>
      <c r="AC312"/>
    </row>
    <row r="313" spans="1:29" x14ac:dyDescent="0.25">
      <c r="A313" t="str">
        <f t="shared" si="5"/>
        <v xml:space="preserve">1021018BPA182 301010       </v>
      </c>
      <c r="B313" s="71">
        <v>1021018</v>
      </c>
      <c r="C313" s="71" t="s">
        <v>668</v>
      </c>
      <c r="D313" s="71" t="s">
        <v>435</v>
      </c>
      <c r="E313" s="71" t="s">
        <v>623</v>
      </c>
      <c r="F313" s="71" t="s">
        <v>624</v>
      </c>
      <c r="G313" s="74">
        <v>25593</v>
      </c>
      <c r="H313" s="72">
        <v>91.971306999999996</v>
      </c>
      <c r="I313" s="73">
        <v>2353821.6600509998</v>
      </c>
      <c r="J313" s="72">
        <v>100</v>
      </c>
      <c r="K313" s="73">
        <v>-205478.33994899999</v>
      </c>
      <c r="L313" s="74">
        <v>0</v>
      </c>
      <c r="M313" s="73">
        <v>0</v>
      </c>
      <c r="N313" s="74">
        <v>0</v>
      </c>
      <c r="O313" s="73">
        <v>0</v>
      </c>
      <c r="P313" s="74">
        <v>25593</v>
      </c>
      <c r="Q313" s="73">
        <v>2353821.6600509998</v>
      </c>
      <c r="R313" s="71" t="s">
        <v>625</v>
      </c>
      <c r="S313" s="71">
        <v>7414000005</v>
      </c>
      <c r="X313"/>
      <c r="AB313"/>
      <c r="AC313"/>
    </row>
    <row r="314" spans="1:29" x14ac:dyDescent="0.25">
      <c r="A314" t="str">
        <f t="shared" si="5"/>
        <v xml:space="preserve">1021018BPAG91 270107       </v>
      </c>
      <c r="B314" s="71">
        <v>1021018</v>
      </c>
      <c r="C314" s="71" t="s">
        <v>668</v>
      </c>
      <c r="D314" s="71" t="s">
        <v>422</v>
      </c>
      <c r="E314" s="71" t="s">
        <v>623</v>
      </c>
      <c r="F314" s="71" t="s">
        <v>624</v>
      </c>
      <c r="G314" s="74">
        <v>29143</v>
      </c>
      <c r="H314" s="72">
        <v>97.654420999999999</v>
      </c>
      <c r="I314" s="73">
        <v>2845942.7912030001</v>
      </c>
      <c r="J314" s="72">
        <v>98.224185000000006</v>
      </c>
      <c r="K314" s="73">
        <v>-16604.632251999999</v>
      </c>
      <c r="L314" s="74">
        <v>0</v>
      </c>
      <c r="M314" s="73">
        <v>0</v>
      </c>
      <c r="N314" s="74">
        <v>0</v>
      </c>
      <c r="O314" s="73">
        <v>0</v>
      </c>
      <c r="P314" s="74">
        <v>29143</v>
      </c>
      <c r="Q314" s="73">
        <v>2845942.7912030001</v>
      </c>
      <c r="R314" s="71" t="s">
        <v>625</v>
      </c>
      <c r="S314" s="71">
        <v>7414000005</v>
      </c>
      <c r="X314"/>
      <c r="AB314"/>
      <c r="AC314"/>
    </row>
    <row r="315" spans="1:29" x14ac:dyDescent="0.25">
      <c r="A315" t="str">
        <f t="shared" si="5"/>
        <v xml:space="preserve">1021018CETELEM 21-4        </v>
      </c>
      <c r="B315" s="71">
        <v>1021018</v>
      </c>
      <c r="C315" s="71" t="s">
        <v>668</v>
      </c>
      <c r="D315" s="71" t="s">
        <v>364</v>
      </c>
      <c r="E315" s="71" t="s">
        <v>623</v>
      </c>
      <c r="F315" s="71" t="s">
        <v>624</v>
      </c>
      <c r="G315" s="74">
        <v>5900000</v>
      </c>
      <c r="H315" s="72">
        <v>9.190137</v>
      </c>
      <c r="I315" s="73">
        <v>54221808.299999997</v>
      </c>
      <c r="J315" s="72">
        <v>8.1723636899999992</v>
      </c>
      <c r="K315" s="73">
        <v>6004862.5290000001</v>
      </c>
      <c r="L315" s="74">
        <v>0</v>
      </c>
      <c r="M315" s="73">
        <v>0</v>
      </c>
      <c r="N315" s="74">
        <v>0</v>
      </c>
      <c r="O315" s="73">
        <v>0</v>
      </c>
      <c r="P315" s="74">
        <v>5900000</v>
      </c>
      <c r="Q315" s="73">
        <v>54221808.299999997</v>
      </c>
      <c r="R315" s="71" t="s">
        <v>625</v>
      </c>
      <c r="S315" s="71">
        <v>7414000005</v>
      </c>
      <c r="X315"/>
      <c r="AB315"/>
      <c r="AC315"/>
    </row>
    <row r="316" spans="1:29" x14ac:dyDescent="0.25">
      <c r="A316" t="str">
        <f t="shared" si="5"/>
        <v xml:space="preserve">1021018CETELEM 22          </v>
      </c>
      <c r="B316" s="71">
        <v>1021018</v>
      </c>
      <c r="C316" s="71" t="s">
        <v>668</v>
      </c>
      <c r="D316" s="71" t="s">
        <v>615</v>
      </c>
      <c r="E316" s="71" t="s">
        <v>623</v>
      </c>
      <c r="F316" s="71" t="s">
        <v>624</v>
      </c>
      <c r="G316" s="74">
        <v>3500000</v>
      </c>
      <c r="H316" s="72">
        <v>9.0839700000000008</v>
      </c>
      <c r="I316" s="73">
        <v>31793895</v>
      </c>
      <c r="J316" s="72">
        <v>8.9878796600000008</v>
      </c>
      <c r="K316" s="73">
        <v>336316.19</v>
      </c>
      <c r="L316" s="74">
        <v>0</v>
      </c>
      <c r="M316" s="73">
        <v>0</v>
      </c>
      <c r="N316" s="74">
        <v>0</v>
      </c>
      <c r="O316" s="73">
        <v>0</v>
      </c>
      <c r="P316" s="74">
        <v>3500000</v>
      </c>
      <c r="Q316" s="73">
        <v>31793895</v>
      </c>
      <c r="R316" s="71" t="s">
        <v>625</v>
      </c>
      <c r="S316" s="71">
        <v>7414000005</v>
      </c>
      <c r="X316"/>
      <c r="AB316"/>
      <c r="AC316"/>
    </row>
    <row r="317" spans="1:29" x14ac:dyDescent="0.25">
      <c r="A317" t="str">
        <f t="shared" si="5"/>
        <v xml:space="preserve">1021018CETES 250123        </v>
      </c>
      <c r="B317" s="71">
        <v>1021018</v>
      </c>
      <c r="C317" s="71" t="s">
        <v>668</v>
      </c>
      <c r="D317" s="71" t="s">
        <v>649</v>
      </c>
      <c r="E317" s="71" t="s">
        <v>623</v>
      </c>
      <c r="F317" s="71" t="s">
        <v>624</v>
      </c>
      <c r="G317" s="74">
        <v>2805920</v>
      </c>
      <c r="H317" s="72">
        <v>9.0112480000000001</v>
      </c>
      <c r="I317" s="73">
        <v>25284840.988159999</v>
      </c>
      <c r="J317" s="72">
        <v>8.9969798000000001</v>
      </c>
      <c r="K317" s="73">
        <v>40035.427744000001</v>
      </c>
      <c r="L317" s="74">
        <v>0</v>
      </c>
      <c r="M317" s="73">
        <v>0</v>
      </c>
      <c r="N317" s="74">
        <v>0</v>
      </c>
      <c r="O317" s="73">
        <v>0</v>
      </c>
      <c r="P317" s="74">
        <v>2805920</v>
      </c>
      <c r="Q317" s="73">
        <v>25284840.988159999</v>
      </c>
      <c r="R317" s="71" t="s">
        <v>625</v>
      </c>
      <c r="S317" s="71">
        <v>7414000005</v>
      </c>
      <c r="X317"/>
      <c r="AB317"/>
      <c r="AC317"/>
    </row>
    <row r="318" spans="1:29" x14ac:dyDescent="0.25">
      <c r="A318" t="str">
        <f t="shared" si="5"/>
        <v xml:space="preserve">1021018CETES 250306        </v>
      </c>
      <c r="B318" s="71">
        <v>1021018</v>
      </c>
      <c r="C318" s="71" t="s">
        <v>668</v>
      </c>
      <c r="D318" s="71" t="s">
        <v>554</v>
      </c>
      <c r="E318" s="71" t="s">
        <v>623</v>
      </c>
      <c r="F318" s="71" t="s">
        <v>624</v>
      </c>
      <c r="G318" s="74">
        <v>17243600</v>
      </c>
      <c r="H318" s="72">
        <v>8.3813510000000004</v>
      </c>
      <c r="I318" s="73">
        <v>144524664.1036</v>
      </c>
      <c r="J318" s="72">
        <v>8.2713826212420489</v>
      </c>
      <c r="K318" s="73">
        <v>1896250.7359505999</v>
      </c>
      <c r="L318" s="74">
        <v>0</v>
      </c>
      <c r="M318" s="73">
        <v>0</v>
      </c>
      <c r="N318" s="74">
        <v>0</v>
      </c>
      <c r="O318" s="73">
        <v>0</v>
      </c>
      <c r="P318" s="74">
        <v>17243600</v>
      </c>
      <c r="Q318" s="73">
        <v>144524664.1036</v>
      </c>
      <c r="R318" s="71" t="s">
        <v>625</v>
      </c>
      <c r="S318" s="71">
        <v>7414000005</v>
      </c>
      <c r="X318"/>
      <c r="AB318"/>
      <c r="AC318"/>
    </row>
    <row r="319" spans="1:29" x14ac:dyDescent="0.25">
      <c r="A319" t="str">
        <f t="shared" si="5"/>
        <v xml:space="preserve">1021018CETES 250403        </v>
      </c>
      <c r="B319" s="71">
        <v>1021018</v>
      </c>
      <c r="C319" s="71" t="s">
        <v>668</v>
      </c>
      <c r="D319" s="71" t="s">
        <v>613</v>
      </c>
      <c r="E319" s="71" t="s">
        <v>623</v>
      </c>
      <c r="F319" s="71" t="s">
        <v>624</v>
      </c>
      <c r="G319" s="74">
        <v>9957484</v>
      </c>
      <c r="H319" s="72">
        <v>8.2580650000000002</v>
      </c>
      <c r="I319" s="73">
        <v>82229550.108459994</v>
      </c>
      <c r="J319" s="72">
        <v>8.2572237890671545</v>
      </c>
      <c r="K319" s="73">
        <v>8376.3444044400003</v>
      </c>
      <c r="L319" s="74">
        <v>0</v>
      </c>
      <c r="M319" s="73">
        <v>0</v>
      </c>
      <c r="N319" s="74">
        <v>0</v>
      </c>
      <c r="O319" s="73">
        <v>0</v>
      </c>
      <c r="P319" s="74">
        <v>9957484</v>
      </c>
      <c r="Q319" s="73">
        <v>82229550.108459994</v>
      </c>
      <c r="R319" s="71" t="s">
        <v>625</v>
      </c>
      <c r="S319" s="71">
        <v>7414000005</v>
      </c>
      <c r="X319"/>
      <c r="AB319"/>
      <c r="AC319"/>
    </row>
    <row r="320" spans="1:29" x14ac:dyDescent="0.25">
      <c r="A320" t="str">
        <f t="shared" si="5"/>
        <v xml:space="preserve">1021018CETES 251224        </v>
      </c>
      <c r="B320" s="71">
        <v>1021018</v>
      </c>
      <c r="C320" s="71" t="s">
        <v>668</v>
      </c>
      <c r="D320" s="71" t="s">
        <v>424</v>
      </c>
      <c r="E320" s="71" t="s">
        <v>623</v>
      </c>
      <c r="F320" s="71" t="s">
        <v>624</v>
      </c>
      <c r="G320" s="74">
        <v>263860</v>
      </c>
      <c r="H320" s="72">
        <v>93.248425999999995</v>
      </c>
      <c r="I320" s="73">
        <v>24604529.684360001</v>
      </c>
      <c r="J320" s="72">
        <v>96.751658399322366</v>
      </c>
      <c r="K320" s="73">
        <v>-924362.90088520001</v>
      </c>
      <c r="L320" s="74">
        <v>0</v>
      </c>
      <c r="M320" s="73">
        <v>0</v>
      </c>
      <c r="N320" s="74">
        <v>0</v>
      </c>
      <c r="O320" s="73">
        <v>0</v>
      </c>
      <c r="P320" s="74">
        <v>263860</v>
      </c>
      <c r="Q320" s="73">
        <v>24604529.684360001</v>
      </c>
      <c r="R320" s="71" t="s">
        <v>625</v>
      </c>
      <c r="S320" s="71">
        <v>7414000005</v>
      </c>
      <c r="X320"/>
      <c r="AB320"/>
      <c r="AC320"/>
    </row>
    <row r="321" spans="1:29" x14ac:dyDescent="0.25">
      <c r="A321" t="str">
        <f t="shared" si="5"/>
        <v xml:space="preserve">1021018CETES 260219        </v>
      </c>
      <c r="B321" s="71">
        <v>1021018</v>
      </c>
      <c r="C321" s="71" t="s">
        <v>668</v>
      </c>
      <c r="D321" s="71" t="s">
        <v>366</v>
      </c>
      <c r="E321" s="71" t="s">
        <v>623</v>
      </c>
      <c r="F321" s="71" t="s">
        <v>624</v>
      </c>
      <c r="G321" s="74">
        <v>0</v>
      </c>
      <c r="H321" s="72">
        <v>0</v>
      </c>
      <c r="I321" s="73">
        <v>26779266.66</v>
      </c>
      <c r="J321" s="72">
        <v>0</v>
      </c>
      <c r="K321" s="73">
        <v>0</v>
      </c>
      <c r="L321" s="74">
        <v>0</v>
      </c>
      <c r="M321" s="73">
        <v>0</v>
      </c>
      <c r="N321" s="74">
        <v>0</v>
      </c>
      <c r="O321" s="73">
        <v>0</v>
      </c>
      <c r="P321" s="74">
        <v>0</v>
      </c>
      <c r="Q321" s="73">
        <v>26779266.66</v>
      </c>
      <c r="R321" s="71" t="s">
        <v>625</v>
      </c>
      <c r="S321" s="71">
        <v>7414000005</v>
      </c>
      <c r="X321"/>
      <c r="AB321"/>
      <c r="AC321"/>
    </row>
    <row r="322" spans="1:29" x14ac:dyDescent="0.25">
      <c r="A322" t="str">
        <f t="shared" si="5"/>
        <v xml:space="preserve">1021018CFE 14-2            </v>
      </c>
      <c r="B322" s="71">
        <v>1021018</v>
      </c>
      <c r="C322" s="71" t="s">
        <v>668</v>
      </c>
      <c r="D322" s="71" t="s">
        <v>616</v>
      </c>
      <c r="E322" s="71" t="s">
        <v>623</v>
      </c>
      <c r="F322" s="71" t="s">
        <v>624</v>
      </c>
      <c r="G322" s="74">
        <v>200000</v>
      </c>
      <c r="H322" s="72">
        <v>99.999758999999997</v>
      </c>
      <c r="I322" s="73">
        <v>19999951.800000001</v>
      </c>
      <c r="J322" s="72">
        <v>100</v>
      </c>
      <c r="K322" s="73">
        <v>-48.2</v>
      </c>
      <c r="L322" s="74">
        <v>0</v>
      </c>
      <c r="M322" s="73">
        <v>0</v>
      </c>
      <c r="N322" s="74">
        <v>0</v>
      </c>
      <c r="O322" s="73">
        <v>0</v>
      </c>
      <c r="P322" s="74">
        <v>200000</v>
      </c>
      <c r="Q322" s="73">
        <v>19999951.800000001</v>
      </c>
      <c r="R322" s="71" t="s">
        <v>625</v>
      </c>
      <c r="S322" s="71">
        <v>7414000005</v>
      </c>
      <c r="X322"/>
      <c r="AB322"/>
      <c r="AC322"/>
    </row>
    <row r="323" spans="1:29" x14ac:dyDescent="0.25">
      <c r="A323" t="str">
        <f t="shared" si="5"/>
        <v>1021018EFECTIVO</v>
      </c>
      <c r="B323" s="71">
        <v>1021018</v>
      </c>
      <c r="C323" s="71" t="s">
        <v>668</v>
      </c>
      <c r="D323" s="71" t="s">
        <v>436</v>
      </c>
      <c r="E323" s="71" t="s">
        <v>623</v>
      </c>
      <c r="F323" s="71" t="s">
        <v>624</v>
      </c>
      <c r="G323" s="74">
        <v>177980</v>
      </c>
      <c r="H323" s="72">
        <v>99.963265000000007</v>
      </c>
      <c r="I323" s="73">
        <v>17791461.9047</v>
      </c>
      <c r="J323" s="72">
        <v>100</v>
      </c>
      <c r="K323" s="73">
        <v>-6538.0953</v>
      </c>
      <c r="L323" s="74">
        <v>0</v>
      </c>
      <c r="M323" s="73">
        <v>0</v>
      </c>
      <c r="N323" s="74">
        <v>0</v>
      </c>
      <c r="O323" s="73">
        <v>0</v>
      </c>
      <c r="P323" s="74">
        <v>177980</v>
      </c>
      <c r="Q323" s="73">
        <v>17791461.9047</v>
      </c>
      <c r="R323" s="71" t="s">
        <v>625</v>
      </c>
      <c r="S323" s="71">
        <v>7414000005</v>
      </c>
      <c r="X323"/>
      <c r="AB323"/>
      <c r="AC323"/>
    </row>
    <row r="324" spans="1:29" x14ac:dyDescent="0.25">
      <c r="A324" t="str">
        <f t="shared" si="5"/>
        <v xml:space="preserve">1021018FEFA 24             </v>
      </c>
      <c r="B324" s="71">
        <v>1021018</v>
      </c>
      <c r="C324" s="71" t="s">
        <v>668</v>
      </c>
      <c r="D324" s="71" t="s">
        <v>425</v>
      </c>
      <c r="E324" s="71" t="s">
        <v>623</v>
      </c>
      <c r="F324" s="71" t="s">
        <v>624</v>
      </c>
      <c r="G324" s="74">
        <v>98500</v>
      </c>
      <c r="H324" s="72">
        <v>100.020889</v>
      </c>
      <c r="I324" s="73">
        <v>9852057.5665000007</v>
      </c>
      <c r="J324" s="72">
        <v>100</v>
      </c>
      <c r="K324" s="73">
        <v>2057.5664999999999</v>
      </c>
      <c r="L324" s="74">
        <v>0</v>
      </c>
      <c r="M324" s="73">
        <v>0</v>
      </c>
      <c r="N324" s="74">
        <v>0</v>
      </c>
      <c r="O324" s="73">
        <v>0</v>
      </c>
      <c r="P324" s="74">
        <v>98500</v>
      </c>
      <c r="Q324" s="73">
        <v>9852057.5665000007</v>
      </c>
      <c r="R324" s="71" t="s">
        <v>625</v>
      </c>
      <c r="S324" s="71">
        <v>7414000005</v>
      </c>
      <c r="X324"/>
      <c r="AB324"/>
      <c r="AC324"/>
    </row>
    <row r="325" spans="1:29" x14ac:dyDescent="0.25">
      <c r="A325" t="str">
        <f t="shared" si="5"/>
        <v xml:space="preserve">1021018FNCOT 22S           </v>
      </c>
      <c r="B325" s="71">
        <v>1021018</v>
      </c>
      <c r="C325" s="71" t="s">
        <v>668</v>
      </c>
      <c r="D325" s="71" t="s">
        <v>376</v>
      </c>
      <c r="E325" s="71" t="s">
        <v>623</v>
      </c>
      <c r="F325" s="71" t="s">
        <v>624</v>
      </c>
      <c r="G325" s="74">
        <v>218639</v>
      </c>
      <c r="H325" s="72">
        <v>99.247497999999993</v>
      </c>
      <c r="I325" s="73">
        <v>21699373.715222001</v>
      </c>
      <c r="J325" s="72">
        <v>113.85269369559191</v>
      </c>
      <c r="K325" s="73">
        <v>-3193265.3816885198</v>
      </c>
      <c r="L325" s="74">
        <v>0</v>
      </c>
      <c r="M325" s="73">
        <v>0</v>
      </c>
      <c r="N325" s="74">
        <v>0</v>
      </c>
      <c r="O325" s="73">
        <v>0</v>
      </c>
      <c r="P325" s="74">
        <v>218639</v>
      </c>
      <c r="Q325" s="73">
        <v>21699373.715222001</v>
      </c>
      <c r="R325" s="71" t="s">
        <v>625</v>
      </c>
      <c r="S325" s="71">
        <v>7414000005</v>
      </c>
      <c r="X325"/>
      <c r="AB325"/>
      <c r="AC325"/>
    </row>
    <row r="326" spans="1:29" x14ac:dyDescent="0.25">
      <c r="A326" t="str">
        <f t="shared" si="5"/>
        <v xml:space="preserve">1021018GAP 22L             </v>
      </c>
      <c r="B326" s="71">
        <v>1021018</v>
      </c>
      <c r="C326" s="71" t="s">
        <v>668</v>
      </c>
      <c r="D326" s="71" t="s">
        <v>382</v>
      </c>
      <c r="E326" s="71" t="s">
        <v>623</v>
      </c>
      <c r="F326" s="71" t="s">
        <v>624</v>
      </c>
      <c r="G326" s="74">
        <v>80000</v>
      </c>
      <c r="H326" s="72">
        <v>89.489464999999996</v>
      </c>
      <c r="I326" s="73">
        <v>7159157.2000000002</v>
      </c>
      <c r="J326" s="72">
        <v>92.406682059999994</v>
      </c>
      <c r="K326" s="73">
        <v>-233377.36480000001</v>
      </c>
      <c r="L326" s="74">
        <v>0</v>
      </c>
      <c r="M326" s="73">
        <v>0</v>
      </c>
      <c r="N326" s="74">
        <v>0</v>
      </c>
      <c r="O326" s="73">
        <v>0</v>
      </c>
      <c r="P326" s="74">
        <v>80000</v>
      </c>
      <c r="Q326" s="73">
        <v>7159157.2000000002</v>
      </c>
      <c r="R326" s="71" t="s">
        <v>625</v>
      </c>
      <c r="S326" s="71">
        <v>7414000005</v>
      </c>
      <c r="X326"/>
      <c r="AB326"/>
      <c r="AC326"/>
    </row>
    <row r="327" spans="1:29" x14ac:dyDescent="0.25">
      <c r="A327" t="str">
        <f t="shared" ref="A327:A390" si="6">B325&amp;D325</f>
        <v xml:space="preserve">1021018GOBFED 241205       </v>
      </c>
      <c r="B327" s="71">
        <v>1021018</v>
      </c>
      <c r="C327" s="71" t="s">
        <v>668</v>
      </c>
      <c r="D327" s="71" t="s">
        <v>383</v>
      </c>
      <c r="E327" s="71" t="s">
        <v>623</v>
      </c>
      <c r="F327" s="71" t="s">
        <v>624</v>
      </c>
      <c r="G327" s="74">
        <v>1193710</v>
      </c>
      <c r="H327" s="72">
        <v>86.197128000000006</v>
      </c>
      <c r="I327" s="73">
        <v>102894373.66487999</v>
      </c>
      <c r="J327" s="72">
        <v>88.601538131157653</v>
      </c>
      <c r="K327" s="73">
        <v>-2870168.4176642001</v>
      </c>
      <c r="L327" s="74">
        <v>0</v>
      </c>
      <c r="M327" s="73">
        <v>0</v>
      </c>
      <c r="N327" s="74">
        <v>0</v>
      </c>
      <c r="O327" s="73">
        <v>0</v>
      </c>
      <c r="P327" s="74">
        <v>1193710</v>
      </c>
      <c r="Q327" s="73">
        <v>102894373.66487999</v>
      </c>
      <c r="R327" s="71" t="s">
        <v>625</v>
      </c>
      <c r="S327" s="71">
        <v>7414000005</v>
      </c>
      <c r="X327"/>
      <c r="AB327"/>
      <c r="AC327"/>
    </row>
    <row r="328" spans="1:29" x14ac:dyDescent="0.25">
      <c r="A328" t="str">
        <f t="shared" si="6"/>
        <v xml:space="preserve">1021018GOBFED 310529       </v>
      </c>
      <c r="B328" s="71">
        <v>1021018</v>
      </c>
      <c r="C328" s="71" t="s">
        <v>668</v>
      </c>
      <c r="D328" s="71" t="s">
        <v>628</v>
      </c>
      <c r="E328" s="71" t="s">
        <v>623</v>
      </c>
      <c r="F328" s="71" t="s">
        <v>624</v>
      </c>
      <c r="G328" s="74">
        <v>180000</v>
      </c>
      <c r="H328" s="72">
        <v>99.999184999999997</v>
      </c>
      <c r="I328" s="73">
        <v>17999853.300000001</v>
      </c>
      <c r="J328" s="72">
        <v>100</v>
      </c>
      <c r="K328" s="73">
        <v>-146.69999999999999</v>
      </c>
      <c r="L328" s="74">
        <v>0</v>
      </c>
      <c r="M328" s="73">
        <v>0</v>
      </c>
      <c r="N328" s="74">
        <v>0</v>
      </c>
      <c r="O328" s="73">
        <v>0</v>
      </c>
      <c r="P328" s="74">
        <v>180000</v>
      </c>
      <c r="Q328" s="73">
        <v>17999853.300000001</v>
      </c>
      <c r="R328" s="71" t="s">
        <v>625</v>
      </c>
      <c r="S328" s="71">
        <v>7414000005</v>
      </c>
      <c r="X328"/>
      <c r="AB328"/>
      <c r="AC328"/>
    </row>
    <row r="329" spans="1:29" x14ac:dyDescent="0.25">
      <c r="A329" t="str">
        <f t="shared" si="6"/>
        <v xml:space="preserve">1021018GOBFED 330526       </v>
      </c>
      <c r="B329" s="71">
        <v>1021018</v>
      </c>
      <c r="C329" s="71" t="s">
        <v>668</v>
      </c>
      <c r="D329" s="71" t="s">
        <v>437</v>
      </c>
      <c r="E329" s="71" t="s">
        <v>623</v>
      </c>
      <c r="F329" s="71" t="s">
        <v>624</v>
      </c>
      <c r="G329" s="74">
        <v>59620</v>
      </c>
      <c r="H329" s="72">
        <v>100.38890499999999</v>
      </c>
      <c r="I329" s="73">
        <v>5985186.5160999997</v>
      </c>
      <c r="J329" s="72">
        <v>91.398345289999995</v>
      </c>
      <c r="K329" s="73">
        <v>536017.16991020006</v>
      </c>
      <c r="L329" s="74">
        <v>0</v>
      </c>
      <c r="M329" s="73">
        <v>0</v>
      </c>
      <c r="N329" s="74">
        <v>0</v>
      </c>
      <c r="O329" s="73">
        <v>0</v>
      </c>
      <c r="P329" s="74">
        <v>59620</v>
      </c>
      <c r="Q329" s="73">
        <v>5985186.5160999997</v>
      </c>
      <c r="R329" s="71" t="s">
        <v>625</v>
      </c>
      <c r="S329" s="71">
        <v>7414000005</v>
      </c>
      <c r="X329"/>
      <c r="AB329"/>
      <c r="AC329"/>
    </row>
    <row r="330" spans="1:29" x14ac:dyDescent="0.25">
      <c r="A330" t="str">
        <f t="shared" si="6"/>
        <v xml:space="preserve">1021018MEGA 24X            </v>
      </c>
      <c r="B330" s="71">
        <v>1021018</v>
      </c>
      <c r="C330" s="71" t="s">
        <v>668</v>
      </c>
      <c r="D330" s="71" t="s">
        <v>391</v>
      </c>
      <c r="E330" s="71" t="s">
        <v>623</v>
      </c>
      <c r="F330" s="71" t="s">
        <v>624</v>
      </c>
      <c r="G330" s="74">
        <v>110182</v>
      </c>
      <c r="H330" s="72">
        <v>775.69178699999998</v>
      </c>
      <c r="I330" s="73">
        <v>85467272.475234002</v>
      </c>
      <c r="J330" s="72">
        <v>767.99907064386025</v>
      </c>
      <c r="K330" s="73">
        <v>847598.87355219002</v>
      </c>
      <c r="L330" s="74">
        <v>0</v>
      </c>
      <c r="M330" s="73">
        <v>0</v>
      </c>
      <c r="N330" s="74">
        <v>0</v>
      </c>
      <c r="O330" s="73">
        <v>0</v>
      </c>
      <c r="P330" s="74">
        <v>110182</v>
      </c>
      <c r="Q330" s="73">
        <v>85467272.475234002</v>
      </c>
      <c r="R330" s="71" t="s">
        <v>625</v>
      </c>
      <c r="S330" s="71">
        <v>7414000005</v>
      </c>
      <c r="X330"/>
      <c r="AB330"/>
      <c r="AC330"/>
    </row>
    <row r="331" spans="1:29" x14ac:dyDescent="0.25">
      <c r="A331" t="str">
        <f t="shared" si="6"/>
        <v xml:space="preserve">1021018PEMEX 19            </v>
      </c>
      <c r="B331" s="71">
        <v>1021018</v>
      </c>
      <c r="C331" s="71" t="s">
        <v>668</v>
      </c>
      <c r="D331" s="71" t="s">
        <v>392</v>
      </c>
      <c r="E331" s="71" t="s">
        <v>623</v>
      </c>
      <c r="F331" s="71" t="s">
        <v>624</v>
      </c>
      <c r="G331" s="74">
        <v>84113</v>
      </c>
      <c r="H331" s="72">
        <v>747.17843200000004</v>
      </c>
      <c r="I331" s="73">
        <v>62847419.450815998</v>
      </c>
      <c r="J331" s="72">
        <v>727.52431638487747</v>
      </c>
      <c r="K331" s="73">
        <v>1653166.6267347999</v>
      </c>
      <c r="L331" s="74">
        <v>0</v>
      </c>
      <c r="M331" s="73">
        <v>0</v>
      </c>
      <c r="N331" s="74">
        <v>0</v>
      </c>
      <c r="O331" s="73">
        <v>0</v>
      </c>
      <c r="P331" s="74">
        <v>84113</v>
      </c>
      <c r="Q331" s="73">
        <v>62847419.450815998</v>
      </c>
      <c r="R331" s="71" t="s">
        <v>625</v>
      </c>
      <c r="S331" s="71">
        <v>7414000005</v>
      </c>
      <c r="X331"/>
      <c r="AB331"/>
      <c r="AC331"/>
    </row>
    <row r="332" spans="1:29" x14ac:dyDescent="0.25">
      <c r="A332" t="str">
        <f t="shared" si="6"/>
        <v xml:space="preserve">1021018UDIBONO 251204      </v>
      </c>
      <c r="B332" s="71">
        <v>1021018</v>
      </c>
      <c r="C332" s="71" t="s">
        <v>668</v>
      </c>
      <c r="D332" s="71" t="s">
        <v>438</v>
      </c>
      <c r="E332" s="71" t="s">
        <v>623</v>
      </c>
      <c r="F332" s="71" t="s">
        <v>624</v>
      </c>
      <c r="G332" s="74">
        <v>110950</v>
      </c>
      <c r="H332" s="72">
        <v>100.04252700000001</v>
      </c>
      <c r="I332" s="73">
        <v>11099718.370650001</v>
      </c>
      <c r="J332" s="72">
        <v>100</v>
      </c>
      <c r="K332" s="73">
        <v>4718.3706499999998</v>
      </c>
      <c r="L332" s="74">
        <v>0</v>
      </c>
      <c r="M332" s="73">
        <v>0</v>
      </c>
      <c r="N332" s="74">
        <v>0</v>
      </c>
      <c r="O332" s="73">
        <v>0</v>
      </c>
      <c r="P332" s="74">
        <v>110950</v>
      </c>
      <c r="Q332" s="73">
        <v>11099718.370650001</v>
      </c>
      <c r="R332" s="71" t="s">
        <v>625</v>
      </c>
      <c r="S332" s="71">
        <v>7414000005</v>
      </c>
      <c r="X332"/>
      <c r="AB332"/>
      <c r="AC332"/>
    </row>
    <row r="333" spans="1:29" x14ac:dyDescent="0.25">
      <c r="A333" t="str">
        <f t="shared" si="6"/>
        <v xml:space="preserve">1021018UDIBONO 261203      </v>
      </c>
      <c r="B333" s="71">
        <v>1021427</v>
      </c>
      <c r="C333" s="71" t="s">
        <v>669</v>
      </c>
      <c r="D333" s="71" t="s">
        <v>361</v>
      </c>
      <c r="E333" s="71" t="s">
        <v>623</v>
      </c>
      <c r="F333" s="71" t="s">
        <v>624</v>
      </c>
      <c r="G333" s="74">
        <v>0</v>
      </c>
      <c r="H333" s="72">
        <v>0</v>
      </c>
      <c r="I333" s="73">
        <v>0</v>
      </c>
      <c r="J333" s="72">
        <v>0</v>
      </c>
      <c r="K333" s="73">
        <v>0</v>
      </c>
      <c r="L333" s="74">
        <v>0</v>
      </c>
      <c r="M333" s="73">
        <v>0</v>
      </c>
      <c r="N333" s="74">
        <v>0</v>
      </c>
      <c r="O333" s="73">
        <v>0</v>
      </c>
      <c r="P333" s="74">
        <v>0</v>
      </c>
      <c r="Q333" s="73">
        <v>0</v>
      </c>
      <c r="R333" s="71" t="s">
        <v>625</v>
      </c>
      <c r="S333" s="71">
        <v>7414000005</v>
      </c>
      <c r="X333"/>
      <c r="AB333"/>
      <c r="AC333"/>
    </row>
    <row r="334" spans="1:29" x14ac:dyDescent="0.25">
      <c r="A334" t="str">
        <f t="shared" si="6"/>
        <v xml:space="preserve">1021018VWLEASE 22-2        </v>
      </c>
      <c r="B334" s="71">
        <v>1021427</v>
      </c>
      <c r="C334" s="71" t="s">
        <v>669</v>
      </c>
      <c r="D334" s="71" t="s">
        <v>439</v>
      </c>
      <c r="E334" s="71" t="s">
        <v>623</v>
      </c>
      <c r="F334" s="71" t="s">
        <v>624</v>
      </c>
      <c r="G334" s="74">
        <v>0</v>
      </c>
      <c r="H334" s="72">
        <v>0</v>
      </c>
      <c r="I334" s="73">
        <v>0</v>
      </c>
      <c r="J334" s="72">
        <v>0</v>
      </c>
      <c r="K334" s="73">
        <v>0</v>
      </c>
      <c r="L334" s="74">
        <v>0</v>
      </c>
      <c r="M334" s="73">
        <v>0</v>
      </c>
      <c r="N334" s="74">
        <v>0</v>
      </c>
      <c r="O334" s="73">
        <v>0</v>
      </c>
      <c r="P334" s="74">
        <v>0</v>
      </c>
      <c r="Q334" s="73">
        <v>0</v>
      </c>
      <c r="R334" s="71" t="s">
        <v>625</v>
      </c>
      <c r="S334" s="71">
        <v>7414000005</v>
      </c>
      <c r="X334"/>
      <c r="AB334"/>
      <c r="AC334"/>
    </row>
    <row r="335" spans="1:29" x14ac:dyDescent="0.25">
      <c r="A335" t="str">
        <f t="shared" si="6"/>
        <v xml:space="preserve">1021427BIMBO A             </v>
      </c>
      <c r="B335" s="71">
        <v>1021427</v>
      </c>
      <c r="C335" s="71" t="s">
        <v>669</v>
      </c>
      <c r="D335" s="71" t="s">
        <v>440</v>
      </c>
      <c r="E335" s="71" t="s">
        <v>623</v>
      </c>
      <c r="F335" s="71" t="s">
        <v>624</v>
      </c>
      <c r="G335" s="74">
        <v>0</v>
      </c>
      <c r="H335" s="72">
        <v>0</v>
      </c>
      <c r="I335" s="73">
        <v>0</v>
      </c>
      <c r="J335" s="72">
        <v>0</v>
      </c>
      <c r="K335" s="73">
        <v>0</v>
      </c>
      <c r="L335" s="74">
        <v>0</v>
      </c>
      <c r="M335" s="73">
        <v>0</v>
      </c>
      <c r="N335" s="74">
        <v>0</v>
      </c>
      <c r="O335" s="73">
        <v>0</v>
      </c>
      <c r="P335" s="74">
        <v>0</v>
      </c>
      <c r="Q335" s="73">
        <v>0</v>
      </c>
      <c r="R335" s="71" t="s">
        <v>625</v>
      </c>
      <c r="S335" s="71">
        <v>7414000005</v>
      </c>
      <c r="X335"/>
      <c r="AB335"/>
      <c r="AC335"/>
    </row>
    <row r="336" spans="1:29" x14ac:dyDescent="0.25">
      <c r="A336" t="str">
        <f t="shared" si="6"/>
        <v xml:space="preserve">1021427CETES 151015        </v>
      </c>
      <c r="B336" s="71">
        <v>1021427</v>
      </c>
      <c r="C336" s="71" t="s">
        <v>669</v>
      </c>
      <c r="D336" s="71" t="s">
        <v>441</v>
      </c>
      <c r="E336" s="71" t="s">
        <v>623</v>
      </c>
      <c r="F336" s="71" t="s">
        <v>624</v>
      </c>
      <c r="G336" s="74">
        <v>0</v>
      </c>
      <c r="H336" s="72">
        <v>0</v>
      </c>
      <c r="I336" s="73">
        <v>0</v>
      </c>
      <c r="J336" s="72">
        <v>0</v>
      </c>
      <c r="K336" s="73">
        <v>0</v>
      </c>
      <c r="L336" s="74">
        <v>0</v>
      </c>
      <c r="M336" s="73">
        <v>0</v>
      </c>
      <c r="N336" s="74">
        <v>0</v>
      </c>
      <c r="O336" s="73">
        <v>0</v>
      </c>
      <c r="P336" s="74">
        <v>0</v>
      </c>
      <c r="Q336" s="73">
        <v>0</v>
      </c>
      <c r="R336" s="71" t="s">
        <v>625</v>
      </c>
      <c r="S336" s="71">
        <v>7414000005</v>
      </c>
      <c r="X336"/>
      <c r="AB336"/>
      <c r="AC336"/>
    </row>
    <row r="337" spans="1:29" x14ac:dyDescent="0.25">
      <c r="A337" t="str">
        <f t="shared" si="6"/>
        <v xml:space="preserve">1021427CETES 160414        </v>
      </c>
      <c r="B337" s="71">
        <v>1021427</v>
      </c>
      <c r="C337" s="71" t="s">
        <v>669</v>
      </c>
      <c r="D337" s="71" t="s">
        <v>442</v>
      </c>
      <c r="E337" s="71" t="s">
        <v>623</v>
      </c>
      <c r="F337" s="71" t="s">
        <v>624</v>
      </c>
      <c r="G337" s="74">
        <v>0</v>
      </c>
      <c r="H337" s="72">
        <v>0</v>
      </c>
      <c r="I337" s="73">
        <v>0</v>
      </c>
      <c r="J337" s="72">
        <v>0</v>
      </c>
      <c r="K337" s="73">
        <v>0</v>
      </c>
      <c r="L337" s="74">
        <v>0</v>
      </c>
      <c r="M337" s="73">
        <v>0</v>
      </c>
      <c r="N337" s="74">
        <v>0</v>
      </c>
      <c r="O337" s="73">
        <v>0</v>
      </c>
      <c r="P337" s="74">
        <v>0</v>
      </c>
      <c r="Q337" s="73">
        <v>0</v>
      </c>
      <c r="R337" s="71" t="s">
        <v>625</v>
      </c>
      <c r="S337" s="71">
        <v>7414000005</v>
      </c>
      <c r="X337"/>
      <c r="AB337"/>
      <c r="AC337"/>
    </row>
    <row r="338" spans="1:29" x14ac:dyDescent="0.25">
      <c r="A338" t="str">
        <f t="shared" si="6"/>
        <v xml:space="preserve">1021427CETES 160428        </v>
      </c>
      <c r="B338" s="71">
        <v>1021427</v>
      </c>
      <c r="C338" s="71" t="s">
        <v>669</v>
      </c>
      <c r="D338" s="71" t="s">
        <v>443</v>
      </c>
      <c r="E338" s="71" t="s">
        <v>623</v>
      </c>
      <c r="F338" s="71" t="s">
        <v>624</v>
      </c>
      <c r="G338" s="74">
        <v>0</v>
      </c>
      <c r="H338" s="72">
        <v>0</v>
      </c>
      <c r="I338" s="73">
        <v>0</v>
      </c>
      <c r="J338" s="72">
        <v>0</v>
      </c>
      <c r="K338" s="73">
        <v>0</v>
      </c>
      <c r="L338" s="74">
        <v>0</v>
      </c>
      <c r="M338" s="73">
        <v>0</v>
      </c>
      <c r="N338" s="74">
        <v>0</v>
      </c>
      <c r="O338" s="73">
        <v>0</v>
      </c>
      <c r="P338" s="74">
        <v>0</v>
      </c>
      <c r="Q338" s="73">
        <v>0</v>
      </c>
      <c r="R338" s="71" t="s">
        <v>625</v>
      </c>
      <c r="S338" s="71">
        <v>7414000005</v>
      </c>
      <c r="X338"/>
      <c r="AB338"/>
      <c r="AC338"/>
    </row>
    <row r="339" spans="1:29" x14ac:dyDescent="0.25">
      <c r="A339" t="str">
        <f t="shared" si="6"/>
        <v xml:space="preserve">1021427GOBFED 170615       </v>
      </c>
      <c r="B339" s="71">
        <v>1021427</v>
      </c>
      <c r="C339" s="71" t="s">
        <v>669</v>
      </c>
      <c r="D339" s="71" t="s">
        <v>444</v>
      </c>
      <c r="E339" s="71" t="s">
        <v>623</v>
      </c>
      <c r="F339" s="71" t="s">
        <v>624</v>
      </c>
      <c r="G339" s="74">
        <v>0</v>
      </c>
      <c r="H339" s="72">
        <v>0</v>
      </c>
      <c r="I339" s="73">
        <v>0</v>
      </c>
      <c r="J339" s="72">
        <v>0</v>
      </c>
      <c r="K339" s="73">
        <v>0</v>
      </c>
      <c r="L339" s="74">
        <v>0</v>
      </c>
      <c r="M339" s="73">
        <v>0</v>
      </c>
      <c r="N339" s="74">
        <v>0</v>
      </c>
      <c r="O339" s="73">
        <v>0</v>
      </c>
      <c r="P339" s="74">
        <v>0</v>
      </c>
      <c r="Q339" s="73">
        <v>0</v>
      </c>
      <c r="R339" s="71" t="s">
        <v>625</v>
      </c>
      <c r="S339" s="71">
        <v>7414000005</v>
      </c>
      <c r="X339"/>
      <c r="AB339"/>
      <c r="AC339"/>
    </row>
    <row r="340" spans="1:29" x14ac:dyDescent="0.25">
      <c r="A340" t="str">
        <f t="shared" si="6"/>
        <v xml:space="preserve">1021427GOBFED 180614       </v>
      </c>
      <c r="B340" s="71">
        <v>1021427</v>
      </c>
      <c r="C340" s="71" t="s">
        <v>669</v>
      </c>
      <c r="D340" s="71" t="s">
        <v>445</v>
      </c>
      <c r="E340" s="71" t="s">
        <v>623</v>
      </c>
      <c r="F340" s="71" t="s">
        <v>624</v>
      </c>
      <c r="G340" s="74">
        <v>0</v>
      </c>
      <c r="H340" s="72">
        <v>0</v>
      </c>
      <c r="I340" s="73">
        <v>0</v>
      </c>
      <c r="J340" s="72">
        <v>0</v>
      </c>
      <c r="K340" s="73">
        <v>0</v>
      </c>
      <c r="L340" s="74">
        <v>0</v>
      </c>
      <c r="M340" s="73">
        <v>0</v>
      </c>
      <c r="N340" s="74">
        <v>0</v>
      </c>
      <c r="O340" s="73">
        <v>0</v>
      </c>
      <c r="P340" s="74">
        <v>0</v>
      </c>
      <c r="Q340" s="73">
        <v>0</v>
      </c>
      <c r="R340" s="71" t="s">
        <v>625</v>
      </c>
      <c r="S340" s="71">
        <v>7414000005</v>
      </c>
      <c r="X340"/>
      <c r="AB340"/>
      <c r="AC340"/>
    </row>
    <row r="341" spans="1:29" x14ac:dyDescent="0.25">
      <c r="A341" t="str">
        <f t="shared" si="6"/>
        <v xml:space="preserve">1021427GOBFED 191211       </v>
      </c>
      <c r="B341" s="71">
        <v>1021427</v>
      </c>
      <c r="C341" s="71" t="s">
        <v>669</v>
      </c>
      <c r="D341" s="71" t="s">
        <v>446</v>
      </c>
      <c r="E341" s="71" t="s">
        <v>623</v>
      </c>
      <c r="F341" s="71" t="s">
        <v>624</v>
      </c>
      <c r="G341" s="74">
        <v>0</v>
      </c>
      <c r="H341" s="72">
        <v>0</v>
      </c>
      <c r="I341" s="73">
        <v>0</v>
      </c>
      <c r="J341" s="72">
        <v>0</v>
      </c>
      <c r="K341" s="73">
        <v>0</v>
      </c>
      <c r="L341" s="74">
        <v>0</v>
      </c>
      <c r="M341" s="73">
        <v>0</v>
      </c>
      <c r="N341" s="74">
        <v>0</v>
      </c>
      <c r="O341" s="73">
        <v>0</v>
      </c>
      <c r="P341" s="74">
        <v>0</v>
      </c>
      <c r="Q341" s="73">
        <v>0</v>
      </c>
      <c r="R341" s="71" t="s">
        <v>625</v>
      </c>
      <c r="S341" s="71">
        <v>7414000005</v>
      </c>
      <c r="X341"/>
      <c r="AB341"/>
      <c r="AC341"/>
    </row>
    <row r="342" spans="1:29" x14ac:dyDescent="0.25">
      <c r="A342" t="str">
        <f t="shared" si="6"/>
        <v xml:space="preserve">1021427GOBFED 200611       </v>
      </c>
      <c r="B342" s="71">
        <v>1021427</v>
      </c>
      <c r="C342" s="71" t="s">
        <v>669</v>
      </c>
      <c r="D342" s="71" t="s">
        <v>447</v>
      </c>
      <c r="E342" s="71" t="s">
        <v>623</v>
      </c>
      <c r="F342" s="71" t="s">
        <v>624</v>
      </c>
      <c r="G342" s="74">
        <v>0</v>
      </c>
      <c r="H342" s="72">
        <v>0</v>
      </c>
      <c r="I342" s="73">
        <v>0</v>
      </c>
      <c r="J342" s="72">
        <v>0</v>
      </c>
      <c r="K342" s="73">
        <v>0</v>
      </c>
      <c r="L342" s="74">
        <v>0</v>
      </c>
      <c r="M342" s="73">
        <v>0</v>
      </c>
      <c r="N342" s="74">
        <v>0</v>
      </c>
      <c r="O342" s="73">
        <v>0</v>
      </c>
      <c r="P342" s="74">
        <v>0</v>
      </c>
      <c r="Q342" s="73">
        <v>0</v>
      </c>
      <c r="R342" s="71" t="s">
        <v>625</v>
      </c>
      <c r="S342" s="71">
        <v>7414000005</v>
      </c>
      <c r="X342"/>
      <c r="AB342"/>
      <c r="AC342"/>
    </row>
    <row r="343" spans="1:29" x14ac:dyDescent="0.25">
      <c r="A343" t="str">
        <f t="shared" si="6"/>
        <v xml:space="preserve">1021427GOBFED 210610       </v>
      </c>
      <c r="B343" s="71">
        <v>1021427</v>
      </c>
      <c r="C343" s="71" t="s">
        <v>669</v>
      </c>
      <c r="D343" s="71" t="s">
        <v>426</v>
      </c>
      <c r="E343" s="71" t="s">
        <v>623</v>
      </c>
      <c r="F343" s="71" t="s">
        <v>624</v>
      </c>
      <c r="G343" s="74">
        <v>0</v>
      </c>
      <c r="H343" s="72">
        <v>0</v>
      </c>
      <c r="I343" s="73">
        <v>0</v>
      </c>
      <c r="J343" s="72">
        <v>0</v>
      </c>
      <c r="K343" s="73">
        <v>0</v>
      </c>
      <c r="L343" s="74">
        <v>0</v>
      </c>
      <c r="M343" s="73">
        <v>0</v>
      </c>
      <c r="N343" s="74">
        <v>0</v>
      </c>
      <c r="O343" s="73">
        <v>0</v>
      </c>
      <c r="P343" s="74">
        <v>0</v>
      </c>
      <c r="Q343" s="73">
        <v>0</v>
      </c>
      <c r="R343" s="71" t="s">
        <v>625</v>
      </c>
      <c r="S343" s="71">
        <v>7414000005</v>
      </c>
      <c r="X343"/>
      <c r="AB343"/>
      <c r="AC343"/>
    </row>
    <row r="344" spans="1:29" x14ac:dyDescent="0.25">
      <c r="A344" t="str">
        <f t="shared" si="6"/>
        <v xml:space="preserve">1021427GOBFED 220609       </v>
      </c>
      <c r="B344" s="71">
        <v>1021427</v>
      </c>
      <c r="C344" s="71" t="s">
        <v>669</v>
      </c>
      <c r="D344" s="71" t="s">
        <v>376</v>
      </c>
      <c r="E344" s="71" t="s">
        <v>623</v>
      </c>
      <c r="F344" s="71" t="s">
        <v>624</v>
      </c>
      <c r="G344" s="74">
        <v>0</v>
      </c>
      <c r="H344" s="72">
        <v>0</v>
      </c>
      <c r="I344" s="73">
        <v>0</v>
      </c>
      <c r="J344" s="72">
        <v>0</v>
      </c>
      <c r="K344" s="73">
        <v>0</v>
      </c>
      <c r="L344" s="74">
        <v>0</v>
      </c>
      <c r="M344" s="73">
        <v>0</v>
      </c>
      <c r="N344" s="74">
        <v>0</v>
      </c>
      <c r="O344" s="73">
        <v>0</v>
      </c>
      <c r="P344" s="74">
        <v>0</v>
      </c>
      <c r="Q344" s="73">
        <v>0</v>
      </c>
      <c r="R344" s="71" t="s">
        <v>625</v>
      </c>
      <c r="S344" s="71">
        <v>7414000005</v>
      </c>
      <c r="AB344"/>
      <c r="AC344"/>
    </row>
    <row r="345" spans="1:29" x14ac:dyDescent="0.25">
      <c r="A345" t="str">
        <f t="shared" si="6"/>
        <v xml:space="preserve">1021427GOBFED 231207       </v>
      </c>
      <c r="B345" s="71">
        <v>1021427</v>
      </c>
      <c r="C345" s="71" t="s">
        <v>669</v>
      </c>
      <c r="D345" s="71" t="s">
        <v>432</v>
      </c>
      <c r="E345" s="71" t="s">
        <v>623</v>
      </c>
      <c r="F345" s="71" t="s">
        <v>624</v>
      </c>
      <c r="G345" s="74">
        <v>0</v>
      </c>
      <c r="H345" s="72">
        <v>0</v>
      </c>
      <c r="I345" s="73">
        <v>0</v>
      </c>
      <c r="J345" s="72">
        <v>0</v>
      </c>
      <c r="K345" s="73">
        <v>0</v>
      </c>
      <c r="L345" s="74">
        <v>0</v>
      </c>
      <c r="M345" s="73">
        <v>0</v>
      </c>
      <c r="N345" s="74">
        <v>0</v>
      </c>
      <c r="O345" s="73">
        <v>0</v>
      </c>
      <c r="P345" s="74">
        <v>0</v>
      </c>
      <c r="Q345" s="73">
        <v>0</v>
      </c>
      <c r="R345" s="71" t="s">
        <v>625</v>
      </c>
      <c r="S345" s="71">
        <v>7414000005</v>
      </c>
      <c r="AB345"/>
      <c r="AC345"/>
    </row>
    <row r="346" spans="1:29" x14ac:dyDescent="0.25">
      <c r="A346" t="str">
        <f t="shared" si="6"/>
        <v xml:space="preserve">1021427GOBFED 241205       </v>
      </c>
      <c r="B346" s="71">
        <v>1021427</v>
      </c>
      <c r="C346" s="71" t="s">
        <v>669</v>
      </c>
      <c r="D346" s="71" t="s">
        <v>448</v>
      </c>
      <c r="E346" s="71" t="s">
        <v>623</v>
      </c>
      <c r="F346" s="71" t="s">
        <v>624</v>
      </c>
      <c r="G346" s="74">
        <v>0</v>
      </c>
      <c r="H346" s="72">
        <v>0</v>
      </c>
      <c r="I346" s="73">
        <v>0</v>
      </c>
      <c r="J346" s="72">
        <v>0</v>
      </c>
      <c r="K346" s="73">
        <v>0</v>
      </c>
      <c r="L346" s="74">
        <v>0</v>
      </c>
      <c r="M346" s="73">
        <v>0</v>
      </c>
      <c r="N346" s="74">
        <v>0</v>
      </c>
      <c r="O346" s="73">
        <v>0</v>
      </c>
      <c r="P346" s="74">
        <v>0</v>
      </c>
      <c r="Q346" s="73">
        <v>0</v>
      </c>
      <c r="R346" s="71" t="s">
        <v>625</v>
      </c>
      <c r="S346" s="71">
        <v>7414000005</v>
      </c>
      <c r="AB346"/>
      <c r="AC346"/>
    </row>
    <row r="347" spans="1:29" x14ac:dyDescent="0.25">
      <c r="A347" t="str">
        <f t="shared" si="6"/>
        <v xml:space="preserve">1021427SANMEX B            </v>
      </c>
      <c r="B347" s="71">
        <v>1021427</v>
      </c>
      <c r="C347" s="71" t="s">
        <v>669</v>
      </c>
      <c r="D347" s="71" t="s">
        <v>449</v>
      </c>
      <c r="E347" s="71" t="s">
        <v>623</v>
      </c>
      <c r="F347" s="71" t="s">
        <v>624</v>
      </c>
      <c r="G347" s="74">
        <v>0</v>
      </c>
      <c r="H347" s="72">
        <v>0</v>
      </c>
      <c r="I347" s="73">
        <v>0</v>
      </c>
      <c r="J347" s="72">
        <v>0</v>
      </c>
      <c r="K347" s="73">
        <v>0</v>
      </c>
      <c r="L347" s="74">
        <v>0</v>
      </c>
      <c r="M347" s="73">
        <v>0</v>
      </c>
      <c r="N347" s="74">
        <v>0</v>
      </c>
      <c r="O347" s="73">
        <v>0</v>
      </c>
      <c r="P347" s="74">
        <v>0</v>
      </c>
      <c r="Q347" s="73">
        <v>0</v>
      </c>
      <c r="R347" s="71" t="s">
        <v>625</v>
      </c>
      <c r="S347" s="71">
        <v>7414000005</v>
      </c>
      <c r="AB347"/>
      <c r="AC347"/>
    </row>
    <row r="348" spans="1:29" x14ac:dyDescent="0.25">
      <c r="A348" t="str">
        <f t="shared" si="6"/>
        <v xml:space="preserve">1021427UDIBONO 160616      </v>
      </c>
      <c r="B348" s="71">
        <v>1021427</v>
      </c>
      <c r="C348" s="71" t="s">
        <v>669</v>
      </c>
      <c r="D348" s="71" t="s">
        <v>450</v>
      </c>
      <c r="E348" s="71" t="s">
        <v>623</v>
      </c>
      <c r="F348" s="71" t="s">
        <v>624</v>
      </c>
      <c r="G348" s="74">
        <v>0</v>
      </c>
      <c r="H348" s="72">
        <v>0</v>
      </c>
      <c r="I348" s="73">
        <v>0</v>
      </c>
      <c r="J348" s="72">
        <v>0</v>
      </c>
      <c r="K348" s="73">
        <v>0</v>
      </c>
      <c r="L348" s="74">
        <v>0</v>
      </c>
      <c r="M348" s="73">
        <v>0</v>
      </c>
      <c r="N348" s="74">
        <v>0</v>
      </c>
      <c r="O348" s="73">
        <v>0</v>
      </c>
      <c r="P348" s="74">
        <v>0</v>
      </c>
      <c r="Q348" s="73">
        <v>0</v>
      </c>
      <c r="R348" s="71" t="s">
        <v>625</v>
      </c>
      <c r="S348" s="71">
        <v>7414000005</v>
      </c>
      <c r="AB348"/>
      <c r="AC348"/>
    </row>
    <row r="349" spans="1:29" x14ac:dyDescent="0.25">
      <c r="A349" t="str">
        <f t="shared" si="6"/>
        <v xml:space="preserve">1021427UDIBONO 171214      </v>
      </c>
      <c r="B349" s="71">
        <v>1021427</v>
      </c>
      <c r="C349" s="71" t="s">
        <v>669</v>
      </c>
      <c r="D349" s="71" t="s">
        <v>451</v>
      </c>
      <c r="E349" s="71" t="s">
        <v>623</v>
      </c>
      <c r="F349" s="71" t="s">
        <v>624</v>
      </c>
      <c r="G349" s="74">
        <v>0</v>
      </c>
      <c r="H349" s="72">
        <v>0</v>
      </c>
      <c r="I349" s="73">
        <v>0</v>
      </c>
      <c r="J349" s="72">
        <v>0</v>
      </c>
      <c r="K349" s="73">
        <v>0</v>
      </c>
      <c r="L349" s="74">
        <v>0</v>
      </c>
      <c r="M349" s="73">
        <v>0</v>
      </c>
      <c r="N349" s="74">
        <v>0</v>
      </c>
      <c r="O349" s="73">
        <v>0</v>
      </c>
      <c r="P349" s="74">
        <v>0</v>
      </c>
      <c r="Q349" s="73">
        <v>0</v>
      </c>
      <c r="R349" s="71" t="s">
        <v>625</v>
      </c>
      <c r="S349" s="71">
        <v>7414000005</v>
      </c>
      <c r="AB349"/>
      <c r="AC349"/>
    </row>
    <row r="350" spans="1:29" x14ac:dyDescent="0.25">
      <c r="A350" t="str">
        <f t="shared" si="6"/>
        <v xml:space="preserve">1021427UDIBONO 190613      </v>
      </c>
      <c r="B350" s="71">
        <v>1021427</v>
      </c>
      <c r="C350" s="71" t="s">
        <v>669</v>
      </c>
      <c r="D350" s="71" t="s">
        <v>452</v>
      </c>
      <c r="E350" s="71" t="s">
        <v>623</v>
      </c>
      <c r="F350" s="71" t="s">
        <v>624</v>
      </c>
      <c r="G350" s="74">
        <v>0</v>
      </c>
      <c r="H350" s="72">
        <v>0</v>
      </c>
      <c r="I350" s="73">
        <v>0</v>
      </c>
      <c r="J350" s="72">
        <v>0</v>
      </c>
      <c r="K350" s="73">
        <v>0</v>
      </c>
      <c r="L350" s="74">
        <v>0</v>
      </c>
      <c r="M350" s="73">
        <v>0</v>
      </c>
      <c r="N350" s="74">
        <v>0</v>
      </c>
      <c r="O350" s="73">
        <v>0</v>
      </c>
      <c r="P350" s="74">
        <v>0</v>
      </c>
      <c r="Q350" s="73">
        <v>0</v>
      </c>
      <c r="R350" s="71" t="s">
        <v>625</v>
      </c>
      <c r="S350" s="71">
        <v>7414000005</v>
      </c>
      <c r="AB350"/>
      <c r="AC350"/>
    </row>
    <row r="351" spans="1:29" x14ac:dyDescent="0.25">
      <c r="A351" t="str">
        <f t="shared" si="6"/>
        <v xml:space="preserve">1021427UDIBONO 201210      </v>
      </c>
      <c r="B351" s="71">
        <v>1021427</v>
      </c>
      <c r="C351" s="71" t="s">
        <v>669</v>
      </c>
      <c r="D351" s="71" t="s">
        <v>391</v>
      </c>
      <c r="E351" s="71" t="s">
        <v>623</v>
      </c>
      <c r="F351" s="71" t="s">
        <v>624</v>
      </c>
      <c r="G351" s="74">
        <v>0</v>
      </c>
      <c r="H351" s="72">
        <v>0</v>
      </c>
      <c r="I351" s="73">
        <v>0</v>
      </c>
      <c r="J351" s="72">
        <v>0</v>
      </c>
      <c r="K351" s="73">
        <v>0</v>
      </c>
      <c r="L351" s="74">
        <v>0</v>
      </c>
      <c r="M351" s="73">
        <v>0</v>
      </c>
      <c r="N351" s="74">
        <v>0</v>
      </c>
      <c r="O351" s="73">
        <v>0</v>
      </c>
      <c r="P351" s="74">
        <v>0</v>
      </c>
      <c r="Q351" s="73">
        <v>0</v>
      </c>
      <c r="R351" s="71" t="s">
        <v>625</v>
      </c>
      <c r="S351" s="71">
        <v>7414000005</v>
      </c>
      <c r="AB351"/>
      <c r="AC351"/>
    </row>
    <row r="352" spans="1:29" x14ac:dyDescent="0.25">
      <c r="A352" t="str">
        <f t="shared" si="6"/>
        <v xml:space="preserve">1021427UDIBONO 220609      </v>
      </c>
      <c r="B352" s="71">
        <v>1021427</v>
      </c>
      <c r="C352" s="71" t="s">
        <v>669</v>
      </c>
      <c r="D352" s="71" t="s">
        <v>396</v>
      </c>
      <c r="E352" s="71" t="s">
        <v>623</v>
      </c>
      <c r="F352" s="71" t="s">
        <v>624</v>
      </c>
      <c r="G352" s="74">
        <v>0</v>
      </c>
      <c r="H352" s="72">
        <v>0</v>
      </c>
      <c r="I352" s="73">
        <v>0</v>
      </c>
      <c r="J352" s="72">
        <v>0</v>
      </c>
      <c r="K352" s="73">
        <v>0</v>
      </c>
      <c r="L352" s="74">
        <v>0</v>
      </c>
      <c r="M352" s="73">
        <v>0</v>
      </c>
      <c r="N352" s="74">
        <v>0</v>
      </c>
      <c r="O352" s="73">
        <v>0</v>
      </c>
      <c r="P352" s="74">
        <v>0</v>
      </c>
      <c r="Q352" s="73">
        <v>0</v>
      </c>
      <c r="R352" s="71" t="s">
        <v>625</v>
      </c>
      <c r="S352" s="71">
        <v>7414000005</v>
      </c>
      <c r="AB352"/>
      <c r="AC352"/>
    </row>
    <row r="353" spans="1:29" x14ac:dyDescent="0.25">
      <c r="A353" t="str">
        <f t="shared" si="6"/>
        <v xml:space="preserve">1021427UDIBONO 251204      </v>
      </c>
      <c r="B353" s="71">
        <v>1024556</v>
      </c>
      <c r="C353" s="71" t="s">
        <v>670</v>
      </c>
      <c r="D353" s="71" t="s">
        <v>502</v>
      </c>
      <c r="E353" s="71" t="s">
        <v>623</v>
      </c>
      <c r="F353" s="71" t="s">
        <v>624</v>
      </c>
      <c r="G353" s="74">
        <v>156</v>
      </c>
      <c r="H353" s="72">
        <v>9469.6491050000004</v>
      </c>
      <c r="I353" s="73">
        <v>1477265.2603800001</v>
      </c>
      <c r="J353" s="72">
        <v>9977.4</v>
      </c>
      <c r="K353" s="73">
        <v>-79209.139620000002</v>
      </c>
      <c r="L353" s="74">
        <v>0</v>
      </c>
      <c r="M353" s="73">
        <v>0</v>
      </c>
      <c r="N353" s="74">
        <v>0</v>
      </c>
      <c r="O353" s="73">
        <v>0</v>
      </c>
      <c r="P353" s="74">
        <v>156</v>
      </c>
      <c r="Q353" s="73">
        <v>1477265.2603800001</v>
      </c>
      <c r="R353" s="71" t="s">
        <v>625</v>
      </c>
      <c r="S353" s="71">
        <v>7414000005</v>
      </c>
      <c r="AB353"/>
      <c r="AC353"/>
    </row>
    <row r="354" spans="1:29" x14ac:dyDescent="0.25">
      <c r="A354" t="str">
        <f t="shared" si="6"/>
        <v xml:space="preserve">1021427UDIBONO 401115      </v>
      </c>
      <c r="B354" s="71">
        <v>1024556</v>
      </c>
      <c r="C354" s="71" t="s">
        <v>670</v>
      </c>
      <c r="D354" s="71" t="s">
        <v>433</v>
      </c>
      <c r="E354" s="71" t="s">
        <v>623</v>
      </c>
      <c r="F354" s="71" t="s">
        <v>624</v>
      </c>
      <c r="G354" s="74">
        <v>200000</v>
      </c>
      <c r="H354" s="72">
        <v>100.000056</v>
      </c>
      <c r="I354" s="73">
        <v>20000011.199999999</v>
      </c>
      <c r="J354" s="72">
        <v>100</v>
      </c>
      <c r="K354" s="73">
        <v>11.2</v>
      </c>
      <c r="L354" s="74">
        <v>0</v>
      </c>
      <c r="M354" s="73">
        <v>0</v>
      </c>
      <c r="N354" s="74">
        <v>0</v>
      </c>
      <c r="O354" s="73">
        <v>0</v>
      </c>
      <c r="P354" s="74">
        <v>200000</v>
      </c>
      <c r="Q354" s="73">
        <v>20000011.199999999</v>
      </c>
      <c r="R354" s="71" t="s">
        <v>625</v>
      </c>
      <c r="S354" s="71">
        <v>7414000005</v>
      </c>
      <c r="AB354"/>
      <c r="AC354"/>
    </row>
    <row r="355" spans="1:29" x14ac:dyDescent="0.25">
      <c r="A355" t="str">
        <f t="shared" si="6"/>
        <v xml:space="preserve">1024556AMX 0131X           </v>
      </c>
      <c r="B355" s="71">
        <v>1024556</v>
      </c>
      <c r="C355" s="71" t="s">
        <v>670</v>
      </c>
      <c r="D355" s="71" t="s">
        <v>552</v>
      </c>
      <c r="E355" s="71" t="s">
        <v>623</v>
      </c>
      <c r="F355" s="71" t="s">
        <v>624</v>
      </c>
      <c r="G355" s="74">
        <v>118580</v>
      </c>
      <c r="H355" s="72">
        <v>100.000484</v>
      </c>
      <c r="I355" s="73">
        <v>11858057.392720001</v>
      </c>
      <c r="J355" s="72">
        <v>100</v>
      </c>
      <c r="K355" s="73">
        <v>57.392719999999997</v>
      </c>
      <c r="L355" s="74">
        <v>0</v>
      </c>
      <c r="M355" s="73">
        <v>0</v>
      </c>
      <c r="N355" s="74">
        <v>0</v>
      </c>
      <c r="O355" s="73">
        <v>0</v>
      </c>
      <c r="P355" s="74">
        <v>118580</v>
      </c>
      <c r="Q355" s="73">
        <v>11858057.392720001</v>
      </c>
      <c r="R355" s="71" t="s">
        <v>625</v>
      </c>
      <c r="S355" s="71">
        <v>7414000005</v>
      </c>
      <c r="AB355"/>
      <c r="AC355"/>
    </row>
    <row r="356" spans="1:29" x14ac:dyDescent="0.25">
      <c r="A356" t="str">
        <f t="shared" si="6"/>
        <v xml:space="preserve">1024556BBVAMX 22X          </v>
      </c>
      <c r="B356" s="71">
        <v>1024556</v>
      </c>
      <c r="C356" s="71" t="s">
        <v>670</v>
      </c>
      <c r="D356" s="71" t="s">
        <v>453</v>
      </c>
      <c r="E356" s="71" t="s">
        <v>623</v>
      </c>
      <c r="F356" s="71" t="s">
        <v>624</v>
      </c>
      <c r="G356" s="74">
        <v>71101</v>
      </c>
      <c r="H356" s="72">
        <v>99.764358000000001</v>
      </c>
      <c r="I356" s="73">
        <v>7093345.6181579996</v>
      </c>
      <c r="J356" s="72">
        <v>99.612017969999997</v>
      </c>
      <c r="K356" s="73">
        <v>10831.528473030001</v>
      </c>
      <c r="L356" s="74">
        <v>0</v>
      </c>
      <c r="M356" s="73">
        <v>0</v>
      </c>
      <c r="N356" s="74">
        <v>0</v>
      </c>
      <c r="O356" s="73">
        <v>0</v>
      </c>
      <c r="P356" s="74">
        <v>71101</v>
      </c>
      <c r="Q356" s="73">
        <v>7093345.6181579996</v>
      </c>
      <c r="R356" s="71" t="s">
        <v>625</v>
      </c>
      <c r="S356" s="71">
        <v>7414000005</v>
      </c>
      <c r="AB356"/>
      <c r="AC356"/>
    </row>
    <row r="357" spans="1:29" x14ac:dyDescent="0.25">
      <c r="A357" t="str">
        <f t="shared" si="6"/>
        <v xml:space="preserve">1024556BLADEX 24           </v>
      </c>
      <c r="B357" s="71">
        <v>1024556</v>
      </c>
      <c r="C357" s="71" t="s">
        <v>670</v>
      </c>
      <c r="D357" s="71" t="s">
        <v>434</v>
      </c>
      <c r="E357" s="71" t="s">
        <v>623</v>
      </c>
      <c r="F357" s="71" t="s">
        <v>624</v>
      </c>
      <c r="G357" s="74">
        <v>174270</v>
      </c>
      <c r="H357" s="72">
        <v>99.629997000000003</v>
      </c>
      <c r="I357" s="73">
        <v>17362519.577190001</v>
      </c>
      <c r="J357" s="72">
        <v>99.126983839999994</v>
      </c>
      <c r="K357" s="73">
        <v>87660.103393199999</v>
      </c>
      <c r="L357" s="74">
        <v>0</v>
      </c>
      <c r="M357" s="73">
        <v>0</v>
      </c>
      <c r="N357" s="74">
        <v>0</v>
      </c>
      <c r="O357" s="73">
        <v>0</v>
      </c>
      <c r="P357" s="74">
        <v>174270</v>
      </c>
      <c r="Q357" s="73">
        <v>17362519.577190001</v>
      </c>
      <c r="R357" s="71" t="s">
        <v>625</v>
      </c>
      <c r="S357" s="71">
        <v>7414000005</v>
      </c>
      <c r="AB357"/>
      <c r="AC357"/>
    </row>
    <row r="358" spans="1:29" x14ac:dyDescent="0.25">
      <c r="A358" t="str">
        <f t="shared" si="6"/>
        <v xml:space="preserve">1024556BONDESD 251211      </v>
      </c>
      <c r="B358" s="71">
        <v>1024556</v>
      </c>
      <c r="C358" s="71" t="s">
        <v>670</v>
      </c>
      <c r="D358" s="71" t="s">
        <v>435</v>
      </c>
      <c r="E358" s="71" t="s">
        <v>623</v>
      </c>
      <c r="F358" s="71" t="s">
        <v>624</v>
      </c>
      <c r="G358" s="74">
        <v>25593</v>
      </c>
      <c r="H358" s="72">
        <v>91.971306999999996</v>
      </c>
      <c r="I358" s="73">
        <v>2353821.6600509998</v>
      </c>
      <c r="J358" s="72">
        <v>100</v>
      </c>
      <c r="K358" s="73">
        <v>-205478.33994899999</v>
      </c>
      <c r="L358" s="74">
        <v>0</v>
      </c>
      <c r="M358" s="73">
        <v>0</v>
      </c>
      <c r="N358" s="74">
        <v>0</v>
      </c>
      <c r="O358" s="73">
        <v>0</v>
      </c>
      <c r="P358" s="74">
        <v>25593</v>
      </c>
      <c r="Q358" s="73">
        <v>2353821.6600509998</v>
      </c>
      <c r="R358" s="71" t="s">
        <v>625</v>
      </c>
      <c r="S358" s="71">
        <v>7414000005</v>
      </c>
      <c r="AB358"/>
      <c r="AC358"/>
    </row>
    <row r="359" spans="1:29" x14ac:dyDescent="0.25">
      <c r="A359" t="str">
        <f t="shared" si="6"/>
        <v xml:space="preserve">1024556BPA182 270121       </v>
      </c>
      <c r="B359" s="71">
        <v>1024556</v>
      </c>
      <c r="C359" s="71" t="s">
        <v>670</v>
      </c>
      <c r="D359" s="71" t="s">
        <v>422</v>
      </c>
      <c r="E359" s="71" t="s">
        <v>623</v>
      </c>
      <c r="F359" s="71" t="s">
        <v>624</v>
      </c>
      <c r="G359" s="74">
        <v>59819</v>
      </c>
      <c r="H359" s="72">
        <v>97.654420999999999</v>
      </c>
      <c r="I359" s="73">
        <v>5841589.8097989997</v>
      </c>
      <c r="J359" s="72">
        <v>98.949900466490575</v>
      </c>
      <c r="K359" s="73">
        <v>-77494.286206000004</v>
      </c>
      <c r="L359" s="74">
        <v>0</v>
      </c>
      <c r="M359" s="73">
        <v>0</v>
      </c>
      <c r="N359" s="74">
        <v>0</v>
      </c>
      <c r="O359" s="73">
        <v>0</v>
      </c>
      <c r="P359" s="74">
        <v>59819</v>
      </c>
      <c r="Q359" s="73">
        <v>5841589.8097989997</v>
      </c>
      <c r="R359" s="71" t="s">
        <v>625</v>
      </c>
      <c r="S359" s="71">
        <v>7414000005</v>
      </c>
      <c r="AB359"/>
      <c r="AC359"/>
    </row>
    <row r="360" spans="1:29" x14ac:dyDescent="0.25">
      <c r="A360" t="str">
        <f t="shared" si="6"/>
        <v xml:space="preserve">1024556CETELEM 21-4        </v>
      </c>
      <c r="B360" s="71">
        <v>1024556</v>
      </c>
      <c r="C360" s="71" t="s">
        <v>670</v>
      </c>
      <c r="D360" s="71" t="s">
        <v>423</v>
      </c>
      <c r="E360" s="71" t="s">
        <v>623</v>
      </c>
      <c r="F360" s="71" t="s">
        <v>624</v>
      </c>
      <c r="G360" s="74">
        <v>67470</v>
      </c>
      <c r="H360" s="72">
        <v>98.859247999999994</v>
      </c>
      <c r="I360" s="73">
        <v>6670033.4625599999</v>
      </c>
      <c r="J360" s="72">
        <v>100</v>
      </c>
      <c r="K360" s="73">
        <v>-76966.53744</v>
      </c>
      <c r="L360" s="74">
        <v>0</v>
      </c>
      <c r="M360" s="73">
        <v>0</v>
      </c>
      <c r="N360" s="74">
        <v>0</v>
      </c>
      <c r="O360" s="73">
        <v>0</v>
      </c>
      <c r="P360" s="74">
        <v>67470</v>
      </c>
      <c r="Q360" s="73">
        <v>6670033.4625599999</v>
      </c>
      <c r="R360" s="71" t="s">
        <v>625</v>
      </c>
      <c r="S360" s="71">
        <v>7414000005</v>
      </c>
      <c r="AB360"/>
      <c r="AC360"/>
    </row>
    <row r="361" spans="1:29" x14ac:dyDescent="0.25">
      <c r="A361" t="str">
        <f t="shared" si="6"/>
        <v xml:space="preserve">1024556CETELEM 22          </v>
      </c>
      <c r="B361" s="71">
        <v>1024556</v>
      </c>
      <c r="C361" s="71" t="s">
        <v>670</v>
      </c>
      <c r="D361" s="71" t="s">
        <v>612</v>
      </c>
      <c r="E361" s="71" t="s">
        <v>623</v>
      </c>
      <c r="F361" s="71" t="s">
        <v>624</v>
      </c>
      <c r="G361" s="74">
        <v>2500000</v>
      </c>
      <c r="H361" s="72">
        <v>9.8627230000000008</v>
      </c>
      <c r="I361" s="73">
        <v>24656807.5</v>
      </c>
      <c r="J361" s="72">
        <v>9.7229553800000001</v>
      </c>
      <c r="K361" s="73">
        <v>349419.05</v>
      </c>
      <c r="L361" s="74">
        <v>0</v>
      </c>
      <c r="M361" s="73">
        <v>0</v>
      </c>
      <c r="N361" s="74">
        <v>0</v>
      </c>
      <c r="O361" s="73">
        <v>0</v>
      </c>
      <c r="P361" s="74">
        <v>2500000</v>
      </c>
      <c r="Q361" s="73">
        <v>24656807.5</v>
      </c>
      <c r="R361" s="71" t="s">
        <v>625</v>
      </c>
      <c r="S361" s="71">
        <v>7414000005</v>
      </c>
      <c r="AB361"/>
      <c r="AC361"/>
    </row>
    <row r="362" spans="1:29" x14ac:dyDescent="0.25">
      <c r="A362" t="str">
        <f t="shared" si="6"/>
        <v xml:space="preserve">1024556CETELEM 22-4        </v>
      </c>
      <c r="B362" s="71">
        <v>1024556</v>
      </c>
      <c r="C362" s="71" t="s">
        <v>670</v>
      </c>
      <c r="D362" s="71" t="s">
        <v>409</v>
      </c>
      <c r="E362" s="71" t="s">
        <v>623</v>
      </c>
      <c r="F362" s="71" t="s">
        <v>624</v>
      </c>
      <c r="G362" s="74">
        <v>2975681</v>
      </c>
      <c r="H362" s="72">
        <v>9.3381629999999998</v>
      </c>
      <c r="I362" s="73">
        <v>27787394.214003</v>
      </c>
      <c r="J362" s="72">
        <v>8.3307969100000001</v>
      </c>
      <c r="K362" s="73">
        <v>2997600.1340572899</v>
      </c>
      <c r="L362" s="74">
        <v>0</v>
      </c>
      <c r="M362" s="73">
        <v>0</v>
      </c>
      <c r="N362" s="74">
        <v>0</v>
      </c>
      <c r="O362" s="73">
        <v>0</v>
      </c>
      <c r="P362" s="74">
        <v>2975681</v>
      </c>
      <c r="Q362" s="73">
        <v>27787394.214003</v>
      </c>
      <c r="R362" s="71" t="s">
        <v>625</v>
      </c>
      <c r="S362" s="71">
        <v>7414000005</v>
      </c>
      <c r="AB362"/>
      <c r="AC362"/>
    </row>
    <row r="363" spans="1:29" x14ac:dyDescent="0.25">
      <c r="A363" t="str">
        <f t="shared" si="6"/>
        <v xml:space="preserve">1024556CETES 240530        </v>
      </c>
      <c r="B363" s="71">
        <v>1024556</v>
      </c>
      <c r="C363" s="71" t="s">
        <v>670</v>
      </c>
      <c r="D363" s="71" t="s">
        <v>364</v>
      </c>
      <c r="E363" s="71" t="s">
        <v>623</v>
      </c>
      <c r="F363" s="71" t="s">
        <v>624</v>
      </c>
      <c r="G363" s="74">
        <v>6929010</v>
      </c>
      <c r="H363" s="72">
        <v>9.190137</v>
      </c>
      <c r="I363" s="73">
        <v>63678551.174369998</v>
      </c>
      <c r="J363" s="72">
        <v>8.199106487495861</v>
      </c>
      <c r="K363" s="73">
        <v>6866860.3314463003</v>
      </c>
      <c r="L363" s="74">
        <v>0</v>
      </c>
      <c r="M363" s="73">
        <v>0</v>
      </c>
      <c r="N363" s="74">
        <v>0</v>
      </c>
      <c r="O363" s="73">
        <v>0</v>
      </c>
      <c r="P363" s="74">
        <v>6929010</v>
      </c>
      <c r="Q363" s="73">
        <v>63678551.174369998</v>
      </c>
      <c r="R363" s="71" t="s">
        <v>625</v>
      </c>
      <c r="S363" s="71">
        <v>7414000005</v>
      </c>
      <c r="AB363"/>
      <c r="AC363"/>
    </row>
    <row r="364" spans="1:29" x14ac:dyDescent="0.25">
      <c r="A364" t="str">
        <f t="shared" si="6"/>
        <v xml:space="preserve">1024556CETES 241128        </v>
      </c>
      <c r="B364" s="71">
        <v>1024556</v>
      </c>
      <c r="C364" s="71" t="s">
        <v>670</v>
      </c>
      <c r="D364" s="71" t="s">
        <v>615</v>
      </c>
      <c r="E364" s="71" t="s">
        <v>623</v>
      </c>
      <c r="F364" s="71" t="s">
        <v>624</v>
      </c>
      <c r="G364" s="74">
        <v>3440000</v>
      </c>
      <c r="H364" s="72">
        <v>9.0839700000000008</v>
      </c>
      <c r="I364" s="73">
        <v>31248856.800000001</v>
      </c>
      <c r="J364" s="72">
        <v>8.9878796600000008</v>
      </c>
      <c r="K364" s="73">
        <v>330550.7696</v>
      </c>
      <c r="L364" s="74">
        <v>0</v>
      </c>
      <c r="M364" s="73">
        <v>0</v>
      </c>
      <c r="N364" s="74">
        <v>0</v>
      </c>
      <c r="O364" s="73">
        <v>0</v>
      </c>
      <c r="P364" s="74">
        <v>3440000</v>
      </c>
      <c r="Q364" s="73">
        <v>31248856.800000001</v>
      </c>
      <c r="R364" s="71" t="s">
        <v>625</v>
      </c>
      <c r="S364" s="71">
        <v>7414000005</v>
      </c>
      <c r="AB364"/>
      <c r="AC364"/>
    </row>
    <row r="365" spans="1:29" x14ac:dyDescent="0.25">
      <c r="A365" t="str">
        <f t="shared" si="6"/>
        <v xml:space="preserve">1024556CETES 250123        </v>
      </c>
      <c r="B365" s="71">
        <v>1024556</v>
      </c>
      <c r="C365" s="71" t="s">
        <v>670</v>
      </c>
      <c r="D365" s="71" t="s">
        <v>649</v>
      </c>
      <c r="E365" s="71" t="s">
        <v>623</v>
      </c>
      <c r="F365" s="71" t="s">
        <v>624</v>
      </c>
      <c r="G365" s="74">
        <v>1842650</v>
      </c>
      <c r="H365" s="72">
        <v>9.0112480000000001</v>
      </c>
      <c r="I365" s="73">
        <v>16604576.1272</v>
      </c>
      <c r="J365" s="72">
        <v>8.9969798000000001</v>
      </c>
      <c r="K365" s="73">
        <v>26291.298729999999</v>
      </c>
      <c r="L365" s="74">
        <v>0</v>
      </c>
      <c r="M365" s="73">
        <v>0</v>
      </c>
      <c r="N365" s="74">
        <v>0</v>
      </c>
      <c r="O365" s="73">
        <v>0</v>
      </c>
      <c r="P365" s="74">
        <v>1842650</v>
      </c>
      <c r="Q365" s="73">
        <v>16604576.1272</v>
      </c>
      <c r="R365" s="71" t="s">
        <v>625</v>
      </c>
      <c r="S365" s="71">
        <v>7414000005</v>
      </c>
      <c r="AB365"/>
      <c r="AC365"/>
    </row>
    <row r="366" spans="1:29" x14ac:dyDescent="0.25">
      <c r="A366" t="str">
        <f t="shared" si="6"/>
        <v xml:space="preserve">1024556CETES 250306        </v>
      </c>
      <c r="B366" s="71">
        <v>1024556</v>
      </c>
      <c r="C366" s="71" t="s">
        <v>670</v>
      </c>
      <c r="D366" s="71" t="s">
        <v>543</v>
      </c>
      <c r="E366" s="71" t="s">
        <v>623</v>
      </c>
      <c r="F366" s="71" t="s">
        <v>624</v>
      </c>
      <c r="G366" s="74">
        <v>10000000</v>
      </c>
      <c r="H366" s="72">
        <v>8.5044190000000004</v>
      </c>
      <c r="I366" s="73">
        <v>85044190</v>
      </c>
      <c r="J366" s="72">
        <v>8.2167949300000007</v>
      </c>
      <c r="K366" s="73">
        <v>2876240.7</v>
      </c>
      <c r="L366" s="74">
        <v>0</v>
      </c>
      <c r="M366" s="73">
        <v>0</v>
      </c>
      <c r="N366" s="74">
        <v>0</v>
      </c>
      <c r="O366" s="73">
        <v>0</v>
      </c>
      <c r="P366" s="74">
        <v>10000000</v>
      </c>
      <c r="Q366" s="73">
        <v>85044190</v>
      </c>
      <c r="R366" s="71" t="s">
        <v>625</v>
      </c>
      <c r="S366" s="71">
        <v>7414000005</v>
      </c>
      <c r="AB366"/>
      <c r="AC366"/>
    </row>
    <row r="367" spans="1:29" x14ac:dyDescent="0.25">
      <c r="A367" t="str">
        <f t="shared" si="6"/>
        <v xml:space="preserve">1024556CETES 250403        </v>
      </c>
      <c r="B367" s="71">
        <v>1024556</v>
      </c>
      <c r="C367" s="71" t="s">
        <v>670</v>
      </c>
      <c r="D367" s="71" t="s">
        <v>554</v>
      </c>
      <c r="E367" s="71" t="s">
        <v>623</v>
      </c>
      <c r="F367" s="71" t="s">
        <v>624</v>
      </c>
      <c r="G367" s="74">
        <v>3836130</v>
      </c>
      <c r="H367" s="72">
        <v>8.3813510000000004</v>
      </c>
      <c r="I367" s="73">
        <v>32151952.011629999</v>
      </c>
      <c r="J367" s="72">
        <v>8.2778259505331935</v>
      </c>
      <c r="K367" s="73">
        <v>397135.54801109998</v>
      </c>
      <c r="L367" s="74">
        <v>0</v>
      </c>
      <c r="M367" s="73">
        <v>0</v>
      </c>
      <c r="N367" s="74">
        <v>0</v>
      </c>
      <c r="O367" s="73">
        <v>0</v>
      </c>
      <c r="P367" s="74">
        <v>3836130</v>
      </c>
      <c r="Q367" s="73">
        <v>32151952.011629999</v>
      </c>
      <c r="R367" s="71" t="s">
        <v>625</v>
      </c>
      <c r="S367" s="71">
        <v>7414000005</v>
      </c>
      <c r="AB367"/>
      <c r="AC367"/>
    </row>
    <row r="368" spans="1:29" x14ac:dyDescent="0.25">
      <c r="A368" t="str">
        <f t="shared" si="6"/>
        <v xml:space="preserve">1024556CETES 251030        </v>
      </c>
      <c r="B368" s="71">
        <v>1024556</v>
      </c>
      <c r="C368" s="71" t="s">
        <v>670</v>
      </c>
      <c r="D368" s="71" t="s">
        <v>613</v>
      </c>
      <c r="E368" s="71" t="s">
        <v>623</v>
      </c>
      <c r="F368" s="71" t="s">
        <v>624</v>
      </c>
      <c r="G368" s="74">
        <v>4472190</v>
      </c>
      <c r="H368" s="72">
        <v>8.2580650000000002</v>
      </c>
      <c r="I368" s="73">
        <v>36931635.712350003</v>
      </c>
      <c r="J368" s="72">
        <v>8.2431905926248437</v>
      </c>
      <c r="K368" s="73">
        <v>66521.175919100002</v>
      </c>
      <c r="L368" s="74">
        <v>0</v>
      </c>
      <c r="M368" s="73">
        <v>0</v>
      </c>
      <c r="N368" s="74">
        <v>0</v>
      </c>
      <c r="O368" s="73">
        <v>0</v>
      </c>
      <c r="P368" s="74">
        <v>4472190</v>
      </c>
      <c r="Q368" s="73">
        <v>36931635.712350003</v>
      </c>
      <c r="R368" s="71" t="s">
        <v>625</v>
      </c>
      <c r="S368" s="71">
        <v>7414000005</v>
      </c>
      <c r="AB368"/>
      <c r="AC368"/>
    </row>
    <row r="369" spans="1:29" x14ac:dyDescent="0.25">
      <c r="A369" t="str">
        <f t="shared" si="6"/>
        <v xml:space="preserve">1024556CETES 251224        </v>
      </c>
      <c r="B369" s="71">
        <v>1024556</v>
      </c>
      <c r="C369" s="71" t="s">
        <v>670</v>
      </c>
      <c r="D369" s="71" t="s">
        <v>424</v>
      </c>
      <c r="E369" s="71" t="s">
        <v>623</v>
      </c>
      <c r="F369" s="71" t="s">
        <v>624</v>
      </c>
      <c r="G369" s="74">
        <v>315960</v>
      </c>
      <c r="H369" s="72">
        <v>93.248425999999995</v>
      </c>
      <c r="I369" s="73">
        <v>29462772.678959999</v>
      </c>
      <c r="J369" s="72">
        <v>97.17965882</v>
      </c>
      <c r="K369" s="73">
        <v>-1242112.3218072001</v>
      </c>
      <c r="L369" s="74">
        <v>0</v>
      </c>
      <c r="M369" s="73">
        <v>0</v>
      </c>
      <c r="N369" s="74">
        <v>0</v>
      </c>
      <c r="O369" s="73">
        <v>0</v>
      </c>
      <c r="P369" s="74">
        <v>315960</v>
      </c>
      <c r="Q369" s="73">
        <v>29462772.678959999</v>
      </c>
      <c r="R369" s="71" t="s">
        <v>625</v>
      </c>
      <c r="S369" s="71">
        <v>7414000005</v>
      </c>
      <c r="AB369"/>
      <c r="AC369"/>
    </row>
    <row r="370" spans="1:29" x14ac:dyDescent="0.25">
      <c r="A370" t="str">
        <f t="shared" si="6"/>
        <v xml:space="preserve">1024556CETES 260219        </v>
      </c>
      <c r="B370" s="71">
        <v>1024556</v>
      </c>
      <c r="C370" s="71" t="s">
        <v>670</v>
      </c>
      <c r="D370" s="71" t="s">
        <v>454</v>
      </c>
      <c r="E370" s="71" t="s">
        <v>623</v>
      </c>
      <c r="F370" s="71" t="s">
        <v>624</v>
      </c>
      <c r="G370" s="74">
        <v>7195</v>
      </c>
      <c r="H370" s="72">
        <v>744.63981999999999</v>
      </c>
      <c r="I370" s="73">
        <v>5357683.5049000001</v>
      </c>
      <c r="J370" s="72">
        <v>681.10709999999995</v>
      </c>
      <c r="K370" s="73">
        <v>457117.9204</v>
      </c>
      <c r="L370" s="74">
        <v>0</v>
      </c>
      <c r="M370" s="73">
        <v>0</v>
      </c>
      <c r="N370" s="74">
        <v>0</v>
      </c>
      <c r="O370" s="73">
        <v>0</v>
      </c>
      <c r="P370" s="74">
        <v>7195</v>
      </c>
      <c r="Q370" s="73">
        <v>5357683.5049000001</v>
      </c>
      <c r="R370" s="71" t="s">
        <v>625</v>
      </c>
      <c r="S370" s="71">
        <v>7414000005</v>
      </c>
      <c r="AB370"/>
      <c r="AC370"/>
    </row>
    <row r="371" spans="1:29" x14ac:dyDescent="0.25">
      <c r="A371" t="str">
        <f t="shared" si="6"/>
        <v xml:space="preserve">1024556CFE 14-2            </v>
      </c>
      <c r="B371" s="71">
        <v>1024556</v>
      </c>
      <c r="C371" s="71" t="s">
        <v>670</v>
      </c>
      <c r="D371" s="71" t="s">
        <v>455</v>
      </c>
      <c r="E371" s="71" t="s">
        <v>623</v>
      </c>
      <c r="F371" s="71" t="s">
        <v>624</v>
      </c>
      <c r="G371" s="74">
        <v>170000</v>
      </c>
      <c r="H371" s="72">
        <v>72.270214999999993</v>
      </c>
      <c r="I371" s="73">
        <v>12285936.550000001</v>
      </c>
      <c r="J371" s="72">
        <v>108.07997091</v>
      </c>
      <c r="K371" s="73">
        <v>-6087658.5047000004</v>
      </c>
      <c r="L371" s="74">
        <v>0</v>
      </c>
      <c r="M371" s="73">
        <v>0</v>
      </c>
      <c r="N371" s="74">
        <v>0</v>
      </c>
      <c r="O371" s="73">
        <v>0</v>
      </c>
      <c r="P371" s="74">
        <v>170000</v>
      </c>
      <c r="Q371" s="73">
        <v>12285936.550000001</v>
      </c>
      <c r="R371" s="71" t="s">
        <v>625</v>
      </c>
      <c r="S371" s="71">
        <v>7414000005</v>
      </c>
      <c r="AB371"/>
      <c r="AC371"/>
    </row>
    <row r="372" spans="1:29" x14ac:dyDescent="0.25">
      <c r="A372" t="str">
        <f t="shared" si="6"/>
        <v xml:space="preserve">1024556CFE 21U             </v>
      </c>
      <c r="B372" s="71">
        <v>1024556</v>
      </c>
      <c r="C372" s="71" t="s">
        <v>670</v>
      </c>
      <c r="D372" s="71" t="s">
        <v>508</v>
      </c>
      <c r="E372" s="71" t="s">
        <v>623</v>
      </c>
      <c r="F372" s="71" t="s">
        <v>624</v>
      </c>
      <c r="G372" s="74">
        <v>339985</v>
      </c>
      <c r="H372" s="72">
        <v>99.999157999999994</v>
      </c>
      <c r="I372" s="73">
        <v>33998213.73263</v>
      </c>
      <c r="J372" s="72">
        <v>99.999891800520615</v>
      </c>
      <c r="K372" s="73">
        <v>-249.48116999999999</v>
      </c>
      <c r="L372" s="74">
        <v>0</v>
      </c>
      <c r="M372" s="73">
        <v>0</v>
      </c>
      <c r="N372" s="74">
        <v>0</v>
      </c>
      <c r="O372" s="73">
        <v>0</v>
      </c>
      <c r="P372" s="74">
        <v>339985</v>
      </c>
      <c r="Q372" s="73">
        <v>33998213.73263</v>
      </c>
      <c r="R372" s="71" t="s">
        <v>625</v>
      </c>
      <c r="S372" s="71">
        <v>7414000005</v>
      </c>
      <c r="AB372"/>
      <c r="AC372"/>
    </row>
    <row r="373" spans="1:29" x14ac:dyDescent="0.25">
      <c r="A373" t="str">
        <f t="shared" si="6"/>
        <v xml:space="preserve">1024556CHIACB 07           </v>
      </c>
      <c r="B373" s="71">
        <v>1024556</v>
      </c>
      <c r="C373" s="71" t="s">
        <v>670</v>
      </c>
      <c r="D373" s="71" t="s">
        <v>366</v>
      </c>
      <c r="E373" s="71" t="s">
        <v>623</v>
      </c>
      <c r="F373" s="71" t="s">
        <v>624</v>
      </c>
      <c r="G373" s="74">
        <v>0</v>
      </c>
      <c r="H373" s="72">
        <v>0</v>
      </c>
      <c r="I373" s="73">
        <v>75048349.030000001</v>
      </c>
      <c r="J373" s="72">
        <v>0</v>
      </c>
      <c r="K373" s="73">
        <v>0</v>
      </c>
      <c r="L373" s="74">
        <v>0</v>
      </c>
      <c r="M373" s="73">
        <v>0</v>
      </c>
      <c r="N373" s="74">
        <v>0</v>
      </c>
      <c r="O373" s="73">
        <v>0</v>
      </c>
      <c r="P373" s="74">
        <v>0</v>
      </c>
      <c r="Q373" s="73">
        <v>75048349.030000001</v>
      </c>
      <c r="R373" s="71" t="s">
        <v>625</v>
      </c>
      <c r="S373" s="71">
        <v>7414000005</v>
      </c>
      <c r="AB373"/>
      <c r="AC373"/>
    </row>
    <row r="374" spans="1:29" x14ac:dyDescent="0.25">
      <c r="A374" t="str">
        <f t="shared" si="6"/>
        <v xml:space="preserve">1024556EDUCA 23L           </v>
      </c>
      <c r="B374" s="71">
        <v>1024556</v>
      </c>
      <c r="C374" s="71" t="s">
        <v>670</v>
      </c>
      <c r="D374" s="71" t="s">
        <v>436</v>
      </c>
      <c r="E374" s="71" t="s">
        <v>623</v>
      </c>
      <c r="F374" s="71" t="s">
        <v>624</v>
      </c>
      <c r="G374" s="74">
        <v>122020</v>
      </c>
      <c r="H374" s="72">
        <v>99.963265000000007</v>
      </c>
      <c r="I374" s="73">
        <v>12197517.5953</v>
      </c>
      <c r="J374" s="72">
        <v>100</v>
      </c>
      <c r="K374" s="73">
        <v>-4482.4047</v>
      </c>
      <c r="L374" s="74">
        <v>0</v>
      </c>
      <c r="M374" s="73">
        <v>0</v>
      </c>
      <c r="N374" s="74">
        <v>0</v>
      </c>
      <c r="O374" s="73">
        <v>0</v>
      </c>
      <c r="P374" s="74">
        <v>122020</v>
      </c>
      <c r="Q374" s="73">
        <v>12197517.5953</v>
      </c>
      <c r="R374" s="71" t="s">
        <v>625</v>
      </c>
      <c r="S374" s="71">
        <v>7414000005</v>
      </c>
      <c r="AB374"/>
      <c r="AC374"/>
    </row>
    <row r="375" spans="1:29" x14ac:dyDescent="0.25">
      <c r="A375" t="str">
        <f t="shared" si="6"/>
        <v>1024556EFECTIVO</v>
      </c>
      <c r="B375" s="71">
        <v>1024556</v>
      </c>
      <c r="C375" s="71" t="s">
        <v>670</v>
      </c>
      <c r="D375" s="71" t="s">
        <v>456</v>
      </c>
      <c r="E375" s="71" t="s">
        <v>623</v>
      </c>
      <c r="F375" s="71" t="s">
        <v>624</v>
      </c>
      <c r="G375" s="74">
        <v>24263</v>
      </c>
      <c r="H375" s="72">
        <v>307.22749900000002</v>
      </c>
      <c r="I375" s="73">
        <v>7454260.8082370004</v>
      </c>
      <c r="J375" s="72">
        <v>577.02305865000005</v>
      </c>
      <c r="K375" s="73">
        <v>-6546049.6637879498</v>
      </c>
      <c r="L375" s="74">
        <v>0</v>
      </c>
      <c r="M375" s="73">
        <v>0</v>
      </c>
      <c r="N375" s="74">
        <v>0</v>
      </c>
      <c r="O375" s="73">
        <v>0</v>
      </c>
      <c r="P375" s="74">
        <v>24263</v>
      </c>
      <c r="Q375" s="73">
        <v>7454260.8082370004</v>
      </c>
      <c r="R375" s="71" t="s">
        <v>625</v>
      </c>
      <c r="S375" s="71">
        <v>7414000005</v>
      </c>
      <c r="AB375"/>
      <c r="AC375"/>
    </row>
    <row r="376" spans="1:29" x14ac:dyDescent="0.25">
      <c r="A376" t="str">
        <f t="shared" si="6"/>
        <v xml:space="preserve">1024556FNCOT 22S           </v>
      </c>
      <c r="B376" s="71">
        <v>1024556</v>
      </c>
      <c r="C376" s="71" t="s">
        <v>670</v>
      </c>
      <c r="D376" s="71" t="s">
        <v>425</v>
      </c>
      <c r="E376" s="71" t="s">
        <v>623</v>
      </c>
      <c r="F376" s="71" t="s">
        <v>624</v>
      </c>
      <c r="G376" s="74">
        <v>2320</v>
      </c>
      <c r="H376" s="72">
        <v>100.020889</v>
      </c>
      <c r="I376" s="73">
        <v>232048.46247999999</v>
      </c>
      <c r="J376" s="72">
        <v>100</v>
      </c>
      <c r="K376" s="73">
        <v>48.462479999999999</v>
      </c>
      <c r="L376" s="74">
        <v>0</v>
      </c>
      <c r="M376" s="73">
        <v>0</v>
      </c>
      <c r="N376" s="74">
        <v>0</v>
      </c>
      <c r="O376" s="73">
        <v>0</v>
      </c>
      <c r="P376" s="74">
        <v>2320</v>
      </c>
      <c r="Q376" s="73">
        <v>232048.46247999999</v>
      </c>
      <c r="R376" s="71" t="s">
        <v>625</v>
      </c>
      <c r="S376" s="71">
        <v>7414000005</v>
      </c>
      <c r="AB376"/>
      <c r="AC376"/>
    </row>
    <row r="377" spans="1:29" x14ac:dyDescent="0.25">
      <c r="A377" t="str">
        <f t="shared" si="6"/>
        <v xml:space="preserve">1024556FOVISCB 17U         </v>
      </c>
      <c r="B377" s="71">
        <v>1024556</v>
      </c>
      <c r="C377" s="71" t="s">
        <v>670</v>
      </c>
      <c r="D377" s="71" t="s">
        <v>375</v>
      </c>
      <c r="E377" s="71" t="s">
        <v>623</v>
      </c>
      <c r="F377" s="71" t="s">
        <v>624</v>
      </c>
      <c r="G377" s="74">
        <v>53861</v>
      </c>
      <c r="H377" s="72">
        <v>98.730349000000004</v>
      </c>
      <c r="I377" s="73">
        <v>5317715.3274889998</v>
      </c>
      <c r="J377" s="72">
        <v>111.89286593999999</v>
      </c>
      <c r="K377" s="73">
        <v>-708946.32490533998</v>
      </c>
      <c r="L377" s="74">
        <v>0</v>
      </c>
      <c r="M377" s="73">
        <v>0</v>
      </c>
      <c r="N377" s="74">
        <v>0</v>
      </c>
      <c r="O377" s="73">
        <v>0</v>
      </c>
      <c r="P377" s="74">
        <v>53861</v>
      </c>
      <c r="Q377" s="73">
        <v>5317715.3274889998</v>
      </c>
      <c r="R377" s="71" t="s">
        <v>625</v>
      </c>
      <c r="S377" s="71">
        <v>7414000005</v>
      </c>
      <c r="AB377"/>
      <c r="AC377"/>
    </row>
    <row r="378" spans="1:29" x14ac:dyDescent="0.25">
      <c r="A378" t="str">
        <f t="shared" si="6"/>
        <v xml:space="preserve">1024556GAP 22L             </v>
      </c>
      <c r="B378" s="71">
        <v>1024556</v>
      </c>
      <c r="C378" s="71" t="s">
        <v>670</v>
      </c>
      <c r="D378" s="71" t="s">
        <v>376</v>
      </c>
      <c r="E378" s="71" t="s">
        <v>623</v>
      </c>
      <c r="F378" s="71" t="s">
        <v>624</v>
      </c>
      <c r="G378" s="74">
        <v>40037</v>
      </c>
      <c r="H378" s="72">
        <v>99.247497999999993</v>
      </c>
      <c r="I378" s="73">
        <v>3973572.077426</v>
      </c>
      <c r="J378" s="72">
        <v>101.04285588</v>
      </c>
      <c r="K378" s="73">
        <v>-71880.74344156</v>
      </c>
      <c r="L378" s="74">
        <v>0</v>
      </c>
      <c r="M378" s="73">
        <v>0</v>
      </c>
      <c r="N378" s="74">
        <v>0</v>
      </c>
      <c r="O378" s="73">
        <v>0</v>
      </c>
      <c r="P378" s="74">
        <v>40037</v>
      </c>
      <c r="Q378" s="73">
        <v>3973572.077426</v>
      </c>
      <c r="R378" s="71" t="s">
        <v>625</v>
      </c>
      <c r="S378" s="71">
        <v>7414000005</v>
      </c>
      <c r="AB378"/>
      <c r="AC378"/>
    </row>
    <row r="379" spans="1:29" x14ac:dyDescent="0.25">
      <c r="A379" t="str">
        <f t="shared" si="6"/>
        <v xml:space="preserve">1024556GOBFED 240905       </v>
      </c>
      <c r="B379" s="71">
        <v>1024556</v>
      </c>
      <c r="C379" s="71" t="s">
        <v>670</v>
      </c>
      <c r="D379" s="71" t="s">
        <v>377</v>
      </c>
      <c r="E379" s="71" t="s">
        <v>623</v>
      </c>
      <c r="F379" s="71" t="s">
        <v>624</v>
      </c>
      <c r="G379" s="74">
        <v>89801</v>
      </c>
      <c r="H379" s="72">
        <v>94.973146999999997</v>
      </c>
      <c r="I379" s="73">
        <v>8528683.5737469997</v>
      </c>
      <c r="J379" s="72">
        <v>90.447894919999996</v>
      </c>
      <c r="K379" s="73">
        <v>406372.16203607997</v>
      </c>
      <c r="L379" s="74">
        <v>0</v>
      </c>
      <c r="M379" s="73">
        <v>0</v>
      </c>
      <c r="N379" s="74">
        <v>0</v>
      </c>
      <c r="O379" s="73">
        <v>0</v>
      </c>
      <c r="P379" s="74">
        <v>89801</v>
      </c>
      <c r="Q379" s="73">
        <v>8528683.5737469997</v>
      </c>
      <c r="R379" s="71" t="s">
        <v>625</v>
      </c>
      <c r="S379" s="71">
        <v>7414000005</v>
      </c>
      <c r="AB379"/>
      <c r="AC379"/>
    </row>
    <row r="380" spans="1:29" x14ac:dyDescent="0.25">
      <c r="A380" t="str">
        <f t="shared" si="6"/>
        <v xml:space="preserve">1024556GOBFED 241205       </v>
      </c>
      <c r="B380" s="71">
        <v>1024556</v>
      </c>
      <c r="C380" s="71" t="s">
        <v>670</v>
      </c>
      <c r="D380" s="71" t="s">
        <v>378</v>
      </c>
      <c r="E380" s="71" t="s">
        <v>623</v>
      </c>
      <c r="F380" s="71" t="s">
        <v>624</v>
      </c>
      <c r="G380" s="74">
        <v>148267</v>
      </c>
      <c r="H380" s="72">
        <v>91.911821000000003</v>
      </c>
      <c r="I380" s="73">
        <v>13627489.964206999</v>
      </c>
      <c r="J380" s="72">
        <v>90.233927210000004</v>
      </c>
      <c r="K380" s="73">
        <v>248776.27856193</v>
      </c>
      <c r="L380" s="74">
        <v>0</v>
      </c>
      <c r="M380" s="73">
        <v>0</v>
      </c>
      <c r="N380" s="74">
        <v>0</v>
      </c>
      <c r="O380" s="73">
        <v>0</v>
      </c>
      <c r="P380" s="74">
        <v>148267</v>
      </c>
      <c r="Q380" s="73">
        <v>13627489.964206999</v>
      </c>
      <c r="R380" s="71" t="s">
        <v>625</v>
      </c>
      <c r="S380" s="71">
        <v>7414000005</v>
      </c>
      <c r="AB380"/>
      <c r="AC380"/>
    </row>
    <row r="381" spans="1:29" x14ac:dyDescent="0.25">
      <c r="A381" t="str">
        <f t="shared" si="6"/>
        <v xml:space="preserve">1024556GOBFED 250306       </v>
      </c>
      <c r="B381" s="71">
        <v>1024556</v>
      </c>
      <c r="C381" s="71" t="s">
        <v>670</v>
      </c>
      <c r="D381" s="71" t="s">
        <v>499</v>
      </c>
      <c r="E381" s="71" t="s">
        <v>623</v>
      </c>
      <c r="F381" s="71" t="s">
        <v>624</v>
      </c>
      <c r="G381" s="74">
        <v>436390</v>
      </c>
      <c r="H381" s="72">
        <v>92.954503000000003</v>
      </c>
      <c r="I381" s="73">
        <v>40564415.564170003</v>
      </c>
      <c r="J381" s="72">
        <v>93.254954157532708</v>
      </c>
      <c r="K381" s="73">
        <v>-131113.88063570001</v>
      </c>
      <c r="L381" s="74">
        <v>0</v>
      </c>
      <c r="M381" s="73">
        <v>0</v>
      </c>
      <c r="N381" s="74">
        <v>0</v>
      </c>
      <c r="O381" s="73">
        <v>0</v>
      </c>
      <c r="P381" s="74">
        <v>436390</v>
      </c>
      <c r="Q381" s="73">
        <v>40564415.564170003</v>
      </c>
      <c r="R381" s="71" t="s">
        <v>625</v>
      </c>
      <c r="S381" s="71">
        <v>7414000005</v>
      </c>
      <c r="AB381"/>
      <c r="AC381"/>
    </row>
    <row r="382" spans="1:29" x14ac:dyDescent="0.25">
      <c r="A382" t="str">
        <f t="shared" si="6"/>
        <v xml:space="preserve">1024556GOBFED 260305       </v>
      </c>
      <c r="B382" s="71">
        <v>1024556</v>
      </c>
      <c r="C382" s="71" t="s">
        <v>670</v>
      </c>
      <c r="D382" s="71" t="s">
        <v>379</v>
      </c>
      <c r="E382" s="71" t="s">
        <v>623</v>
      </c>
      <c r="F382" s="71" t="s">
        <v>624</v>
      </c>
      <c r="G382" s="74">
        <v>235182</v>
      </c>
      <c r="H382" s="72">
        <v>88.698122999999995</v>
      </c>
      <c r="I382" s="73">
        <v>20860201.963385999</v>
      </c>
      <c r="J382" s="72">
        <v>85.523933509142793</v>
      </c>
      <c r="K382" s="73">
        <v>746512.23283878004</v>
      </c>
      <c r="L382" s="74">
        <v>0</v>
      </c>
      <c r="M382" s="73">
        <v>0</v>
      </c>
      <c r="N382" s="74">
        <v>0</v>
      </c>
      <c r="O382" s="73">
        <v>0</v>
      </c>
      <c r="P382" s="74">
        <v>235182</v>
      </c>
      <c r="Q382" s="73">
        <v>20860201.963385999</v>
      </c>
      <c r="R382" s="71" t="s">
        <v>625</v>
      </c>
      <c r="S382" s="71">
        <v>7414000005</v>
      </c>
      <c r="AB382"/>
      <c r="AC382"/>
    </row>
    <row r="383" spans="1:29" x14ac:dyDescent="0.25">
      <c r="A383" t="str">
        <f t="shared" si="6"/>
        <v xml:space="preserve">1024556GOBFED 260903       </v>
      </c>
      <c r="B383" s="71">
        <v>1024556</v>
      </c>
      <c r="C383" s="71" t="s">
        <v>670</v>
      </c>
      <c r="D383" s="71" t="s">
        <v>380</v>
      </c>
      <c r="E383" s="71" t="s">
        <v>623</v>
      </c>
      <c r="F383" s="71" t="s">
        <v>624</v>
      </c>
      <c r="G383" s="74">
        <v>183660</v>
      </c>
      <c r="H383" s="72">
        <v>93.314192000000006</v>
      </c>
      <c r="I383" s="73">
        <v>17138084.502719998</v>
      </c>
      <c r="J383" s="72">
        <v>94.568815266643256</v>
      </c>
      <c r="K383" s="73">
        <v>-230424.10915169999</v>
      </c>
      <c r="L383" s="74">
        <v>0</v>
      </c>
      <c r="M383" s="73">
        <v>0</v>
      </c>
      <c r="N383" s="74">
        <v>0</v>
      </c>
      <c r="O383" s="73">
        <v>0</v>
      </c>
      <c r="P383" s="74">
        <v>183660</v>
      </c>
      <c r="Q383" s="73">
        <v>17138084.502719998</v>
      </c>
      <c r="R383" s="71" t="s">
        <v>625</v>
      </c>
      <c r="S383" s="71">
        <v>7414000005</v>
      </c>
      <c r="AB383"/>
      <c r="AC383"/>
    </row>
    <row r="384" spans="1:29" x14ac:dyDescent="0.25">
      <c r="A384" t="str">
        <f t="shared" si="6"/>
        <v xml:space="preserve">1024556GOBFED 270304       </v>
      </c>
      <c r="B384" s="71">
        <v>1024556</v>
      </c>
      <c r="C384" s="71" t="s">
        <v>670</v>
      </c>
      <c r="D384" s="71" t="s">
        <v>507</v>
      </c>
      <c r="E384" s="71" t="s">
        <v>623</v>
      </c>
      <c r="F384" s="71" t="s">
        <v>624</v>
      </c>
      <c r="G384" s="74">
        <v>166000</v>
      </c>
      <c r="H384" s="72">
        <v>94.864168000000006</v>
      </c>
      <c r="I384" s="73">
        <v>15747451.888</v>
      </c>
      <c r="J384" s="72">
        <v>96.596719710000002</v>
      </c>
      <c r="K384" s="73">
        <v>-287603.58386000001</v>
      </c>
      <c r="L384" s="74">
        <v>0</v>
      </c>
      <c r="M384" s="73">
        <v>0</v>
      </c>
      <c r="N384" s="74">
        <v>0</v>
      </c>
      <c r="O384" s="73">
        <v>0</v>
      </c>
      <c r="P384" s="74">
        <v>166000</v>
      </c>
      <c r="Q384" s="73">
        <v>15747451.888</v>
      </c>
      <c r="R384" s="71" t="s">
        <v>625</v>
      </c>
      <c r="S384" s="71">
        <v>7414000005</v>
      </c>
      <c r="AB384"/>
      <c r="AC384"/>
    </row>
    <row r="385" spans="1:29" x14ac:dyDescent="0.25">
      <c r="A385" t="str">
        <f t="shared" si="6"/>
        <v xml:space="preserve">1024556GOBFED 270603       </v>
      </c>
      <c r="B385" s="71">
        <v>1024556</v>
      </c>
      <c r="C385" s="71" t="s">
        <v>670</v>
      </c>
      <c r="D385" s="71" t="s">
        <v>381</v>
      </c>
      <c r="E385" s="71" t="s">
        <v>623</v>
      </c>
      <c r="F385" s="71" t="s">
        <v>624</v>
      </c>
      <c r="G385" s="74">
        <v>701874</v>
      </c>
      <c r="H385" s="72">
        <v>94.870157000000006</v>
      </c>
      <c r="I385" s="73">
        <v>66586896.574217997</v>
      </c>
      <c r="J385" s="72">
        <v>97.304096292830337</v>
      </c>
      <c r="K385" s="73">
        <v>-1708318.707216</v>
      </c>
      <c r="L385" s="74">
        <v>0</v>
      </c>
      <c r="M385" s="73">
        <v>0</v>
      </c>
      <c r="N385" s="74">
        <v>0</v>
      </c>
      <c r="O385" s="73">
        <v>0</v>
      </c>
      <c r="P385" s="74">
        <v>701874</v>
      </c>
      <c r="Q385" s="73">
        <v>66586896.574217997</v>
      </c>
      <c r="R385" s="71" t="s">
        <v>625</v>
      </c>
      <c r="S385" s="71">
        <v>7414000005</v>
      </c>
      <c r="AB385"/>
      <c r="AC385"/>
    </row>
    <row r="386" spans="1:29" x14ac:dyDescent="0.25">
      <c r="A386" t="str">
        <f t="shared" si="6"/>
        <v xml:space="preserve">1024556GOBFED 290301       </v>
      </c>
      <c r="B386" s="71">
        <v>1024556</v>
      </c>
      <c r="C386" s="71" t="s">
        <v>670</v>
      </c>
      <c r="D386" s="71" t="s">
        <v>382</v>
      </c>
      <c r="E386" s="71" t="s">
        <v>623</v>
      </c>
      <c r="F386" s="71" t="s">
        <v>624</v>
      </c>
      <c r="G386" s="74">
        <v>653249</v>
      </c>
      <c r="H386" s="72">
        <v>89.489464999999996</v>
      </c>
      <c r="I386" s="73">
        <v>58458903.521784998</v>
      </c>
      <c r="J386" s="72">
        <v>90.174177705816263</v>
      </c>
      <c r="K386" s="73">
        <v>-447287.89036177</v>
      </c>
      <c r="L386" s="74">
        <v>0</v>
      </c>
      <c r="M386" s="73">
        <v>0</v>
      </c>
      <c r="N386" s="74">
        <v>0</v>
      </c>
      <c r="O386" s="73">
        <v>0</v>
      </c>
      <c r="P386" s="74">
        <v>653249</v>
      </c>
      <c r="Q386" s="73">
        <v>58458903.521784998</v>
      </c>
      <c r="R386" s="71" t="s">
        <v>625</v>
      </c>
      <c r="S386" s="71">
        <v>7414000005</v>
      </c>
      <c r="AB386"/>
      <c r="AC386"/>
    </row>
    <row r="387" spans="1:29" x14ac:dyDescent="0.25">
      <c r="A387" t="str">
        <f t="shared" si="6"/>
        <v xml:space="preserve">1024556GOBFED 290531       </v>
      </c>
      <c r="B387" s="71">
        <v>1024556</v>
      </c>
      <c r="C387" s="71" t="s">
        <v>670</v>
      </c>
      <c r="D387" s="71" t="s">
        <v>383</v>
      </c>
      <c r="E387" s="71" t="s">
        <v>623</v>
      </c>
      <c r="F387" s="71" t="s">
        <v>624</v>
      </c>
      <c r="G387" s="74">
        <v>584310</v>
      </c>
      <c r="H387" s="72">
        <v>86.197128000000006</v>
      </c>
      <c r="I387" s="73">
        <v>50365843.861680001</v>
      </c>
      <c r="J387" s="72">
        <v>90.605575695102942</v>
      </c>
      <c r="K387" s="73">
        <v>-2575900.0727256001</v>
      </c>
      <c r="L387" s="74">
        <v>0</v>
      </c>
      <c r="M387" s="73">
        <v>0</v>
      </c>
      <c r="N387" s="74">
        <v>0</v>
      </c>
      <c r="O387" s="73">
        <v>0</v>
      </c>
      <c r="P387" s="74">
        <v>584310</v>
      </c>
      <c r="Q387" s="73">
        <v>50365843.861680001</v>
      </c>
      <c r="R387" s="71" t="s">
        <v>625</v>
      </c>
      <c r="S387" s="71">
        <v>7414000005</v>
      </c>
      <c r="AB387"/>
      <c r="AC387"/>
    </row>
    <row r="388" spans="1:29" x14ac:dyDescent="0.25">
      <c r="A388" t="str">
        <f t="shared" si="6"/>
        <v xml:space="preserve">1024556GOBFED 310529       </v>
      </c>
      <c r="B388" s="71">
        <v>1024556</v>
      </c>
      <c r="C388" s="71" t="s">
        <v>670</v>
      </c>
      <c r="D388" s="71" t="s">
        <v>457</v>
      </c>
      <c r="E388" s="71" t="s">
        <v>623</v>
      </c>
      <c r="F388" s="71" t="s">
        <v>624</v>
      </c>
      <c r="G388" s="74">
        <v>240000</v>
      </c>
      <c r="H388" s="72">
        <v>100.210615</v>
      </c>
      <c r="I388" s="73">
        <v>24050547.600000001</v>
      </c>
      <c r="J388" s="72">
        <v>100</v>
      </c>
      <c r="K388" s="73">
        <v>50547.6</v>
      </c>
      <c r="L388" s="74">
        <v>0</v>
      </c>
      <c r="M388" s="73">
        <v>0</v>
      </c>
      <c r="N388" s="74">
        <v>0</v>
      </c>
      <c r="O388" s="73">
        <v>0</v>
      </c>
      <c r="P388" s="74">
        <v>240000</v>
      </c>
      <c r="Q388" s="73">
        <v>24050547.600000001</v>
      </c>
      <c r="R388" s="71" t="s">
        <v>625</v>
      </c>
      <c r="S388" s="71">
        <v>7414000005</v>
      </c>
      <c r="AB388"/>
      <c r="AC388"/>
    </row>
    <row r="389" spans="1:29" x14ac:dyDescent="0.25">
      <c r="A389" t="str">
        <f t="shared" si="6"/>
        <v xml:space="preserve">1024556GOBFED 330526       </v>
      </c>
      <c r="B389" s="71">
        <v>1024556</v>
      </c>
      <c r="C389" s="71" t="s">
        <v>670</v>
      </c>
      <c r="D389" s="71" t="s">
        <v>628</v>
      </c>
      <c r="E389" s="71" t="s">
        <v>623</v>
      </c>
      <c r="F389" s="71" t="s">
        <v>624</v>
      </c>
      <c r="G389" s="74">
        <v>120000</v>
      </c>
      <c r="H389" s="72">
        <v>99.999184999999997</v>
      </c>
      <c r="I389" s="73">
        <v>11999902.199999999</v>
      </c>
      <c r="J389" s="72">
        <v>100</v>
      </c>
      <c r="K389" s="73">
        <v>-97.8</v>
      </c>
      <c r="L389" s="74">
        <v>0</v>
      </c>
      <c r="M389" s="73">
        <v>0</v>
      </c>
      <c r="N389" s="74">
        <v>0</v>
      </c>
      <c r="O389" s="73">
        <v>0</v>
      </c>
      <c r="P389" s="74">
        <v>120000</v>
      </c>
      <c r="Q389" s="73">
        <v>11999902.199999999</v>
      </c>
      <c r="R389" s="71" t="s">
        <v>625</v>
      </c>
      <c r="S389" s="71">
        <v>7414000005</v>
      </c>
      <c r="AB389"/>
      <c r="AC389"/>
    </row>
    <row r="390" spans="1:29" x14ac:dyDescent="0.25">
      <c r="A390" t="str">
        <f t="shared" si="6"/>
        <v xml:space="preserve">1024556LALA 19-2           </v>
      </c>
      <c r="B390" s="71">
        <v>1024556</v>
      </c>
      <c r="C390" s="71" t="s">
        <v>670</v>
      </c>
      <c r="D390" s="71" t="s">
        <v>389</v>
      </c>
      <c r="E390" s="71" t="s">
        <v>623</v>
      </c>
      <c r="F390" s="71" t="s">
        <v>624</v>
      </c>
      <c r="G390" s="74">
        <v>2058365</v>
      </c>
      <c r="H390" s="72">
        <v>3.3967719999999999</v>
      </c>
      <c r="I390" s="73">
        <v>6991796.5977800004</v>
      </c>
      <c r="J390" s="72">
        <v>3.3875257012240296</v>
      </c>
      <c r="K390" s="73">
        <v>19032.25778</v>
      </c>
      <c r="L390" s="74">
        <v>0</v>
      </c>
      <c r="M390" s="73">
        <v>0</v>
      </c>
      <c r="N390" s="74">
        <v>0</v>
      </c>
      <c r="O390" s="73">
        <v>0</v>
      </c>
      <c r="P390" s="74">
        <v>2058365</v>
      </c>
      <c r="Q390" s="73">
        <v>6991796.5977800004</v>
      </c>
      <c r="R390" s="71" t="s">
        <v>625</v>
      </c>
      <c r="S390" s="71">
        <v>7414000005</v>
      </c>
      <c r="AB390"/>
      <c r="AC390"/>
    </row>
    <row r="391" spans="1:29" x14ac:dyDescent="0.25">
      <c r="A391" t="str">
        <f t="shared" ref="A391:A454" si="7">B389&amp;D389</f>
        <v xml:space="preserve">1024556MEGA 24X            </v>
      </c>
      <c r="B391" s="71">
        <v>1024556</v>
      </c>
      <c r="C391" s="71" t="s">
        <v>670</v>
      </c>
      <c r="D391" s="71" t="s">
        <v>458</v>
      </c>
      <c r="E391" s="71" t="s">
        <v>623</v>
      </c>
      <c r="F391" s="71" t="s">
        <v>624</v>
      </c>
      <c r="G391" s="74">
        <v>36518</v>
      </c>
      <c r="H391" s="72">
        <v>267.07593400000002</v>
      </c>
      <c r="I391" s="73">
        <v>9753078.9578120001</v>
      </c>
      <c r="J391" s="72">
        <v>552.04336675000002</v>
      </c>
      <c r="K391" s="73">
        <v>-10406440.7091645</v>
      </c>
      <c r="L391" s="74">
        <v>0</v>
      </c>
      <c r="M391" s="73">
        <v>0</v>
      </c>
      <c r="N391" s="74">
        <v>0</v>
      </c>
      <c r="O391" s="73">
        <v>0</v>
      </c>
      <c r="P391" s="74">
        <v>36518</v>
      </c>
      <c r="Q391" s="73">
        <v>9753078.9578120001</v>
      </c>
      <c r="R391" s="71" t="s">
        <v>625</v>
      </c>
      <c r="S391" s="71">
        <v>7414000005</v>
      </c>
      <c r="AB391"/>
      <c r="AC391"/>
    </row>
    <row r="392" spans="1:29" x14ac:dyDescent="0.25">
      <c r="A392" t="str">
        <f t="shared" si="7"/>
        <v xml:space="preserve">1024556STERGOB ED          </v>
      </c>
      <c r="B392" s="71">
        <v>1024556</v>
      </c>
      <c r="C392" s="71" t="s">
        <v>670</v>
      </c>
      <c r="D392" s="71" t="s">
        <v>391</v>
      </c>
      <c r="E392" s="71" t="s">
        <v>623</v>
      </c>
      <c r="F392" s="71" t="s">
        <v>624</v>
      </c>
      <c r="G392" s="74">
        <v>84090</v>
      </c>
      <c r="H392" s="72">
        <v>775.69178699999998</v>
      </c>
      <c r="I392" s="73">
        <v>65227922.368830003</v>
      </c>
      <c r="J392" s="72">
        <v>766.69784126000002</v>
      </c>
      <c r="K392" s="73">
        <v>756300.89727660001</v>
      </c>
      <c r="L392" s="74">
        <v>0</v>
      </c>
      <c r="M392" s="73">
        <v>0</v>
      </c>
      <c r="N392" s="74">
        <v>0</v>
      </c>
      <c r="O392" s="73">
        <v>0</v>
      </c>
      <c r="P392" s="74">
        <v>84090</v>
      </c>
      <c r="Q392" s="73">
        <v>65227922.368830003</v>
      </c>
      <c r="R392" s="71" t="s">
        <v>625</v>
      </c>
      <c r="S392" s="71">
        <v>7414000005</v>
      </c>
      <c r="AB392"/>
      <c r="AC392"/>
    </row>
    <row r="393" spans="1:29" x14ac:dyDescent="0.25">
      <c r="A393" t="str">
        <f t="shared" si="7"/>
        <v xml:space="preserve">1024556TFOVICB 16U         </v>
      </c>
      <c r="B393" s="71">
        <v>1024556</v>
      </c>
      <c r="C393" s="71" t="s">
        <v>670</v>
      </c>
      <c r="D393" s="71" t="s">
        <v>392</v>
      </c>
      <c r="E393" s="71" t="s">
        <v>623</v>
      </c>
      <c r="F393" s="71" t="s">
        <v>624</v>
      </c>
      <c r="G393" s="74">
        <v>160215</v>
      </c>
      <c r="H393" s="72">
        <v>747.17843200000004</v>
      </c>
      <c r="I393" s="73">
        <v>119709192.48288</v>
      </c>
      <c r="J393" s="72">
        <v>728.00954708517929</v>
      </c>
      <c r="K393" s="73">
        <v>3071142.8966279998</v>
      </c>
      <c r="L393" s="74">
        <v>0</v>
      </c>
      <c r="M393" s="73">
        <v>0</v>
      </c>
      <c r="N393" s="74">
        <v>0</v>
      </c>
      <c r="O393" s="73">
        <v>0</v>
      </c>
      <c r="P393" s="74">
        <v>160215</v>
      </c>
      <c r="Q393" s="73">
        <v>119709192.48288</v>
      </c>
      <c r="R393" s="71" t="s">
        <v>625</v>
      </c>
      <c r="S393" s="71">
        <v>7414000005</v>
      </c>
      <c r="AB393"/>
      <c r="AC393"/>
    </row>
    <row r="394" spans="1:29" x14ac:dyDescent="0.25">
      <c r="A394" t="str">
        <f t="shared" si="7"/>
        <v xml:space="preserve">1024556UDIBONO 251204      </v>
      </c>
      <c r="B394" s="71">
        <v>1024556</v>
      </c>
      <c r="C394" s="71" t="s">
        <v>670</v>
      </c>
      <c r="D394" s="71" t="s">
        <v>393</v>
      </c>
      <c r="E394" s="71" t="s">
        <v>623</v>
      </c>
      <c r="F394" s="71" t="s">
        <v>624</v>
      </c>
      <c r="G394" s="74">
        <v>63926</v>
      </c>
      <c r="H394" s="72">
        <v>765.92388300000005</v>
      </c>
      <c r="I394" s="73">
        <v>48962450.144657999</v>
      </c>
      <c r="J394" s="72">
        <v>760.42390526120016</v>
      </c>
      <c r="K394" s="73">
        <v>351591.57693052001</v>
      </c>
      <c r="L394" s="74">
        <v>0</v>
      </c>
      <c r="M394" s="73">
        <v>0</v>
      </c>
      <c r="N394" s="74">
        <v>0</v>
      </c>
      <c r="O394" s="73">
        <v>0</v>
      </c>
      <c r="P394" s="74">
        <v>63926</v>
      </c>
      <c r="Q394" s="73">
        <v>48962450.144657999</v>
      </c>
      <c r="R394" s="71" t="s">
        <v>625</v>
      </c>
      <c r="S394" s="71">
        <v>7414000005</v>
      </c>
      <c r="AB394"/>
      <c r="AC394"/>
    </row>
    <row r="395" spans="1:29" x14ac:dyDescent="0.25">
      <c r="A395" t="str">
        <f t="shared" si="7"/>
        <v xml:space="preserve">1024556UDIBONO 261203      </v>
      </c>
      <c r="B395" s="71">
        <v>1024556</v>
      </c>
      <c r="C395" s="71" t="s">
        <v>670</v>
      </c>
      <c r="D395" s="71" t="s">
        <v>394</v>
      </c>
      <c r="E395" s="71" t="s">
        <v>623</v>
      </c>
      <c r="F395" s="71" t="s">
        <v>624</v>
      </c>
      <c r="G395" s="74">
        <v>58619</v>
      </c>
      <c r="H395" s="72">
        <v>684.88915799999995</v>
      </c>
      <c r="I395" s="73">
        <v>40147517.552801996</v>
      </c>
      <c r="J395" s="72">
        <v>681.11163602531769</v>
      </c>
      <c r="K395" s="73">
        <v>221434.56063389999</v>
      </c>
      <c r="L395" s="74">
        <v>0</v>
      </c>
      <c r="M395" s="73">
        <v>0</v>
      </c>
      <c r="N395" s="74">
        <v>0</v>
      </c>
      <c r="O395" s="73">
        <v>0</v>
      </c>
      <c r="P395" s="74">
        <v>58619</v>
      </c>
      <c r="Q395" s="73">
        <v>40147517.552801996</v>
      </c>
      <c r="R395" s="71" t="s">
        <v>625</v>
      </c>
      <c r="S395" s="71">
        <v>7414000005</v>
      </c>
      <c r="AB395"/>
      <c r="AC395"/>
    </row>
    <row r="396" spans="1:29" x14ac:dyDescent="0.25">
      <c r="A396" t="str">
        <f t="shared" si="7"/>
        <v xml:space="preserve">1024556UDIBONO 281130      </v>
      </c>
      <c r="B396" s="71">
        <v>1024556</v>
      </c>
      <c r="C396" s="71" t="s">
        <v>670</v>
      </c>
      <c r="D396" s="71" t="s">
        <v>438</v>
      </c>
      <c r="E396" s="71" t="s">
        <v>623</v>
      </c>
      <c r="F396" s="71" t="s">
        <v>624</v>
      </c>
      <c r="G396" s="74">
        <v>75940</v>
      </c>
      <c r="H396" s="72">
        <v>100.04252700000001</v>
      </c>
      <c r="I396" s="73">
        <v>7597229.5003800001</v>
      </c>
      <c r="J396" s="72">
        <v>100</v>
      </c>
      <c r="K396" s="73">
        <v>3229.50038</v>
      </c>
      <c r="L396" s="74">
        <v>0</v>
      </c>
      <c r="M396" s="73">
        <v>0</v>
      </c>
      <c r="N396" s="74">
        <v>0</v>
      </c>
      <c r="O396" s="73">
        <v>0</v>
      </c>
      <c r="P396" s="74">
        <v>75940</v>
      </c>
      <c r="Q396" s="73">
        <v>7597229.5003800001</v>
      </c>
      <c r="R396" s="71" t="s">
        <v>625</v>
      </c>
      <c r="S396" s="71">
        <v>7414000005</v>
      </c>
      <c r="AB396"/>
      <c r="AC396"/>
    </row>
    <row r="397" spans="1:29" x14ac:dyDescent="0.25">
      <c r="A397" t="str">
        <f t="shared" si="7"/>
        <v xml:space="preserve">1024556UDIBONO 311127      </v>
      </c>
      <c r="B397" s="71">
        <v>1024836</v>
      </c>
      <c r="C397" s="71" t="s">
        <v>671</v>
      </c>
      <c r="D397" s="71" t="s">
        <v>366</v>
      </c>
      <c r="E397" s="71" t="s">
        <v>623</v>
      </c>
      <c r="F397" s="71" t="s">
        <v>624</v>
      </c>
      <c r="G397" s="74">
        <v>0</v>
      </c>
      <c r="H397" s="72">
        <v>0</v>
      </c>
      <c r="I397" s="73">
        <v>4492036.28</v>
      </c>
      <c r="J397" s="72">
        <v>0</v>
      </c>
      <c r="K397" s="73">
        <v>0</v>
      </c>
      <c r="L397" s="74">
        <v>0</v>
      </c>
      <c r="M397" s="73">
        <v>0</v>
      </c>
      <c r="N397" s="74">
        <v>0</v>
      </c>
      <c r="O397" s="73">
        <v>0</v>
      </c>
      <c r="P397" s="74">
        <v>0</v>
      </c>
      <c r="Q397" s="73">
        <v>4492036.28</v>
      </c>
      <c r="R397" s="71" t="s">
        <v>625</v>
      </c>
      <c r="S397" s="71">
        <v>7414000005</v>
      </c>
      <c r="AB397"/>
      <c r="AC397"/>
    </row>
    <row r="398" spans="1:29" x14ac:dyDescent="0.25">
      <c r="A398" t="str">
        <f t="shared" si="7"/>
        <v xml:space="preserve">1024556VWLEASE 22-2        </v>
      </c>
      <c r="B398" s="71">
        <v>1028703</v>
      </c>
      <c r="C398" s="71" t="s">
        <v>672</v>
      </c>
      <c r="D398" s="71" t="s">
        <v>378</v>
      </c>
      <c r="E398" s="71" t="s">
        <v>623</v>
      </c>
      <c r="F398" s="71" t="s">
        <v>624</v>
      </c>
      <c r="G398" s="74">
        <v>0</v>
      </c>
      <c r="H398" s="72">
        <v>0</v>
      </c>
      <c r="I398" s="73">
        <v>0</v>
      </c>
      <c r="J398" s="72">
        <v>0</v>
      </c>
      <c r="K398" s="73">
        <v>0</v>
      </c>
      <c r="L398" s="74">
        <v>0</v>
      </c>
      <c r="M398" s="73">
        <v>0</v>
      </c>
      <c r="N398" s="74">
        <v>0</v>
      </c>
      <c r="O398" s="73">
        <v>0</v>
      </c>
      <c r="P398" s="74">
        <v>0</v>
      </c>
      <c r="Q398" s="73">
        <v>0</v>
      </c>
      <c r="R398" s="71" t="s">
        <v>625</v>
      </c>
      <c r="S398" s="71">
        <v>7414000005</v>
      </c>
      <c r="AB398"/>
      <c r="AC398"/>
    </row>
    <row r="399" spans="1:29" x14ac:dyDescent="0.25">
      <c r="A399" t="str">
        <f t="shared" si="7"/>
        <v>1024836EFECTIVO</v>
      </c>
      <c r="B399" s="71">
        <v>1028703</v>
      </c>
      <c r="C399" s="71" t="s">
        <v>672</v>
      </c>
      <c r="D399" s="71" t="s">
        <v>379</v>
      </c>
      <c r="E399" s="71" t="s">
        <v>623</v>
      </c>
      <c r="F399" s="71" t="s">
        <v>624</v>
      </c>
      <c r="G399" s="74">
        <v>0</v>
      </c>
      <c r="H399" s="72">
        <v>88.698122999999995</v>
      </c>
      <c r="I399" s="73">
        <v>0</v>
      </c>
      <c r="J399" s="72">
        <v>0</v>
      </c>
      <c r="K399" s="73">
        <v>24807.903617</v>
      </c>
      <c r="L399" s="74">
        <v>0</v>
      </c>
      <c r="M399" s="73">
        <v>0</v>
      </c>
      <c r="N399" s="74">
        <v>0</v>
      </c>
      <c r="O399" s="73">
        <v>0</v>
      </c>
      <c r="P399" s="74">
        <v>0</v>
      </c>
      <c r="Q399" s="73">
        <v>0</v>
      </c>
      <c r="R399" s="71" t="s">
        <v>625</v>
      </c>
      <c r="S399" s="71">
        <v>7414000005</v>
      </c>
      <c r="AB399"/>
      <c r="AC399"/>
    </row>
    <row r="400" spans="1:29" x14ac:dyDescent="0.25">
      <c r="A400" t="str">
        <f t="shared" si="7"/>
        <v xml:space="preserve">1028703GOBFED 260305       </v>
      </c>
      <c r="B400" s="71">
        <v>1028703</v>
      </c>
      <c r="C400" s="71" t="s">
        <v>672</v>
      </c>
      <c r="D400" s="71" t="s">
        <v>391</v>
      </c>
      <c r="E400" s="71" t="s">
        <v>623</v>
      </c>
      <c r="F400" s="71" t="s">
        <v>624</v>
      </c>
      <c r="G400" s="74">
        <v>0</v>
      </c>
      <c r="H400" s="72">
        <v>0</v>
      </c>
      <c r="I400" s="73">
        <v>0</v>
      </c>
      <c r="J400" s="72">
        <v>0</v>
      </c>
      <c r="K400" s="73">
        <v>0</v>
      </c>
      <c r="L400" s="74">
        <v>0</v>
      </c>
      <c r="M400" s="73">
        <v>0</v>
      </c>
      <c r="N400" s="74">
        <v>0</v>
      </c>
      <c r="O400" s="73">
        <v>0</v>
      </c>
      <c r="P400" s="74">
        <v>0</v>
      </c>
      <c r="Q400" s="73">
        <v>0</v>
      </c>
      <c r="R400" s="71" t="s">
        <v>625</v>
      </c>
      <c r="S400" s="71">
        <v>7414000005</v>
      </c>
      <c r="AB400"/>
      <c r="AC400"/>
    </row>
    <row r="401" spans="1:29" x14ac:dyDescent="0.25">
      <c r="A401" t="str">
        <f t="shared" si="7"/>
        <v xml:space="preserve">1028703GOBFED 270304       </v>
      </c>
      <c r="B401" s="71">
        <v>1028703</v>
      </c>
      <c r="C401" s="71" t="s">
        <v>672</v>
      </c>
      <c r="D401" s="71" t="s">
        <v>393</v>
      </c>
      <c r="E401" s="71" t="s">
        <v>623</v>
      </c>
      <c r="F401" s="71" t="s">
        <v>624</v>
      </c>
      <c r="G401" s="74">
        <v>0</v>
      </c>
      <c r="H401" s="72">
        <v>0</v>
      </c>
      <c r="I401" s="73">
        <v>0</v>
      </c>
      <c r="J401" s="72">
        <v>0</v>
      </c>
      <c r="K401" s="73">
        <v>0</v>
      </c>
      <c r="L401" s="74">
        <v>0</v>
      </c>
      <c r="M401" s="73">
        <v>0</v>
      </c>
      <c r="N401" s="74">
        <v>0</v>
      </c>
      <c r="O401" s="73">
        <v>0</v>
      </c>
      <c r="P401" s="74">
        <v>0</v>
      </c>
      <c r="Q401" s="73">
        <v>0</v>
      </c>
      <c r="R401" s="71" t="s">
        <v>625</v>
      </c>
      <c r="S401" s="71">
        <v>7414000005</v>
      </c>
      <c r="AB401"/>
      <c r="AC401"/>
    </row>
    <row r="402" spans="1:29" x14ac:dyDescent="0.25">
      <c r="A402" t="str">
        <f t="shared" si="7"/>
        <v xml:space="preserve">1028703UDIBONO 251204      </v>
      </c>
      <c r="B402" s="71">
        <v>1031340</v>
      </c>
      <c r="C402" s="71" t="s">
        <v>673</v>
      </c>
      <c r="D402" s="71" t="s">
        <v>412</v>
      </c>
      <c r="E402" s="71" t="s">
        <v>623</v>
      </c>
      <c r="F402" s="71" t="s">
        <v>624</v>
      </c>
      <c r="G402" s="74">
        <v>10262296</v>
      </c>
      <c r="H402" s="72">
        <v>3.137273</v>
      </c>
      <c r="I402" s="73">
        <v>32195624.158808</v>
      </c>
      <c r="J402" s="72">
        <v>3.0983933078913335</v>
      </c>
      <c r="K402" s="73">
        <v>398994.90880799998</v>
      </c>
      <c r="L402" s="74">
        <v>0</v>
      </c>
      <c r="M402" s="73">
        <v>0</v>
      </c>
      <c r="N402" s="74">
        <v>0</v>
      </c>
      <c r="O402" s="73">
        <v>0</v>
      </c>
      <c r="P402" s="74">
        <v>10262296</v>
      </c>
      <c r="Q402" s="73">
        <v>32195624.158808</v>
      </c>
      <c r="R402" s="71" t="s">
        <v>625</v>
      </c>
      <c r="S402" s="71">
        <v>7414000005</v>
      </c>
      <c r="AB402"/>
      <c r="AC402"/>
    </row>
    <row r="403" spans="1:29" x14ac:dyDescent="0.25">
      <c r="A403" t="str">
        <f t="shared" si="7"/>
        <v xml:space="preserve">1028703UDIBONO 281130      </v>
      </c>
      <c r="B403" s="71">
        <v>1031341</v>
      </c>
      <c r="C403" s="71" t="s">
        <v>674</v>
      </c>
      <c r="D403" s="71" t="s">
        <v>431</v>
      </c>
      <c r="E403" s="71" t="s">
        <v>623</v>
      </c>
      <c r="F403" s="71" t="s">
        <v>624</v>
      </c>
      <c r="G403" s="74">
        <v>7751406</v>
      </c>
      <c r="H403" s="72">
        <v>3.4005040000000002</v>
      </c>
      <c r="I403" s="73">
        <v>26358687.108624</v>
      </c>
      <c r="J403" s="72">
        <v>3.3514449159288007</v>
      </c>
      <c r="K403" s="73">
        <v>380276.878624</v>
      </c>
      <c r="L403" s="74">
        <v>0</v>
      </c>
      <c r="M403" s="73">
        <v>0</v>
      </c>
      <c r="N403" s="74">
        <v>0</v>
      </c>
      <c r="O403" s="73">
        <v>0</v>
      </c>
      <c r="P403" s="74">
        <v>7751406</v>
      </c>
      <c r="Q403" s="73">
        <v>26358687.108624</v>
      </c>
      <c r="R403" s="71" t="s">
        <v>625</v>
      </c>
      <c r="S403" s="71">
        <v>7414000005</v>
      </c>
      <c r="AB403"/>
      <c r="AC403"/>
    </row>
    <row r="404" spans="1:29" x14ac:dyDescent="0.25">
      <c r="A404" t="str">
        <f t="shared" si="7"/>
        <v xml:space="preserve">1031340STERGOB B0          </v>
      </c>
      <c r="B404" s="71">
        <v>1031627</v>
      </c>
      <c r="C404" s="71" t="s">
        <v>675</v>
      </c>
      <c r="D404" s="71" t="s">
        <v>389</v>
      </c>
      <c r="E404" s="71" t="s">
        <v>623</v>
      </c>
      <c r="F404" s="71" t="s">
        <v>624</v>
      </c>
      <c r="G404" s="74">
        <v>11517763</v>
      </c>
      <c r="H404" s="72">
        <v>3.3967719999999999</v>
      </c>
      <c r="I404" s="73">
        <v>39123214.861036003</v>
      </c>
      <c r="J404" s="72">
        <v>2.6670145930247044</v>
      </c>
      <c r="K404" s="73">
        <v>8405172.8610360008</v>
      </c>
      <c r="L404" s="74">
        <v>0</v>
      </c>
      <c r="M404" s="73">
        <v>0</v>
      </c>
      <c r="N404" s="74">
        <v>0</v>
      </c>
      <c r="O404" s="73">
        <v>0</v>
      </c>
      <c r="P404" s="74">
        <v>11517763</v>
      </c>
      <c r="Q404" s="73">
        <v>39123214.861036003</v>
      </c>
      <c r="R404" s="71" t="s">
        <v>625</v>
      </c>
      <c r="S404" s="71">
        <v>7414000005</v>
      </c>
      <c r="AB404"/>
      <c r="AC404"/>
    </row>
    <row r="405" spans="1:29" x14ac:dyDescent="0.25">
      <c r="A405" t="str">
        <f t="shared" si="7"/>
        <v xml:space="preserve">1031341STERGOB B1          </v>
      </c>
      <c r="B405" s="71">
        <v>1031629</v>
      </c>
      <c r="C405" s="71" t="s">
        <v>676</v>
      </c>
      <c r="D405" s="71" t="s">
        <v>389</v>
      </c>
      <c r="E405" s="71" t="s">
        <v>623</v>
      </c>
      <c r="F405" s="71" t="s">
        <v>624</v>
      </c>
      <c r="G405" s="74">
        <v>8864858</v>
      </c>
      <c r="H405" s="72">
        <v>3.3967719999999999</v>
      </c>
      <c r="I405" s="73">
        <v>30111901.438375998</v>
      </c>
      <c r="J405" s="72">
        <v>2.6494372972471751</v>
      </c>
      <c r="K405" s="73">
        <v>6625016.0183760002</v>
      </c>
      <c r="L405" s="74">
        <v>0</v>
      </c>
      <c r="M405" s="73">
        <v>0</v>
      </c>
      <c r="N405" s="74">
        <v>0</v>
      </c>
      <c r="O405" s="73">
        <v>0</v>
      </c>
      <c r="P405" s="74">
        <v>8864858</v>
      </c>
      <c r="Q405" s="73">
        <v>30111901.438375998</v>
      </c>
      <c r="R405" s="71" t="s">
        <v>625</v>
      </c>
      <c r="S405" s="71">
        <v>7414000005</v>
      </c>
      <c r="AB405"/>
      <c r="AC405"/>
    </row>
    <row r="406" spans="1:29" x14ac:dyDescent="0.25">
      <c r="A406" t="str">
        <f t="shared" si="7"/>
        <v xml:space="preserve">1031627STERGOB ED          </v>
      </c>
      <c r="B406" s="71">
        <v>1032436</v>
      </c>
      <c r="C406" s="71" t="s">
        <v>677</v>
      </c>
      <c r="D406" s="71" t="s">
        <v>431</v>
      </c>
      <c r="E406" s="71" t="s">
        <v>623</v>
      </c>
      <c r="F406" s="71" t="s">
        <v>624</v>
      </c>
      <c r="G406" s="74">
        <v>1317319</v>
      </c>
      <c r="H406" s="72">
        <v>3.4005040000000002</v>
      </c>
      <c r="I406" s="73">
        <v>4479548.5287760003</v>
      </c>
      <c r="J406" s="72">
        <v>3.3565880018431375</v>
      </c>
      <c r="K406" s="73">
        <v>57851.378775999998</v>
      </c>
      <c r="L406" s="74">
        <v>0</v>
      </c>
      <c r="M406" s="73">
        <v>0</v>
      </c>
      <c r="N406" s="74">
        <v>0</v>
      </c>
      <c r="O406" s="73">
        <v>0</v>
      </c>
      <c r="P406" s="74">
        <v>1317319</v>
      </c>
      <c r="Q406" s="73">
        <v>4479548.5287760003</v>
      </c>
      <c r="R406" s="71" t="s">
        <v>625</v>
      </c>
      <c r="S406" s="71">
        <v>7414000005</v>
      </c>
      <c r="AB406"/>
      <c r="AC406"/>
    </row>
    <row r="407" spans="1:29" x14ac:dyDescent="0.25">
      <c r="A407" t="str">
        <f t="shared" si="7"/>
        <v xml:space="preserve">1031629STERGOB ED          </v>
      </c>
      <c r="B407" s="71">
        <v>1032437</v>
      </c>
      <c r="C407" s="71" t="s">
        <v>677</v>
      </c>
      <c r="D407" s="71" t="s">
        <v>431</v>
      </c>
      <c r="E407" s="71" t="s">
        <v>623</v>
      </c>
      <c r="F407" s="71" t="s">
        <v>624</v>
      </c>
      <c r="G407" s="74">
        <v>1154409</v>
      </c>
      <c r="H407" s="72">
        <v>3.4005040000000002</v>
      </c>
      <c r="I407" s="73">
        <v>3925572.4221359999</v>
      </c>
      <c r="J407" s="72">
        <v>3.3594489647949728</v>
      </c>
      <c r="K407" s="73">
        <v>47394.302135999998</v>
      </c>
      <c r="L407" s="74">
        <v>0</v>
      </c>
      <c r="M407" s="73">
        <v>0</v>
      </c>
      <c r="N407" s="74">
        <v>0</v>
      </c>
      <c r="O407" s="73">
        <v>0</v>
      </c>
      <c r="P407" s="74">
        <v>1154409</v>
      </c>
      <c r="Q407" s="73">
        <v>3925572.4221359999</v>
      </c>
      <c r="R407" s="71" t="s">
        <v>625</v>
      </c>
      <c r="S407" s="71">
        <v>7414000005</v>
      </c>
      <c r="AB407"/>
      <c r="AC407"/>
    </row>
    <row r="408" spans="1:29" x14ac:dyDescent="0.25">
      <c r="A408" t="str">
        <f t="shared" si="7"/>
        <v xml:space="preserve">1032436STERGOB B1          </v>
      </c>
      <c r="B408" s="71">
        <v>1032438</v>
      </c>
      <c r="C408" s="71" t="s">
        <v>678</v>
      </c>
      <c r="D408" s="71" t="s">
        <v>431</v>
      </c>
      <c r="E408" s="71" t="s">
        <v>623</v>
      </c>
      <c r="F408" s="71" t="s">
        <v>624</v>
      </c>
      <c r="G408" s="74">
        <v>4543958</v>
      </c>
      <c r="H408" s="72">
        <v>3.4005040000000002</v>
      </c>
      <c r="I408" s="73">
        <v>15451747.354831999</v>
      </c>
      <c r="J408" s="72">
        <v>3.3481034617837575</v>
      </c>
      <c r="K408" s="73">
        <v>238105.844832</v>
      </c>
      <c r="L408" s="74">
        <v>0</v>
      </c>
      <c r="M408" s="73">
        <v>0</v>
      </c>
      <c r="N408" s="74">
        <v>0</v>
      </c>
      <c r="O408" s="73">
        <v>0</v>
      </c>
      <c r="P408" s="74">
        <v>4543958</v>
      </c>
      <c r="Q408" s="73">
        <v>15451747.354831999</v>
      </c>
      <c r="R408" s="71" t="s">
        <v>625</v>
      </c>
      <c r="S408" s="71">
        <v>7414000005</v>
      </c>
      <c r="AB408"/>
      <c r="AC408"/>
    </row>
    <row r="409" spans="1:29" x14ac:dyDescent="0.25">
      <c r="A409" t="str">
        <f t="shared" si="7"/>
        <v xml:space="preserve">1032437STERGOB B1          </v>
      </c>
      <c r="B409" s="71">
        <v>1032439</v>
      </c>
      <c r="C409" s="71" t="s">
        <v>678</v>
      </c>
      <c r="D409" s="71" t="s">
        <v>431</v>
      </c>
      <c r="E409" s="71" t="s">
        <v>623</v>
      </c>
      <c r="F409" s="71" t="s">
        <v>624</v>
      </c>
      <c r="G409" s="74">
        <v>12948845</v>
      </c>
      <c r="H409" s="72">
        <v>3.4005040000000002</v>
      </c>
      <c r="I409" s="73">
        <v>44032599.217880003</v>
      </c>
      <c r="J409" s="72">
        <v>3.3493369285059789</v>
      </c>
      <c r="K409" s="73">
        <v>662554.47788000002</v>
      </c>
      <c r="L409" s="74">
        <v>0</v>
      </c>
      <c r="M409" s="73">
        <v>0</v>
      </c>
      <c r="N409" s="74">
        <v>0</v>
      </c>
      <c r="O409" s="73">
        <v>0</v>
      </c>
      <c r="P409" s="74">
        <v>12948845</v>
      </c>
      <c r="Q409" s="73">
        <v>44032599.217880003</v>
      </c>
      <c r="R409" s="71" t="s">
        <v>625</v>
      </c>
      <c r="S409" s="71">
        <v>7414000005</v>
      </c>
      <c r="AB409"/>
      <c r="AC409"/>
    </row>
    <row r="410" spans="1:29" x14ac:dyDescent="0.25">
      <c r="A410" t="str">
        <f t="shared" si="7"/>
        <v xml:space="preserve">1032438STERGOB B1          </v>
      </c>
      <c r="B410" s="71">
        <v>1032440</v>
      </c>
      <c r="C410" s="71" t="s">
        <v>679</v>
      </c>
      <c r="D410" s="71" t="s">
        <v>431</v>
      </c>
      <c r="E410" s="71" t="s">
        <v>623</v>
      </c>
      <c r="F410" s="71" t="s">
        <v>624</v>
      </c>
      <c r="G410" s="74">
        <v>241684</v>
      </c>
      <c r="H410" s="72">
        <v>3.4005040000000002</v>
      </c>
      <c r="I410" s="73">
        <v>821847.40873599995</v>
      </c>
      <c r="J410" s="72">
        <v>3.3571302610019695</v>
      </c>
      <c r="K410" s="73">
        <v>10482.738735999999</v>
      </c>
      <c r="L410" s="74">
        <v>0</v>
      </c>
      <c r="M410" s="73">
        <v>0</v>
      </c>
      <c r="N410" s="74">
        <v>0</v>
      </c>
      <c r="O410" s="73">
        <v>0</v>
      </c>
      <c r="P410" s="74">
        <v>241684</v>
      </c>
      <c r="Q410" s="73">
        <v>821847.40873599995</v>
      </c>
      <c r="R410" s="71" t="s">
        <v>625</v>
      </c>
      <c r="S410" s="71">
        <v>7414000005</v>
      </c>
      <c r="AB410"/>
      <c r="AC410"/>
    </row>
    <row r="411" spans="1:29" x14ac:dyDescent="0.25">
      <c r="A411" t="str">
        <f t="shared" si="7"/>
        <v xml:space="preserve">1032439STERGOB B1          </v>
      </c>
      <c r="B411" s="71">
        <v>1032441</v>
      </c>
      <c r="C411" s="71" t="s">
        <v>680</v>
      </c>
      <c r="D411" s="71" t="s">
        <v>431</v>
      </c>
      <c r="E411" s="71" t="s">
        <v>623</v>
      </c>
      <c r="F411" s="71" t="s">
        <v>624</v>
      </c>
      <c r="G411" s="74">
        <v>868633</v>
      </c>
      <c r="H411" s="72">
        <v>3.4005040000000002</v>
      </c>
      <c r="I411" s="73">
        <v>2953789.9910320002</v>
      </c>
      <c r="J411" s="72">
        <v>3.3584008436244077</v>
      </c>
      <c r="K411" s="73">
        <v>36572.191032000002</v>
      </c>
      <c r="L411" s="74">
        <v>0</v>
      </c>
      <c r="M411" s="73">
        <v>0</v>
      </c>
      <c r="N411" s="74">
        <v>0</v>
      </c>
      <c r="O411" s="73">
        <v>0</v>
      </c>
      <c r="P411" s="74">
        <v>868633</v>
      </c>
      <c r="Q411" s="73">
        <v>2953789.9910320002</v>
      </c>
      <c r="R411" s="71" t="s">
        <v>625</v>
      </c>
      <c r="S411" s="71">
        <v>7414000005</v>
      </c>
      <c r="AB411"/>
      <c r="AC411"/>
    </row>
    <row r="412" spans="1:29" x14ac:dyDescent="0.25">
      <c r="A412" t="str">
        <f t="shared" si="7"/>
        <v xml:space="preserve">1032440STERGOB B1          </v>
      </c>
      <c r="B412" s="71">
        <v>1032442</v>
      </c>
      <c r="C412" s="71" t="s">
        <v>681</v>
      </c>
      <c r="D412" s="71" t="s">
        <v>431</v>
      </c>
      <c r="E412" s="71" t="s">
        <v>623</v>
      </c>
      <c r="F412" s="71" t="s">
        <v>624</v>
      </c>
      <c r="G412" s="74">
        <v>1019962</v>
      </c>
      <c r="H412" s="72">
        <v>3.4005040000000002</v>
      </c>
      <c r="I412" s="73">
        <v>3468384.8608479998</v>
      </c>
      <c r="J412" s="72">
        <v>3.3567408687774645</v>
      </c>
      <c r="K412" s="73">
        <v>44636.730847999999</v>
      </c>
      <c r="L412" s="74">
        <v>0</v>
      </c>
      <c r="M412" s="73">
        <v>0</v>
      </c>
      <c r="N412" s="74">
        <v>0</v>
      </c>
      <c r="O412" s="73">
        <v>0</v>
      </c>
      <c r="P412" s="74">
        <v>1019962</v>
      </c>
      <c r="Q412" s="73">
        <v>3468384.8608479998</v>
      </c>
      <c r="R412" s="71" t="s">
        <v>625</v>
      </c>
      <c r="S412" s="71">
        <v>7414000005</v>
      </c>
      <c r="AB412"/>
      <c r="AC412"/>
    </row>
    <row r="413" spans="1:29" x14ac:dyDescent="0.25">
      <c r="A413" t="str">
        <f t="shared" si="7"/>
        <v xml:space="preserve">1032441STERGOB B1          </v>
      </c>
      <c r="B413" s="71">
        <v>1032443</v>
      </c>
      <c r="C413" s="71" t="s">
        <v>682</v>
      </c>
      <c r="D413" s="71" t="s">
        <v>431</v>
      </c>
      <c r="E413" s="71" t="s">
        <v>623</v>
      </c>
      <c r="F413" s="71" t="s">
        <v>624</v>
      </c>
      <c r="G413" s="74">
        <v>1029558</v>
      </c>
      <c r="H413" s="72">
        <v>3.4005040000000002</v>
      </c>
      <c r="I413" s="73">
        <v>3501016.097232</v>
      </c>
      <c r="J413" s="72">
        <v>3.3556851386711579</v>
      </c>
      <c r="K413" s="73">
        <v>46143.617231999997</v>
      </c>
      <c r="L413" s="74">
        <v>0</v>
      </c>
      <c r="M413" s="73">
        <v>0</v>
      </c>
      <c r="N413" s="74">
        <v>0</v>
      </c>
      <c r="O413" s="73">
        <v>0</v>
      </c>
      <c r="P413" s="74">
        <v>1029558</v>
      </c>
      <c r="Q413" s="73">
        <v>3501016.097232</v>
      </c>
      <c r="R413" s="71" t="s">
        <v>625</v>
      </c>
      <c r="S413" s="71">
        <v>7414000005</v>
      </c>
      <c r="AB413"/>
      <c r="AC413"/>
    </row>
    <row r="414" spans="1:29" x14ac:dyDescent="0.25">
      <c r="A414" t="str">
        <f t="shared" si="7"/>
        <v xml:space="preserve">1032442STERGOB B1          </v>
      </c>
      <c r="B414" s="71">
        <v>1032445</v>
      </c>
      <c r="C414" s="71" t="s">
        <v>683</v>
      </c>
      <c r="D414" s="71" t="s">
        <v>431</v>
      </c>
      <c r="E414" s="71" t="s">
        <v>623</v>
      </c>
      <c r="F414" s="71" t="s">
        <v>624</v>
      </c>
      <c r="G414" s="74">
        <v>390490</v>
      </c>
      <c r="H414" s="72">
        <v>3.4005040000000002</v>
      </c>
      <c r="I414" s="73">
        <v>1327862.80696</v>
      </c>
      <c r="J414" s="72">
        <v>3.3555681835642397</v>
      </c>
      <c r="K414" s="73">
        <v>17546.986959999998</v>
      </c>
      <c r="L414" s="74">
        <v>0</v>
      </c>
      <c r="M414" s="73">
        <v>0</v>
      </c>
      <c r="N414" s="74">
        <v>0</v>
      </c>
      <c r="O414" s="73">
        <v>0</v>
      </c>
      <c r="P414" s="74">
        <v>390490</v>
      </c>
      <c r="Q414" s="73">
        <v>1327862.80696</v>
      </c>
      <c r="R414" s="71" t="s">
        <v>625</v>
      </c>
      <c r="S414" s="71">
        <v>7414000005</v>
      </c>
      <c r="AB414"/>
      <c r="AC414"/>
    </row>
    <row r="415" spans="1:29" x14ac:dyDescent="0.25">
      <c r="A415" t="str">
        <f t="shared" si="7"/>
        <v xml:space="preserve">1032443STERGOB B1          </v>
      </c>
      <c r="B415" s="71">
        <v>1032446</v>
      </c>
      <c r="C415" s="71" t="s">
        <v>683</v>
      </c>
      <c r="D415" s="71" t="s">
        <v>431</v>
      </c>
      <c r="E415" s="71" t="s">
        <v>623</v>
      </c>
      <c r="F415" s="71" t="s">
        <v>624</v>
      </c>
      <c r="G415" s="74">
        <v>675518</v>
      </c>
      <c r="H415" s="72">
        <v>3.4005040000000002</v>
      </c>
      <c r="I415" s="73">
        <v>2297101.6610719999</v>
      </c>
      <c r="J415" s="72">
        <v>3.3490924594163296</v>
      </c>
      <c r="K415" s="73">
        <v>34729.421071999997</v>
      </c>
      <c r="L415" s="74">
        <v>0</v>
      </c>
      <c r="M415" s="73">
        <v>0</v>
      </c>
      <c r="N415" s="74">
        <v>0</v>
      </c>
      <c r="O415" s="73">
        <v>0</v>
      </c>
      <c r="P415" s="74">
        <v>675518</v>
      </c>
      <c r="Q415" s="73">
        <v>2297101.6610719999</v>
      </c>
      <c r="R415" s="71" t="s">
        <v>625</v>
      </c>
      <c r="S415" s="71">
        <v>7414000005</v>
      </c>
      <c r="AB415"/>
      <c r="AC415"/>
    </row>
    <row r="416" spans="1:29" x14ac:dyDescent="0.25">
      <c r="A416" t="str">
        <f t="shared" si="7"/>
        <v xml:space="preserve">1032445STERGOB B1          </v>
      </c>
      <c r="B416" s="71">
        <v>1032746</v>
      </c>
      <c r="C416" s="71" t="s">
        <v>684</v>
      </c>
      <c r="D416" s="71" t="s">
        <v>389</v>
      </c>
      <c r="E416" s="71" t="s">
        <v>623</v>
      </c>
      <c r="F416" s="71" t="s">
        <v>624</v>
      </c>
      <c r="G416" s="74">
        <v>35609687</v>
      </c>
      <c r="H416" s="72">
        <v>3.3967719999999999</v>
      </c>
      <c r="I416" s="73">
        <v>120957987.73036399</v>
      </c>
      <c r="J416" s="72">
        <v>2.6806274657791853</v>
      </c>
      <c r="K416" s="73">
        <v>25501682.710363999</v>
      </c>
      <c r="L416" s="74">
        <v>0</v>
      </c>
      <c r="M416" s="73">
        <v>0</v>
      </c>
      <c r="N416" s="74">
        <v>0</v>
      </c>
      <c r="O416" s="73">
        <v>0</v>
      </c>
      <c r="P416" s="74">
        <v>35609687</v>
      </c>
      <c r="Q416" s="73">
        <v>120957987.73036399</v>
      </c>
      <c r="R416" s="71" t="s">
        <v>625</v>
      </c>
      <c r="S416" s="71">
        <v>7414000005</v>
      </c>
      <c r="AB416"/>
      <c r="AC416"/>
    </row>
    <row r="417" spans="1:29" x14ac:dyDescent="0.25">
      <c r="A417" t="str">
        <f t="shared" si="7"/>
        <v xml:space="preserve">1032446STERGOB B1          </v>
      </c>
      <c r="B417" s="71">
        <v>1032746</v>
      </c>
      <c r="C417" s="71" t="s">
        <v>684</v>
      </c>
      <c r="D417" s="71" t="s">
        <v>407</v>
      </c>
      <c r="E417" s="71" t="s">
        <v>623</v>
      </c>
      <c r="F417" s="71" t="s">
        <v>624</v>
      </c>
      <c r="G417" s="74">
        <v>31675440</v>
      </c>
      <c r="H417" s="72">
        <v>2.7668819999999998</v>
      </c>
      <c r="I417" s="73">
        <v>87642204.778080001</v>
      </c>
      <c r="J417" s="72">
        <v>2.2099139999318083</v>
      </c>
      <c r="K417" s="73">
        <v>17642206.468079999</v>
      </c>
      <c r="L417" s="74">
        <v>0</v>
      </c>
      <c r="M417" s="73">
        <v>0</v>
      </c>
      <c r="N417" s="74">
        <v>0</v>
      </c>
      <c r="O417" s="73">
        <v>0</v>
      </c>
      <c r="P417" s="74">
        <v>31675440</v>
      </c>
      <c r="Q417" s="73">
        <v>87642204.778080001</v>
      </c>
      <c r="R417" s="71" t="s">
        <v>625</v>
      </c>
      <c r="S417" s="71">
        <v>7414000005</v>
      </c>
      <c r="AB417"/>
      <c r="AC417"/>
    </row>
    <row r="418" spans="1:29" x14ac:dyDescent="0.25">
      <c r="A418" t="str">
        <f t="shared" si="7"/>
        <v xml:space="preserve">1032746STERGOB ED          </v>
      </c>
      <c r="B418" s="71">
        <v>1032747</v>
      </c>
      <c r="C418" s="71" t="s">
        <v>685</v>
      </c>
      <c r="D418" s="71" t="s">
        <v>501</v>
      </c>
      <c r="E418" s="71" t="s">
        <v>623</v>
      </c>
      <c r="F418" s="71" t="s">
        <v>624</v>
      </c>
      <c r="G418" s="74">
        <v>0</v>
      </c>
      <c r="H418" s="72">
        <v>0</v>
      </c>
      <c r="I418" s="73">
        <v>0</v>
      </c>
      <c r="J418" s="72">
        <v>0</v>
      </c>
      <c r="K418" s="73">
        <v>0</v>
      </c>
      <c r="L418" s="74">
        <v>0</v>
      </c>
      <c r="M418" s="73">
        <v>0</v>
      </c>
      <c r="N418" s="74">
        <v>0</v>
      </c>
      <c r="O418" s="73">
        <v>0</v>
      </c>
      <c r="P418" s="74">
        <v>0</v>
      </c>
      <c r="Q418" s="73">
        <v>0</v>
      </c>
      <c r="R418" s="71" t="s">
        <v>625</v>
      </c>
      <c r="S418" s="71">
        <v>7414000005</v>
      </c>
      <c r="AB418"/>
      <c r="AC418"/>
    </row>
    <row r="419" spans="1:29" x14ac:dyDescent="0.25">
      <c r="A419" t="str">
        <f t="shared" si="7"/>
        <v xml:space="preserve">1032746SVIVE60 ED          </v>
      </c>
      <c r="B419" s="71">
        <v>1032747</v>
      </c>
      <c r="C419" s="71" t="s">
        <v>685</v>
      </c>
      <c r="D419" s="71" t="s">
        <v>459</v>
      </c>
      <c r="E419" s="71" t="s">
        <v>623</v>
      </c>
      <c r="F419" s="71" t="s">
        <v>624</v>
      </c>
      <c r="G419" s="74">
        <v>4360000</v>
      </c>
      <c r="H419" s="72">
        <v>4.5848760000000004</v>
      </c>
      <c r="I419" s="73">
        <v>19990059.359999999</v>
      </c>
      <c r="J419" s="72">
        <v>3.3497185756880734</v>
      </c>
      <c r="K419" s="73">
        <v>5385286.3700000001</v>
      </c>
      <c r="L419" s="74">
        <v>0</v>
      </c>
      <c r="M419" s="73">
        <v>0</v>
      </c>
      <c r="N419" s="74">
        <v>0</v>
      </c>
      <c r="O419" s="73">
        <v>0</v>
      </c>
      <c r="P419" s="74">
        <v>4360000</v>
      </c>
      <c r="Q419" s="73">
        <v>19990059.359999999</v>
      </c>
      <c r="R419" s="71" t="s">
        <v>625</v>
      </c>
      <c r="S419" s="71">
        <v>7414000005</v>
      </c>
      <c r="AB419"/>
      <c r="AC419"/>
    </row>
    <row r="420" spans="1:29" x14ac:dyDescent="0.25">
      <c r="A420" t="str">
        <f t="shared" si="7"/>
        <v xml:space="preserve">1032747SPSM *              </v>
      </c>
      <c r="B420" s="71">
        <v>1032747</v>
      </c>
      <c r="C420" s="71" t="s">
        <v>685</v>
      </c>
      <c r="D420" s="71" t="s">
        <v>389</v>
      </c>
      <c r="E420" s="71" t="s">
        <v>623</v>
      </c>
      <c r="F420" s="71" t="s">
        <v>624</v>
      </c>
      <c r="G420" s="74">
        <v>236719</v>
      </c>
      <c r="H420" s="72">
        <v>3.3967719999999999</v>
      </c>
      <c r="I420" s="73">
        <v>804080.47106799996</v>
      </c>
      <c r="J420" s="72">
        <v>3.1173174100938241</v>
      </c>
      <c r="K420" s="73">
        <v>66152.211068000004</v>
      </c>
      <c r="L420" s="74">
        <v>0</v>
      </c>
      <c r="M420" s="73">
        <v>0</v>
      </c>
      <c r="N420" s="74">
        <v>0</v>
      </c>
      <c r="O420" s="73">
        <v>0</v>
      </c>
      <c r="P420" s="74">
        <v>236719</v>
      </c>
      <c r="Q420" s="73">
        <v>804080.47106799996</v>
      </c>
      <c r="R420" s="71" t="s">
        <v>625</v>
      </c>
      <c r="S420" s="71">
        <v>7414000005</v>
      </c>
      <c r="AB420"/>
      <c r="AC420"/>
    </row>
    <row r="421" spans="1:29" x14ac:dyDescent="0.25">
      <c r="A421" t="str">
        <f t="shared" si="7"/>
        <v xml:space="preserve">1032747STER-OP ED          </v>
      </c>
      <c r="B421" s="71">
        <v>1032747</v>
      </c>
      <c r="C421" s="71" t="s">
        <v>685</v>
      </c>
      <c r="D421" s="71" t="s">
        <v>402</v>
      </c>
      <c r="E421" s="71" t="s">
        <v>623</v>
      </c>
      <c r="F421" s="71" t="s">
        <v>624</v>
      </c>
      <c r="G421" s="74">
        <v>0</v>
      </c>
      <c r="H421" s="72">
        <v>0</v>
      </c>
      <c r="I421" s="73">
        <v>0</v>
      </c>
      <c r="J421" s="72">
        <v>0</v>
      </c>
      <c r="K421" s="73">
        <v>0</v>
      </c>
      <c r="L421" s="74">
        <v>0</v>
      </c>
      <c r="M421" s="73">
        <v>0</v>
      </c>
      <c r="N421" s="74">
        <v>0</v>
      </c>
      <c r="O421" s="73">
        <v>0</v>
      </c>
      <c r="P421" s="74">
        <v>0</v>
      </c>
      <c r="Q421" s="73">
        <v>0</v>
      </c>
      <c r="R421" s="71" t="s">
        <v>625</v>
      </c>
      <c r="S421" s="71">
        <v>7414000005</v>
      </c>
      <c r="AB421"/>
      <c r="AC421"/>
    </row>
    <row r="422" spans="1:29" x14ac:dyDescent="0.25">
      <c r="A422" t="str">
        <f t="shared" si="7"/>
        <v xml:space="preserve">1032747STERGOB ED          </v>
      </c>
      <c r="B422" s="71">
        <v>1032902</v>
      </c>
      <c r="C422" s="71" t="s">
        <v>686</v>
      </c>
      <c r="D422" s="71" t="s">
        <v>389</v>
      </c>
      <c r="E422" s="71" t="s">
        <v>623</v>
      </c>
      <c r="F422" s="71" t="s">
        <v>624</v>
      </c>
      <c r="G422" s="74">
        <v>4677092</v>
      </c>
      <c r="H422" s="72">
        <v>3.3967719999999999</v>
      </c>
      <c r="I422" s="73">
        <v>15887015.147024</v>
      </c>
      <c r="J422" s="72">
        <v>2.5202768814468479</v>
      </c>
      <c r="K422" s="73">
        <v>4099448.3070240002</v>
      </c>
      <c r="L422" s="74">
        <v>0</v>
      </c>
      <c r="M422" s="73">
        <v>0</v>
      </c>
      <c r="N422" s="74">
        <v>0</v>
      </c>
      <c r="O422" s="73">
        <v>0</v>
      </c>
      <c r="P422" s="74">
        <v>4677092</v>
      </c>
      <c r="Q422" s="73">
        <v>15887015.147024</v>
      </c>
      <c r="R422" s="71" t="s">
        <v>625</v>
      </c>
      <c r="S422" s="71">
        <v>7414000005</v>
      </c>
      <c r="AB422"/>
      <c r="AC422"/>
    </row>
    <row r="423" spans="1:29" x14ac:dyDescent="0.25">
      <c r="A423" t="str">
        <f t="shared" si="7"/>
        <v xml:space="preserve">1032747VOO *               </v>
      </c>
      <c r="B423" s="71">
        <v>1033543</v>
      </c>
      <c r="C423" s="71" t="s">
        <v>687</v>
      </c>
      <c r="D423" s="71" t="s">
        <v>480</v>
      </c>
      <c r="E423" s="71" t="s">
        <v>623</v>
      </c>
      <c r="F423" s="71" t="s">
        <v>624</v>
      </c>
      <c r="G423" s="74">
        <v>979</v>
      </c>
      <c r="H423" s="72">
        <v>3.612981</v>
      </c>
      <c r="I423" s="73">
        <v>3537.1083990000002</v>
      </c>
      <c r="J423" s="72">
        <v>3.5593973442288047</v>
      </c>
      <c r="K423" s="73">
        <v>52.458399</v>
      </c>
      <c r="L423" s="74">
        <v>0</v>
      </c>
      <c r="M423" s="73">
        <v>0</v>
      </c>
      <c r="N423" s="74">
        <v>0</v>
      </c>
      <c r="O423" s="73">
        <v>0</v>
      </c>
      <c r="P423" s="74">
        <v>979</v>
      </c>
      <c r="Q423" s="73">
        <v>3537.1083990000002</v>
      </c>
      <c r="R423" s="71" t="s">
        <v>625</v>
      </c>
      <c r="S423" s="71">
        <v>7414000005</v>
      </c>
      <c r="AB423"/>
      <c r="AC423"/>
    </row>
    <row r="424" spans="1:29" x14ac:dyDescent="0.25">
      <c r="A424" t="str">
        <f t="shared" si="7"/>
        <v xml:space="preserve">1032902STERGOB ED          </v>
      </c>
      <c r="B424" s="71">
        <v>1033543</v>
      </c>
      <c r="C424" s="71" t="s">
        <v>687</v>
      </c>
      <c r="D424" s="71" t="s">
        <v>413</v>
      </c>
      <c r="E424" s="71" t="s">
        <v>623</v>
      </c>
      <c r="F424" s="71" t="s">
        <v>624</v>
      </c>
      <c r="G424" s="74">
        <v>1075</v>
      </c>
      <c r="H424" s="72">
        <v>137.04691399999999</v>
      </c>
      <c r="I424" s="73">
        <v>147325.43255</v>
      </c>
      <c r="J424" s="72">
        <v>107.35305116279069</v>
      </c>
      <c r="K424" s="73">
        <v>31920.902549999999</v>
      </c>
      <c r="L424" s="74">
        <v>0</v>
      </c>
      <c r="M424" s="73">
        <v>0</v>
      </c>
      <c r="N424" s="74">
        <v>0</v>
      </c>
      <c r="O424" s="73">
        <v>0</v>
      </c>
      <c r="P424" s="74">
        <v>1075</v>
      </c>
      <c r="Q424" s="73">
        <v>147325.43255</v>
      </c>
      <c r="R424" s="71" t="s">
        <v>625</v>
      </c>
      <c r="S424" s="71">
        <v>7414000005</v>
      </c>
      <c r="AB424"/>
      <c r="AC424"/>
    </row>
    <row r="425" spans="1:29" x14ac:dyDescent="0.25">
      <c r="A425" t="str">
        <f t="shared" si="7"/>
        <v xml:space="preserve">1033543STERGOB B4          </v>
      </c>
      <c r="B425" s="71">
        <v>1033543</v>
      </c>
      <c r="C425" s="71" t="s">
        <v>687</v>
      </c>
      <c r="D425" s="71" t="s">
        <v>414</v>
      </c>
      <c r="E425" s="71" t="s">
        <v>623</v>
      </c>
      <c r="F425" s="71" t="s">
        <v>624</v>
      </c>
      <c r="G425" s="74">
        <v>274107</v>
      </c>
      <c r="H425" s="72">
        <v>3.6364960000000002</v>
      </c>
      <c r="I425" s="73">
        <v>996789.00907200004</v>
      </c>
      <c r="J425" s="72">
        <v>2.856887383394076</v>
      </c>
      <c r="K425" s="73">
        <v>213696.179072</v>
      </c>
      <c r="L425" s="74">
        <v>0</v>
      </c>
      <c r="M425" s="73">
        <v>0</v>
      </c>
      <c r="N425" s="74">
        <v>0</v>
      </c>
      <c r="O425" s="73">
        <v>0</v>
      </c>
      <c r="P425" s="74">
        <v>274107</v>
      </c>
      <c r="Q425" s="73">
        <v>996789.00907200004</v>
      </c>
      <c r="R425" s="71" t="s">
        <v>625</v>
      </c>
      <c r="S425" s="71">
        <v>7414000005</v>
      </c>
      <c r="AB425"/>
      <c r="AC425"/>
    </row>
    <row r="426" spans="1:29" x14ac:dyDescent="0.25">
      <c r="A426" t="str">
        <f t="shared" si="7"/>
        <v xml:space="preserve">1033543SVIVE20 S           </v>
      </c>
      <c r="B426" s="71">
        <v>1033543</v>
      </c>
      <c r="C426" s="71" t="s">
        <v>687</v>
      </c>
      <c r="D426" s="71" t="s">
        <v>415</v>
      </c>
      <c r="E426" s="71" t="s">
        <v>623</v>
      </c>
      <c r="F426" s="71" t="s">
        <v>624</v>
      </c>
      <c r="G426" s="74">
        <v>5899</v>
      </c>
      <c r="H426" s="72">
        <v>2.1315040000000001</v>
      </c>
      <c r="I426" s="73">
        <v>12573.742096</v>
      </c>
      <c r="J426" s="72">
        <v>1.8567265638243771</v>
      </c>
      <c r="K426" s="73">
        <v>1620.912096</v>
      </c>
      <c r="L426" s="74">
        <v>0</v>
      </c>
      <c r="M426" s="73">
        <v>0</v>
      </c>
      <c r="N426" s="74">
        <v>0</v>
      </c>
      <c r="O426" s="73">
        <v>0</v>
      </c>
      <c r="P426" s="74">
        <v>5899</v>
      </c>
      <c r="Q426" s="73">
        <v>12573.742096</v>
      </c>
      <c r="R426" s="71" t="s">
        <v>625</v>
      </c>
      <c r="S426" s="71">
        <v>7414000005</v>
      </c>
      <c r="AB426"/>
      <c r="AC426"/>
    </row>
    <row r="427" spans="1:29" x14ac:dyDescent="0.25">
      <c r="A427" t="str">
        <f t="shared" si="7"/>
        <v xml:space="preserve">1033543SVIVE35 S           </v>
      </c>
      <c r="B427" s="71">
        <v>1033543</v>
      </c>
      <c r="C427" s="71" t="s">
        <v>687</v>
      </c>
      <c r="D427" s="71" t="s">
        <v>416</v>
      </c>
      <c r="E427" s="71" t="s">
        <v>623</v>
      </c>
      <c r="F427" s="71" t="s">
        <v>624</v>
      </c>
      <c r="G427" s="74">
        <v>61</v>
      </c>
      <c r="H427" s="72">
        <v>2.8149250000000001</v>
      </c>
      <c r="I427" s="73">
        <v>171.71042499999999</v>
      </c>
      <c r="J427" s="72">
        <v>2.4988524590163936</v>
      </c>
      <c r="K427" s="73">
        <v>19.280425000000001</v>
      </c>
      <c r="L427" s="74">
        <v>0</v>
      </c>
      <c r="M427" s="73">
        <v>0</v>
      </c>
      <c r="N427" s="74">
        <v>0</v>
      </c>
      <c r="O427" s="73">
        <v>0</v>
      </c>
      <c r="P427" s="74">
        <v>61</v>
      </c>
      <c r="Q427" s="73">
        <v>171.71042499999999</v>
      </c>
      <c r="R427" s="71" t="s">
        <v>625</v>
      </c>
      <c r="S427" s="71">
        <v>7414000005</v>
      </c>
      <c r="AB427"/>
      <c r="AC427"/>
    </row>
    <row r="428" spans="1:29" x14ac:dyDescent="0.25">
      <c r="A428" t="str">
        <f t="shared" si="7"/>
        <v xml:space="preserve">1033543SVIVE50 S           </v>
      </c>
      <c r="B428" s="71">
        <v>1033544</v>
      </c>
      <c r="C428" s="71" t="s">
        <v>688</v>
      </c>
      <c r="D428" s="71" t="s">
        <v>480</v>
      </c>
      <c r="E428" s="71" t="s">
        <v>623</v>
      </c>
      <c r="F428" s="71" t="s">
        <v>624</v>
      </c>
      <c r="G428" s="74">
        <v>1190</v>
      </c>
      <c r="H428" s="72">
        <v>3.612981</v>
      </c>
      <c r="I428" s="73">
        <v>4299.4473900000003</v>
      </c>
      <c r="J428" s="72">
        <v>3.5593949579831934</v>
      </c>
      <c r="K428" s="73">
        <v>63.767389999999999</v>
      </c>
      <c r="L428" s="74">
        <v>0</v>
      </c>
      <c r="M428" s="73">
        <v>0</v>
      </c>
      <c r="N428" s="74">
        <v>0</v>
      </c>
      <c r="O428" s="73">
        <v>0</v>
      </c>
      <c r="P428" s="74">
        <v>1190</v>
      </c>
      <c r="Q428" s="73">
        <v>4299.4473900000003</v>
      </c>
      <c r="R428" s="71" t="s">
        <v>625</v>
      </c>
      <c r="S428" s="71">
        <v>7414000005</v>
      </c>
      <c r="AB428"/>
      <c r="AC428"/>
    </row>
    <row r="429" spans="1:29" x14ac:dyDescent="0.25">
      <c r="A429" t="str">
        <f t="shared" si="7"/>
        <v xml:space="preserve">1033543SVIVE60 S           </v>
      </c>
      <c r="B429" s="71">
        <v>1033544</v>
      </c>
      <c r="C429" s="71" t="s">
        <v>688</v>
      </c>
      <c r="D429" s="71" t="s">
        <v>413</v>
      </c>
      <c r="E429" s="71" t="s">
        <v>623</v>
      </c>
      <c r="F429" s="71" t="s">
        <v>624</v>
      </c>
      <c r="G429" s="74">
        <v>177</v>
      </c>
      <c r="H429" s="72">
        <v>137.04691399999999</v>
      </c>
      <c r="I429" s="73">
        <v>24257.303778000001</v>
      </c>
      <c r="J429" s="72">
        <v>110.09305084745763</v>
      </c>
      <c r="K429" s="73">
        <v>4770.8337780000002</v>
      </c>
      <c r="L429" s="74">
        <v>0</v>
      </c>
      <c r="M429" s="73">
        <v>0</v>
      </c>
      <c r="N429" s="74">
        <v>0</v>
      </c>
      <c r="O429" s="73">
        <v>0</v>
      </c>
      <c r="P429" s="74">
        <v>177</v>
      </c>
      <c r="Q429" s="73">
        <v>24257.303778000001</v>
      </c>
      <c r="R429" s="71" t="s">
        <v>625</v>
      </c>
      <c r="S429" s="71">
        <v>7414000005</v>
      </c>
      <c r="AB429"/>
      <c r="AC429"/>
    </row>
    <row r="430" spans="1:29" x14ac:dyDescent="0.25">
      <c r="A430" t="str">
        <f t="shared" si="7"/>
        <v xml:space="preserve">1033544STERGOB B4          </v>
      </c>
      <c r="B430" s="71">
        <v>1033544</v>
      </c>
      <c r="C430" s="71" t="s">
        <v>688</v>
      </c>
      <c r="D430" s="71" t="s">
        <v>414</v>
      </c>
      <c r="E430" s="71" t="s">
        <v>623</v>
      </c>
      <c r="F430" s="71" t="s">
        <v>624</v>
      </c>
      <c r="G430" s="74">
        <v>5490</v>
      </c>
      <c r="H430" s="72">
        <v>3.6364960000000002</v>
      </c>
      <c r="I430" s="73">
        <v>19964.36304</v>
      </c>
      <c r="J430" s="72">
        <v>2.9915264116575591</v>
      </c>
      <c r="K430" s="73">
        <v>3540.8830400000002</v>
      </c>
      <c r="L430" s="74">
        <v>0</v>
      </c>
      <c r="M430" s="73">
        <v>0</v>
      </c>
      <c r="N430" s="74">
        <v>0</v>
      </c>
      <c r="O430" s="73">
        <v>0</v>
      </c>
      <c r="P430" s="74">
        <v>5490</v>
      </c>
      <c r="Q430" s="73">
        <v>19964.36304</v>
      </c>
      <c r="R430" s="71" t="s">
        <v>625</v>
      </c>
      <c r="S430" s="71">
        <v>7414000005</v>
      </c>
      <c r="AB430"/>
      <c r="AC430"/>
    </row>
    <row r="431" spans="1:29" x14ac:dyDescent="0.25">
      <c r="A431" t="str">
        <f t="shared" si="7"/>
        <v xml:space="preserve">1033544SVIVE20 S           </v>
      </c>
      <c r="B431" s="71">
        <v>1033544</v>
      </c>
      <c r="C431" s="71" t="s">
        <v>688</v>
      </c>
      <c r="D431" s="71" t="s">
        <v>415</v>
      </c>
      <c r="E431" s="71" t="s">
        <v>623</v>
      </c>
      <c r="F431" s="71" t="s">
        <v>624</v>
      </c>
      <c r="G431" s="74">
        <v>170</v>
      </c>
      <c r="H431" s="72">
        <v>2.1315040000000001</v>
      </c>
      <c r="I431" s="73">
        <v>362.35568000000001</v>
      </c>
      <c r="J431" s="72">
        <v>1.9186470588235294</v>
      </c>
      <c r="K431" s="73">
        <v>36.185679999999998</v>
      </c>
      <c r="L431" s="74">
        <v>0</v>
      </c>
      <c r="M431" s="73">
        <v>0</v>
      </c>
      <c r="N431" s="74">
        <v>0</v>
      </c>
      <c r="O431" s="73">
        <v>0</v>
      </c>
      <c r="P431" s="74">
        <v>170</v>
      </c>
      <c r="Q431" s="73">
        <v>362.35568000000001</v>
      </c>
      <c r="R431" s="71" t="s">
        <v>625</v>
      </c>
      <c r="S431" s="71">
        <v>7414000005</v>
      </c>
      <c r="AB431"/>
      <c r="AC431"/>
    </row>
    <row r="432" spans="1:29" x14ac:dyDescent="0.25">
      <c r="A432" t="str">
        <f t="shared" si="7"/>
        <v xml:space="preserve">1033544SVIVE35 S           </v>
      </c>
      <c r="B432" s="71">
        <v>1033544</v>
      </c>
      <c r="C432" s="71" t="s">
        <v>688</v>
      </c>
      <c r="D432" s="71" t="s">
        <v>416</v>
      </c>
      <c r="E432" s="71" t="s">
        <v>623</v>
      </c>
      <c r="F432" s="71" t="s">
        <v>624</v>
      </c>
      <c r="G432" s="74">
        <v>30</v>
      </c>
      <c r="H432" s="72">
        <v>2.8149250000000001</v>
      </c>
      <c r="I432" s="73">
        <v>84.447749999999999</v>
      </c>
      <c r="J432" s="72">
        <v>2.4986666666666668</v>
      </c>
      <c r="K432" s="73">
        <v>9.4877500000000001</v>
      </c>
      <c r="L432" s="74">
        <v>0</v>
      </c>
      <c r="M432" s="73">
        <v>0</v>
      </c>
      <c r="N432" s="74">
        <v>0</v>
      </c>
      <c r="O432" s="73">
        <v>0</v>
      </c>
      <c r="P432" s="74">
        <v>30</v>
      </c>
      <c r="Q432" s="73">
        <v>84.447749999999999</v>
      </c>
      <c r="R432" s="71" t="s">
        <v>625</v>
      </c>
      <c r="S432" s="71">
        <v>7414000005</v>
      </c>
      <c r="AB432"/>
      <c r="AC432"/>
    </row>
    <row r="433" spans="1:29" x14ac:dyDescent="0.25">
      <c r="A433" t="str">
        <f t="shared" si="7"/>
        <v xml:space="preserve">1033544SVIVE50 S           </v>
      </c>
      <c r="B433" s="71">
        <v>1033545</v>
      </c>
      <c r="C433" s="71" t="s">
        <v>689</v>
      </c>
      <c r="D433" s="71" t="s">
        <v>480</v>
      </c>
      <c r="E433" s="71" t="s">
        <v>623</v>
      </c>
      <c r="F433" s="71" t="s">
        <v>624</v>
      </c>
      <c r="G433" s="74">
        <v>2928</v>
      </c>
      <c r="H433" s="72">
        <v>3.612981</v>
      </c>
      <c r="I433" s="73">
        <v>10578.808368</v>
      </c>
      <c r="J433" s="72">
        <v>3.6023736338797816</v>
      </c>
      <c r="K433" s="73">
        <v>31.058368000000002</v>
      </c>
      <c r="L433" s="74">
        <v>0</v>
      </c>
      <c r="M433" s="73">
        <v>0</v>
      </c>
      <c r="N433" s="74">
        <v>0</v>
      </c>
      <c r="O433" s="73">
        <v>0</v>
      </c>
      <c r="P433" s="74">
        <v>2928</v>
      </c>
      <c r="Q433" s="73">
        <v>10578.808368</v>
      </c>
      <c r="R433" s="71" t="s">
        <v>625</v>
      </c>
      <c r="S433" s="71">
        <v>7414000005</v>
      </c>
      <c r="AB433"/>
      <c r="AC433"/>
    </row>
    <row r="434" spans="1:29" x14ac:dyDescent="0.25">
      <c r="A434" t="str">
        <f t="shared" si="7"/>
        <v xml:space="preserve">1033544SVIVE60 S           </v>
      </c>
      <c r="B434" s="71">
        <v>1033545</v>
      </c>
      <c r="C434" s="71" t="s">
        <v>689</v>
      </c>
      <c r="D434" s="71" t="s">
        <v>413</v>
      </c>
      <c r="E434" s="71" t="s">
        <v>623</v>
      </c>
      <c r="F434" s="71" t="s">
        <v>624</v>
      </c>
      <c r="G434" s="74">
        <v>10753</v>
      </c>
      <c r="H434" s="72">
        <v>137.04691399999999</v>
      </c>
      <c r="I434" s="73">
        <v>1473665.466242</v>
      </c>
      <c r="J434" s="72">
        <v>116.48645122291454</v>
      </c>
      <c r="K434" s="73">
        <v>221086.656242</v>
      </c>
      <c r="L434" s="74">
        <v>0</v>
      </c>
      <c r="M434" s="73">
        <v>0</v>
      </c>
      <c r="N434" s="74">
        <v>0</v>
      </c>
      <c r="O434" s="73">
        <v>0</v>
      </c>
      <c r="P434" s="74">
        <v>10753</v>
      </c>
      <c r="Q434" s="73">
        <v>1473665.466242</v>
      </c>
      <c r="R434" s="71" t="s">
        <v>625</v>
      </c>
      <c r="S434" s="71">
        <v>7414000005</v>
      </c>
      <c r="AB434"/>
      <c r="AC434"/>
    </row>
    <row r="435" spans="1:29" x14ac:dyDescent="0.25">
      <c r="A435" t="str">
        <f t="shared" si="7"/>
        <v xml:space="preserve">1033545STERGOB B4          </v>
      </c>
      <c r="B435" s="71">
        <v>1033545</v>
      </c>
      <c r="C435" s="71" t="s">
        <v>689</v>
      </c>
      <c r="D435" s="71" t="s">
        <v>414</v>
      </c>
      <c r="E435" s="71" t="s">
        <v>623</v>
      </c>
      <c r="F435" s="71" t="s">
        <v>624</v>
      </c>
      <c r="G435" s="74">
        <v>897677</v>
      </c>
      <c r="H435" s="72">
        <v>3.6364960000000002</v>
      </c>
      <c r="I435" s="73">
        <v>3264398.8197920001</v>
      </c>
      <c r="J435" s="72">
        <v>3.1673742894159034</v>
      </c>
      <c r="K435" s="73">
        <v>421119.76979200001</v>
      </c>
      <c r="L435" s="74">
        <v>0</v>
      </c>
      <c r="M435" s="73">
        <v>0</v>
      </c>
      <c r="N435" s="74">
        <v>0</v>
      </c>
      <c r="O435" s="73">
        <v>0</v>
      </c>
      <c r="P435" s="74">
        <v>897677</v>
      </c>
      <c r="Q435" s="73">
        <v>3264398.8197920001</v>
      </c>
      <c r="R435" s="71" t="s">
        <v>625</v>
      </c>
      <c r="S435" s="71">
        <v>7414000005</v>
      </c>
      <c r="AB435"/>
      <c r="AC435"/>
    </row>
    <row r="436" spans="1:29" x14ac:dyDescent="0.25">
      <c r="A436" t="str">
        <f t="shared" si="7"/>
        <v xml:space="preserve">1033545SVIVE20 S           </v>
      </c>
      <c r="B436" s="71">
        <v>1033545</v>
      </c>
      <c r="C436" s="71" t="s">
        <v>689</v>
      </c>
      <c r="D436" s="71" t="s">
        <v>415</v>
      </c>
      <c r="E436" s="71" t="s">
        <v>623</v>
      </c>
      <c r="F436" s="71" t="s">
        <v>624</v>
      </c>
      <c r="G436" s="74">
        <v>725104</v>
      </c>
      <c r="H436" s="72">
        <v>2.1315040000000001</v>
      </c>
      <c r="I436" s="73">
        <v>1545562.076416</v>
      </c>
      <c r="J436" s="72">
        <v>1.8692148850371808</v>
      </c>
      <c r="K436" s="73">
        <v>190186.88641599999</v>
      </c>
      <c r="L436" s="74">
        <v>0</v>
      </c>
      <c r="M436" s="73">
        <v>0</v>
      </c>
      <c r="N436" s="74">
        <v>0</v>
      </c>
      <c r="O436" s="73">
        <v>0</v>
      </c>
      <c r="P436" s="74">
        <v>725104</v>
      </c>
      <c r="Q436" s="73">
        <v>1545562.076416</v>
      </c>
      <c r="R436" s="71" t="s">
        <v>625</v>
      </c>
      <c r="S436" s="71">
        <v>7414000005</v>
      </c>
      <c r="AB436"/>
      <c r="AC436"/>
    </row>
    <row r="437" spans="1:29" x14ac:dyDescent="0.25">
      <c r="A437" t="str">
        <f t="shared" si="7"/>
        <v xml:space="preserve">1033545SVIVE35 S           </v>
      </c>
      <c r="B437" s="71">
        <v>1033545</v>
      </c>
      <c r="C437" s="71" t="s">
        <v>689</v>
      </c>
      <c r="D437" s="71" t="s">
        <v>416</v>
      </c>
      <c r="E437" s="71" t="s">
        <v>623</v>
      </c>
      <c r="F437" s="71" t="s">
        <v>624</v>
      </c>
      <c r="G437" s="74">
        <v>127793</v>
      </c>
      <c r="H437" s="72">
        <v>2.8149250000000001</v>
      </c>
      <c r="I437" s="73">
        <v>359727.710525</v>
      </c>
      <c r="J437" s="72">
        <v>2.4047260022066936</v>
      </c>
      <c r="K437" s="73">
        <v>52420.560525000001</v>
      </c>
      <c r="L437" s="74">
        <v>0</v>
      </c>
      <c r="M437" s="73">
        <v>0</v>
      </c>
      <c r="N437" s="74">
        <v>0</v>
      </c>
      <c r="O437" s="73">
        <v>0</v>
      </c>
      <c r="P437" s="74">
        <v>127793</v>
      </c>
      <c r="Q437" s="73">
        <v>359727.710525</v>
      </c>
      <c r="R437" s="71" t="s">
        <v>625</v>
      </c>
      <c r="S437" s="71">
        <v>7414000005</v>
      </c>
      <c r="AB437"/>
      <c r="AC437"/>
    </row>
    <row r="438" spans="1:29" x14ac:dyDescent="0.25">
      <c r="A438" t="str">
        <f t="shared" si="7"/>
        <v xml:space="preserve">1033545SVIVE50 S           </v>
      </c>
      <c r="B438" s="71">
        <v>1033546</v>
      </c>
      <c r="C438" s="71" t="s">
        <v>690</v>
      </c>
      <c r="D438" s="71" t="s">
        <v>480</v>
      </c>
      <c r="E438" s="71" t="s">
        <v>623</v>
      </c>
      <c r="F438" s="71" t="s">
        <v>624</v>
      </c>
      <c r="G438" s="74">
        <v>2640</v>
      </c>
      <c r="H438" s="72">
        <v>3.612981</v>
      </c>
      <c r="I438" s="73">
        <v>9538.2698400000008</v>
      </c>
      <c r="J438" s="72">
        <v>3.6023749999999999</v>
      </c>
      <c r="K438" s="73">
        <v>27.999839999999999</v>
      </c>
      <c r="L438" s="74">
        <v>0</v>
      </c>
      <c r="M438" s="73">
        <v>0</v>
      </c>
      <c r="N438" s="74">
        <v>0</v>
      </c>
      <c r="O438" s="73">
        <v>0</v>
      </c>
      <c r="P438" s="74">
        <v>2640</v>
      </c>
      <c r="Q438" s="73">
        <v>9538.2698400000008</v>
      </c>
      <c r="R438" s="71" t="s">
        <v>625</v>
      </c>
      <c r="S438" s="71">
        <v>7414000005</v>
      </c>
      <c r="AB438"/>
      <c r="AC438"/>
    </row>
    <row r="439" spans="1:29" x14ac:dyDescent="0.25">
      <c r="A439" t="str">
        <f t="shared" si="7"/>
        <v xml:space="preserve">1033545SVIVE60 S           </v>
      </c>
      <c r="B439" s="71">
        <v>1033546</v>
      </c>
      <c r="C439" s="71" t="s">
        <v>690</v>
      </c>
      <c r="D439" s="71" t="s">
        <v>413</v>
      </c>
      <c r="E439" s="71" t="s">
        <v>623</v>
      </c>
      <c r="F439" s="71" t="s">
        <v>624</v>
      </c>
      <c r="G439" s="74">
        <v>4715</v>
      </c>
      <c r="H439" s="72">
        <v>137.04691399999999</v>
      </c>
      <c r="I439" s="73">
        <v>646176.19950999995</v>
      </c>
      <c r="J439" s="72">
        <v>116.81279957582184</v>
      </c>
      <c r="K439" s="73">
        <v>95403.84951</v>
      </c>
      <c r="L439" s="74">
        <v>0</v>
      </c>
      <c r="M439" s="73">
        <v>0</v>
      </c>
      <c r="N439" s="74">
        <v>0</v>
      </c>
      <c r="O439" s="73">
        <v>0</v>
      </c>
      <c r="P439" s="74">
        <v>4715</v>
      </c>
      <c r="Q439" s="73">
        <v>646176.19950999995</v>
      </c>
      <c r="R439" s="71" t="s">
        <v>625</v>
      </c>
      <c r="S439" s="71">
        <v>7414000005</v>
      </c>
      <c r="AB439"/>
      <c r="AC439"/>
    </row>
    <row r="440" spans="1:29" x14ac:dyDescent="0.25">
      <c r="A440" t="str">
        <f t="shared" si="7"/>
        <v xml:space="preserve">1033546STERGOB B4          </v>
      </c>
      <c r="B440" s="71">
        <v>1033546</v>
      </c>
      <c r="C440" s="71" t="s">
        <v>690</v>
      </c>
      <c r="D440" s="71" t="s">
        <v>414</v>
      </c>
      <c r="E440" s="71" t="s">
        <v>623</v>
      </c>
      <c r="F440" s="71" t="s">
        <v>624</v>
      </c>
      <c r="G440" s="74">
        <v>411734</v>
      </c>
      <c r="H440" s="72">
        <v>3.6364960000000002</v>
      </c>
      <c r="I440" s="73">
        <v>1497269.044064</v>
      </c>
      <c r="J440" s="72">
        <v>3.1586666877158556</v>
      </c>
      <c r="K440" s="73">
        <v>196738.57406399999</v>
      </c>
      <c r="L440" s="74">
        <v>0</v>
      </c>
      <c r="M440" s="73">
        <v>0</v>
      </c>
      <c r="N440" s="74">
        <v>0</v>
      </c>
      <c r="O440" s="73">
        <v>0</v>
      </c>
      <c r="P440" s="74">
        <v>411734</v>
      </c>
      <c r="Q440" s="73">
        <v>1497269.044064</v>
      </c>
      <c r="R440" s="71" t="s">
        <v>625</v>
      </c>
      <c r="S440" s="71">
        <v>7414000005</v>
      </c>
      <c r="AB440"/>
      <c r="AC440"/>
    </row>
    <row r="441" spans="1:29" x14ac:dyDescent="0.25">
      <c r="A441" t="str">
        <f t="shared" si="7"/>
        <v xml:space="preserve">1033546SVIVE20 S           </v>
      </c>
      <c r="B441" s="71">
        <v>1033546</v>
      </c>
      <c r="C441" s="71" t="s">
        <v>690</v>
      </c>
      <c r="D441" s="71" t="s">
        <v>415</v>
      </c>
      <c r="E441" s="71" t="s">
        <v>623</v>
      </c>
      <c r="F441" s="71" t="s">
        <v>624</v>
      </c>
      <c r="G441" s="74">
        <v>346839</v>
      </c>
      <c r="H441" s="72">
        <v>2.1315040000000001</v>
      </c>
      <c r="I441" s="73">
        <v>739288.71585599997</v>
      </c>
      <c r="J441" s="72">
        <v>1.8637506739438183</v>
      </c>
      <c r="K441" s="73">
        <v>92867.295855999997</v>
      </c>
      <c r="L441" s="74">
        <v>0</v>
      </c>
      <c r="M441" s="73">
        <v>0</v>
      </c>
      <c r="N441" s="74">
        <v>0</v>
      </c>
      <c r="O441" s="73">
        <v>0</v>
      </c>
      <c r="P441" s="74">
        <v>346839</v>
      </c>
      <c r="Q441" s="73">
        <v>739288.71585599997</v>
      </c>
      <c r="R441" s="71" t="s">
        <v>625</v>
      </c>
      <c r="S441" s="71">
        <v>7414000005</v>
      </c>
      <c r="AB441"/>
      <c r="AC441"/>
    </row>
    <row r="442" spans="1:29" x14ac:dyDescent="0.25">
      <c r="A442" t="str">
        <f t="shared" si="7"/>
        <v xml:space="preserve">1033546SVIVE35 S           </v>
      </c>
      <c r="B442" s="71">
        <v>1033546</v>
      </c>
      <c r="C442" s="71" t="s">
        <v>690</v>
      </c>
      <c r="D442" s="71" t="s">
        <v>416</v>
      </c>
      <c r="E442" s="71" t="s">
        <v>623</v>
      </c>
      <c r="F442" s="71" t="s">
        <v>624</v>
      </c>
      <c r="G442" s="74">
        <v>58183</v>
      </c>
      <c r="H442" s="72">
        <v>2.8149250000000001</v>
      </c>
      <c r="I442" s="73">
        <v>163780.78127499999</v>
      </c>
      <c r="J442" s="72">
        <v>2.375041335097881</v>
      </c>
      <c r="K442" s="73">
        <v>25593.751274999999</v>
      </c>
      <c r="L442" s="74">
        <v>0</v>
      </c>
      <c r="M442" s="73">
        <v>0</v>
      </c>
      <c r="N442" s="74">
        <v>0</v>
      </c>
      <c r="O442" s="73">
        <v>0</v>
      </c>
      <c r="P442" s="74">
        <v>58183</v>
      </c>
      <c r="Q442" s="73">
        <v>163780.78127499999</v>
      </c>
      <c r="R442" s="71" t="s">
        <v>625</v>
      </c>
      <c r="S442" s="71">
        <v>7414000005</v>
      </c>
      <c r="AB442"/>
      <c r="AC442"/>
    </row>
    <row r="443" spans="1:29" x14ac:dyDescent="0.25">
      <c r="A443" t="str">
        <f t="shared" si="7"/>
        <v xml:space="preserve">1033546SVIVE50 S           </v>
      </c>
      <c r="B443" s="71">
        <v>1033795</v>
      </c>
      <c r="C443" s="71" t="s">
        <v>691</v>
      </c>
      <c r="D443" s="71" t="s">
        <v>389</v>
      </c>
      <c r="E443" s="71" t="s">
        <v>623</v>
      </c>
      <c r="F443" s="71" t="s">
        <v>624</v>
      </c>
      <c r="G443" s="74">
        <v>2826981</v>
      </c>
      <c r="H443" s="72">
        <v>3.3967719999999999</v>
      </c>
      <c r="I443" s="73">
        <v>9602609.9053320009</v>
      </c>
      <c r="J443" s="72">
        <v>2.9255299593453228</v>
      </c>
      <c r="K443" s="73">
        <v>1332192.2953319999</v>
      </c>
      <c r="L443" s="74">
        <v>0</v>
      </c>
      <c r="M443" s="73">
        <v>0</v>
      </c>
      <c r="N443" s="74">
        <v>0</v>
      </c>
      <c r="O443" s="73">
        <v>0</v>
      </c>
      <c r="P443" s="74">
        <v>2826981</v>
      </c>
      <c r="Q443" s="73">
        <v>9602609.9053320009</v>
      </c>
      <c r="R443" s="71" t="s">
        <v>625</v>
      </c>
      <c r="S443" s="71">
        <v>7414000005</v>
      </c>
      <c r="AB443"/>
      <c r="AC443"/>
    </row>
    <row r="444" spans="1:29" x14ac:dyDescent="0.25">
      <c r="A444" t="str">
        <f t="shared" si="7"/>
        <v xml:space="preserve">1033546SVIVE60 S           </v>
      </c>
      <c r="B444" s="71">
        <v>1033795</v>
      </c>
      <c r="C444" s="71" t="s">
        <v>691</v>
      </c>
      <c r="D444" s="71" t="s">
        <v>417</v>
      </c>
      <c r="E444" s="71" t="s">
        <v>623</v>
      </c>
      <c r="F444" s="71" t="s">
        <v>624</v>
      </c>
      <c r="G444" s="74">
        <v>165432</v>
      </c>
      <c r="H444" s="72">
        <v>3.8832339999999999</v>
      </c>
      <c r="I444" s="73">
        <v>642411.16708799999</v>
      </c>
      <c r="J444" s="72">
        <v>2.7905551525702403</v>
      </c>
      <c r="K444" s="73">
        <v>180764.04708799999</v>
      </c>
      <c r="L444" s="74">
        <v>0</v>
      </c>
      <c r="M444" s="73">
        <v>0</v>
      </c>
      <c r="N444" s="74">
        <v>0</v>
      </c>
      <c r="O444" s="73">
        <v>0</v>
      </c>
      <c r="P444" s="74">
        <v>165432</v>
      </c>
      <c r="Q444" s="73">
        <v>642411.16708799999</v>
      </c>
      <c r="R444" s="71" t="s">
        <v>625</v>
      </c>
      <c r="S444" s="71">
        <v>7414000005</v>
      </c>
      <c r="AB444"/>
      <c r="AC444"/>
    </row>
    <row r="445" spans="1:29" x14ac:dyDescent="0.25">
      <c r="A445" t="str">
        <f t="shared" si="7"/>
        <v xml:space="preserve">1033795STERGOB ED          </v>
      </c>
      <c r="B445" s="71">
        <v>1033795</v>
      </c>
      <c r="C445" s="71" t="s">
        <v>691</v>
      </c>
      <c r="D445" s="71" t="s">
        <v>407</v>
      </c>
      <c r="E445" s="71" t="s">
        <v>623</v>
      </c>
      <c r="F445" s="71" t="s">
        <v>624</v>
      </c>
      <c r="G445" s="74">
        <v>502227</v>
      </c>
      <c r="H445" s="72">
        <v>2.7668819999999998</v>
      </c>
      <c r="I445" s="73">
        <v>1389602.8462139999</v>
      </c>
      <c r="J445" s="72">
        <v>2.3501810137646921</v>
      </c>
      <c r="K445" s="73">
        <v>209278.486214</v>
      </c>
      <c r="L445" s="74">
        <v>0</v>
      </c>
      <c r="M445" s="73">
        <v>0</v>
      </c>
      <c r="N445" s="74">
        <v>0</v>
      </c>
      <c r="O445" s="73">
        <v>0</v>
      </c>
      <c r="P445" s="74">
        <v>502227</v>
      </c>
      <c r="Q445" s="73">
        <v>1389602.8462139999</v>
      </c>
      <c r="R445" s="71" t="s">
        <v>625</v>
      </c>
      <c r="S445" s="71">
        <v>7414000005</v>
      </c>
      <c r="AB445"/>
      <c r="AC445"/>
    </row>
    <row r="446" spans="1:29" x14ac:dyDescent="0.25">
      <c r="A446" t="str">
        <f t="shared" si="7"/>
        <v xml:space="preserve">1033795STRGOB2 ED          </v>
      </c>
      <c r="B446" s="71">
        <v>1033796</v>
      </c>
      <c r="C446" s="71" t="s">
        <v>692</v>
      </c>
      <c r="D446" s="71" t="s">
        <v>389</v>
      </c>
      <c r="E446" s="71" t="s">
        <v>623</v>
      </c>
      <c r="F446" s="71" t="s">
        <v>624</v>
      </c>
      <c r="G446" s="74">
        <v>217</v>
      </c>
      <c r="H446" s="72">
        <v>3.3967719999999999</v>
      </c>
      <c r="I446" s="73">
        <v>737.09952399999997</v>
      </c>
      <c r="J446" s="72">
        <v>2.9725806451612904</v>
      </c>
      <c r="K446" s="73">
        <v>92.049524000000005</v>
      </c>
      <c r="L446" s="74">
        <v>0</v>
      </c>
      <c r="M446" s="73">
        <v>0</v>
      </c>
      <c r="N446" s="74">
        <v>0</v>
      </c>
      <c r="O446" s="73">
        <v>0</v>
      </c>
      <c r="P446" s="74">
        <v>217</v>
      </c>
      <c r="Q446" s="73">
        <v>737.09952399999997</v>
      </c>
      <c r="R446" s="71" t="s">
        <v>625</v>
      </c>
      <c r="S446" s="71">
        <v>7414000005</v>
      </c>
      <c r="AB446"/>
      <c r="AC446"/>
    </row>
    <row r="447" spans="1:29" x14ac:dyDescent="0.25">
      <c r="A447" t="str">
        <f t="shared" si="7"/>
        <v xml:space="preserve">1033795SVIVE60 ED          </v>
      </c>
      <c r="B447" s="71">
        <v>1033811</v>
      </c>
      <c r="C447" s="71" t="s">
        <v>693</v>
      </c>
      <c r="D447" s="71" t="s">
        <v>431</v>
      </c>
      <c r="E447" s="71" t="s">
        <v>623</v>
      </c>
      <c r="F447" s="71" t="s">
        <v>624</v>
      </c>
      <c r="G447" s="74">
        <v>955400</v>
      </c>
      <c r="H447" s="72">
        <v>3.4005040000000002</v>
      </c>
      <c r="I447" s="73">
        <v>3248841.5216000001</v>
      </c>
      <c r="J447" s="72">
        <v>3.3469836612936992</v>
      </c>
      <c r="K447" s="73">
        <v>51133.331599999998</v>
      </c>
      <c r="L447" s="74">
        <v>0</v>
      </c>
      <c r="M447" s="73">
        <v>0</v>
      </c>
      <c r="N447" s="74">
        <v>0</v>
      </c>
      <c r="O447" s="73">
        <v>0</v>
      </c>
      <c r="P447" s="74">
        <v>955400</v>
      </c>
      <c r="Q447" s="73">
        <v>3248841.5216000001</v>
      </c>
      <c r="R447" s="71" t="s">
        <v>625</v>
      </c>
      <c r="S447" s="71">
        <v>7414000005</v>
      </c>
      <c r="AB447"/>
      <c r="AC447"/>
    </row>
    <row r="448" spans="1:29" x14ac:dyDescent="0.25">
      <c r="A448" t="str">
        <f t="shared" si="7"/>
        <v xml:space="preserve">1033796STERGOB ED          </v>
      </c>
      <c r="B448" s="71">
        <v>1034042</v>
      </c>
      <c r="C448" s="71" t="s">
        <v>694</v>
      </c>
      <c r="D448" s="71" t="s">
        <v>627</v>
      </c>
      <c r="E448" s="71" t="s">
        <v>623</v>
      </c>
      <c r="F448" s="71" t="s">
        <v>624</v>
      </c>
      <c r="G448" s="74">
        <v>2050</v>
      </c>
      <c r="H448" s="72">
        <v>9802.1143969999994</v>
      </c>
      <c r="I448" s="73">
        <v>20094334.51385</v>
      </c>
      <c r="J448" s="72">
        <v>9982.2999999999993</v>
      </c>
      <c r="K448" s="73">
        <v>-369380.48615000001</v>
      </c>
      <c r="L448" s="74">
        <v>0</v>
      </c>
      <c r="M448" s="73">
        <v>0</v>
      </c>
      <c r="N448" s="74">
        <v>0</v>
      </c>
      <c r="O448" s="73">
        <v>0</v>
      </c>
      <c r="P448" s="74">
        <v>2050</v>
      </c>
      <c r="Q448" s="73">
        <v>20094334.51385</v>
      </c>
      <c r="R448" s="71" t="s">
        <v>625</v>
      </c>
      <c r="S448" s="71">
        <v>7414000005</v>
      </c>
      <c r="AB448"/>
      <c r="AC448"/>
    </row>
    <row r="449" spans="1:29" x14ac:dyDescent="0.25">
      <c r="A449" t="str">
        <f t="shared" si="7"/>
        <v xml:space="preserve">1033811STERGOB B1          </v>
      </c>
      <c r="B449" s="71">
        <v>1034042</v>
      </c>
      <c r="C449" s="71" t="s">
        <v>694</v>
      </c>
      <c r="D449" s="71" t="s">
        <v>502</v>
      </c>
      <c r="E449" s="71" t="s">
        <v>623</v>
      </c>
      <c r="F449" s="71" t="s">
        <v>624</v>
      </c>
      <c r="G449" s="74">
        <v>782</v>
      </c>
      <c r="H449" s="72">
        <v>9469.6491050000004</v>
      </c>
      <c r="I449" s="73">
        <v>7405265.60011</v>
      </c>
      <c r="J449" s="72">
        <v>9977.4</v>
      </c>
      <c r="K449" s="73">
        <v>-397061.19988999999</v>
      </c>
      <c r="L449" s="74">
        <v>0</v>
      </c>
      <c r="M449" s="73">
        <v>0</v>
      </c>
      <c r="N449" s="74">
        <v>0</v>
      </c>
      <c r="O449" s="73">
        <v>0</v>
      </c>
      <c r="P449" s="74">
        <v>782</v>
      </c>
      <c r="Q449" s="73">
        <v>7405265.60011</v>
      </c>
      <c r="R449" s="71" t="s">
        <v>625</v>
      </c>
      <c r="S449" s="71">
        <v>7414000005</v>
      </c>
      <c r="AB449"/>
      <c r="AC449"/>
    </row>
    <row r="450" spans="1:29" x14ac:dyDescent="0.25">
      <c r="A450" t="str">
        <f t="shared" si="7"/>
        <v xml:space="preserve">1034042AMX 0129            </v>
      </c>
      <c r="B450" s="71">
        <v>1034042</v>
      </c>
      <c r="C450" s="71" t="s">
        <v>694</v>
      </c>
      <c r="D450" s="71" t="s">
        <v>552</v>
      </c>
      <c r="E450" s="71" t="s">
        <v>623</v>
      </c>
      <c r="F450" s="71" t="s">
        <v>624</v>
      </c>
      <c r="G450" s="74">
        <v>266570</v>
      </c>
      <c r="H450" s="72">
        <v>100.000484</v>
      </c>
      <c r="I450" s="73">
        <v>26657129.019880001</v>
      </c>
      <c r="J450" s="72">
        <v>100</v>
      </c>
      <c r="K450" s="73">
        <v>129.01988</v>
      </c>
      <c r="L450" s="74">
        <v>0</v>
      </c>
      <c r="M450" s="73">
        <v>0</v>
      </c>
      <c r="N450" s="74">
        <v>0</v>
      </c>
      <c r="O450" s="73">
        <v>0</v>
      </c>
      <c r="P450" s="74">
        <v>266570</v>
      </c>
      <c r="Q450" s="73">
        <v>26657129.019880001</v>
      </c>
      <c r="R450" s="71" t="s">
        <v>625</v>
      </c>
      <c r="S450" s="71">
        <v>7414000005</v>
      </c>
      <c r="AB450"/>
      <c r="AC450"/>
    </row>
    <row r="451" spans="1:29" x14ac:dyDescent="0.25">
      <c r="A451" t="str">
        <f t="shared" si="7"/>
        <v xml:space="preserve">1034042AMX 0131X           </v>
      </c>
      <c r="B451" s="71">
        <v>1034042</v>
      </c>
      <c r="C451" s="71" t="s">
        <v>694</v>
      </c>
      <c r="D451" s="71" t="s">
        <v>422</v>
      </c>
      <c r="E451" s="71" t="s">
        <v>623</v>
      </c>
      <c r="F451" s="71" t="s">
        <v>624</v>
      </c>
      <c r="G451" s="74">
        <v>101676</v>
      </c>
      <c r="H451" s="72">
        <v>97.654420999999999</v>
      </c>
      <c r="I451" s="73">
        <v>9929110.9095959999</v>
      </c>
      <c r="J451" s="72">
        <v>99.068463857350807</v>
      </c>
      <c r="K451" s="73">
        <v>-143774.22156400001</v>
      </c>
      <c r="L451" s="74">
        <v>0</v>
      </c>
      <c r="M451" s="73">
        <v>0</v>
      </c>
      <c r="N451" s="74">
        <v>0</v>
      </c>
      <c r="O451" s="73">
        <v>0</v>
      </c>
      <c r="P451" s="74">
        <v>101676</v>
      </c>
      <c r="Q451" s="73">
        <v>9929110.9095959999</v>
      </c>
      <c r="R451" s="71" t="s">
        <v>625</v>
      </c>
      <c r="S451" s="71">
        <v>7414000005</v>
      </c>
      <c r="AB451"/>
      <c r="AC451"/>
    </row>
    <row r="452" spans="1:29" x14ac:dyDescent="0.25">
      <c r="A452" t="str">
        <f t="shared" si="7"/>
        <v xml:space="preserve">1034042BLADEX 24           </v>
      </c>
      <c r="B452" s="71">
        <v>1034042</v>
      </c>
      <c r="C452" s="71" t="s">
        <v>694</v>
      </c>
      <c r="D452" s="71" t="s">
        <v>423</v>
      </c>
      <c r="E452" s="71" t="s">
        <v>623</v>
      </c>
      <c r="F452" s="71" t="s">
        <v>624</v>
      </c>
      <c r="G452" s="74">
        <v>54530</v>
      </c>
      <c r="H452" s="72">
        <v>98.859247999999994</v>
      </c>
      <c r="I452" s="73">
        <v>5390794.7934400002</v>
      </c>
      <c r="J452" s="72">
        <v>100</v>
      </c>
      <c r="K452" s="73">
        <v>-62205.206559999999</v>
      </c>
      <c r="L452" s="74">
        <v>0</v>
      </c>
      <c r="M452" s="73">
        <v>0</v>
      </c>
      <c r="N452" s="74">
        <v>0</v>
      </c>
      <c r="O452" s="73">
        <v>0</v>
      </c>
      <c r="P452" s="74">
        <v>54530</v>
      </c>
      <c r="Q452" s="73">
        <v>5390794.7934400002</v>
      </c>
      <c r="R452" s="71" t="s">
        <v>625</v>
      </c>
      <c r="S452" s="71">
        <v>7414000005</v>
      </c>
      <c r="AB452"/>
      <c r="AC452"/>
    </row>
    <row r="453" spans="1:29" x14ac:dyDescent="0.25">
      <c r="A453" t="str">
        <f t="shared" si="7"/>
        <v xml:space="preserve">1034042CETELEM 22          </v>
      </c>
      <c r="B453" s="71">
        <v>1034042</v>
      </c>
      <c r="C453" s="71" t="s">
        <v>694</v>
      </c>
      <c r="D453" s="71" t="s">
        <v>363</v>
      </c>
      <c r="E453" s="71" t="s">
        <v>623</v>
      </c>
      <c r="F453" s="71" t="s">
        <v>624</v>
      </c>
      <c r="G453" s="74">
        <v>15108920</v>
      </c>
      <c r="H453" s="72">
        <v>9.4935880000000008</v>
      </c>
      <c r="I453" s="73">
        <v>143437861.60495999</v>
      </c>
      <c r="J453" s="72">
        <v>8.3369798263743569</v>
      </c>
      <c r="K453" s="73">
        <v>17475100.366655961</v>
      </c>
      <c r="L453" s="74">
        <v>0</v>
      </c>
      <c r="M453" s="73">
        <v>0</v>
      </c>
      <c r="N453" s="74">
        <v>0</v>
      </c>
      <c r="O453" s="73">
        <v>0</v>
      </c>
      <c r="P453" s="74">
        <v>15108920</v>
      </c>
      <c r="Q453" s="73">
        <v>143437861.60495999</v>
      </c>
      <c r="R453" s="71" t="s">
        <v>625</v>
      </c>
      <c r="S453" s="71">
        <v>7414000005</v>
      </c>
      <c r="AB453"/>
      <c r="AC453"/>
    </row>
    <row r="454" spans="1:29" x14ac:dyDescent="0.25">
      <c r="A454" t="str">
        <f t="shared" si="7"/>
        <v xml:space="preserve">1034042CETELEM 22-4        </v>
      </c>
      <c r="B454" s="71">
        <v>1034042</v>
      </c>
      <c r="C454" s="71" t="s">
        <v>694</v>
      </c>
      <c r="D454" s="71" t="s">
        <v>409</v>
      </c>
      <c r="E454" s="71" t="s">
        <v>623</v>
      </c>
      <c r="F454" s="71" t="s">
        <v>624</v>
      </c>
      <c r="G454" s="74">
        <v>11054599</v>
      </c>
      <c r="H454" s="72">
        <v>9.3381629999999998</v>
      </c>
      <c r="I454" s="73">
        <v>103229647.361637</v>
      </c>
      <c r="J454" s="72">
        <v>8.3202806739907924</v>
      </c>
      <c r="K454" s="73">
        <v>11252280.94321906</v>
      </c>
      <c r="L454" s="74">
        <v>0</v>
      </c>
      <c r="M454" s="73">
        <v>0</v>
      </c>
      <c r="N454" s="74">
        <v>0</v>
      </c>
      <c r="O454" s="73">
        <v>0</v>
      </c>
      <c r="P454" s="74">
        <v>11054599</v>
      </c>
      <c r="Q454" s="73">
        <v>103229647.361637</v>
      </c>
      <c r="R454" s="71" t="s">
        <v>625</v>
      </c>
      <c r="S454" s="71">
        <v>7414000005</v>
      </c>
      <c r="AB454"/>
      <c r="AC454"/>
    </row>
    <row r="455" spans="1:29" x14ac:dyDescent="0.25">
      <c r="A455" t="str">
        <f t="shared" ref="A455:A518" si="8">B453&amp;D453</f>
        <v xml:space="preserve">1034042CETES 241003        </v>
      </c>
      <c r="B455" s="71">
        <v>1034042</v>
      </c>
      <c r="C455" s="71" t="s">
        <v>694</v>
      </c>
      <c r="D455" s="71" t="s">
        <v>364</v>
      </c>
      <c r="E455" s="71" t="s">
        <v>623</v>
      </c>
      <c r="F455" s="71" t="s">
        <v>624</v>
      </c>
      <c r="G455" s="74">
        <v>12942630</v>
      </c>
      <c r="H455" s="72">
        <v>9.190137</v>
      </c>
      <c r="I455" s="73">
        <v>118944542.84031001</v>
      </c>
      <c r="J455" s="72">
        <v>8.2030282957605998</v>
      </c>
      <c r="K455" s="73">
        <v>12775782.72875</v>
      </c>
      <c r="L455" s="74">
        <v>0</v>
      </c>
      <c r="M455" s="73">
        <v>0</v>
      </c>
      <c r="N455" s="74">
        <v>0</v>
      </c>
      <c r="O455" s="73">
        <v>0</v>
      </c>
      <c r="P455" s="74">
        <v>12942630</v>
      </c>
      <c r="Q455" s="73">
        <v>118944542.84031001</v>
      </c>
      <c r="R455" s="71" t="s">
        <v>625</v>
      </c>
      <c r="S455" s="71">
        <v>7414000005</v>
      </c>
      <c r="AB455"/>
      <c r="AC455"/>
    </row>
    <row r="456" spans="1:29" x14ac:dyDescent="0.25">
      <c r="A456" t="str">
        <f t="shared" si="8"/>
        <v xml:space="preserve">1034042CETES 241128        </v>
      </c>
      <c r="B456" s="71">
        <v>1034042</v>
      </c>
      <c r="C456" s="71" t="s">
        <v>694</v>
      </c>
      <c r="D456" s="71" t="s">
        <v>556</v>
      </c>
      <c r="E456" s="71" t="s">
        <v>623</v>
      </c>
      <c r="F456" s="71" t="s">
        <v>624</v>
      </c>
      <c r="G456" s="74">
        <v>8000000</v>
      </c>
      <c r="H456" s="72">
        <v>9.1534650000000006</v>
      </c>
      <c r="I456" s="73">
        <v>73227720</v>
      </c>
      <c r="J456" s="72">
        <v>8.9797925000000003</v>
      </c>
      <c r="K456" s="73">
        <v>1389380</v>
      </c>
      <c r="L456" s="74">
        <v>0</v>
      </c>
      <c r="M456" s="73">
        <v>0</v>
      </c>
      <c r="N456" s="74">
        <v>0</v>
      </c>
      <c r="O456" s="73">
        <v>0</v>
      </c>
      <c r="P456" s="74">
        <v>8000000</v>
      </c>
      <c r="Q456" s="73">
        <v>73227720</v>
      </c>
      <c r="R456" s="71" t="s">
        <v>625</v>
      </c>
      <c r="S456" s="71">
        <v>7414000005</v>
      </c>
      <c r="AB456"/>
      <c r="AC456"/>
    </row>
    <row r="457" spans="1:29" x14ac:dyDescent="0.25">
      <c r="A457" t="str">
        <f t="shared" si="8"/>
        <v xml:space="preserve">1034042CETES 250123        </v>
      </c>
      <c r="B457" s="71">
        <v>1034042</v>
      </c>
      <c r="C457" s="71" t="s">
        <v>694</v>
      </c>
      <c r="D457" s="71" t="s">
        <v>615</v>
      </c>
      <c r="E457" s="71" t="s">
        <v>623</v>
      </c>
      <c r="F457" s="71" t="s">
        <v>624</v>
      </c>
      <c r="G457" s="74">
        <v>2500000</v>
      </c>
      <c r="H457" s="72">
        <v>9.0839700000000008</v>
      </c>
      <c r="I457" s="73">
        <v>22709925</v>
      </c>
      <c r="J457" s="72">
        <v>8.9878796600000008</v>
      </c>
      <c r="K457" s="73">
        <v>240225.85</v>
      </c>
      <c r="L457" s="74">
        <v>0</v>
      </c>
      <c r="M457" s="73">
        <v>0</v>
      </c>
      <c r="N457" s="74">
        <v>0</v>
      </c>
      <c r="O457" s="73">
        <v>0</v>
      </c>
      <c r="P457" s="74">
        <v>2500000</v>
      </c>
      <c r="Q457" s="73">
        <v>22709925</v>
      </c>
      <c r="R457" s="71" t="s">
        <v>625</v>
      </c>
      <c r="S457" s="71">
        <v>7414000005</v>
      </c>
      <c r="AB457"/>
      <c r="AC457"/>
    </row>
    <row r="458" spans="1:29" x14ac:dyDescent="0.25">
      <c r="A458" t="str">
        <f t="shared" si="8"/>
        <v xml:space="preserve">1034042CETES 250206        </v>
      </c>
      <c r="B458" s="71">
        <v>1034042</v>
      </c>
      <c r="C458" s="71" t="s">
        <v>694</v>
      </c>
      <c r="D458" s="71" t="s">
        <v>649</v>
      </c>
      <c r="E458" s="71" t="s">
        <v>623</v>
      </c>
      <c r="F458" s="71" t="s">
        <v>624</v>
      </c>
      <c r="G458" s="74">
        <v>3268870</v>
      </c>
      <c r="H458" s="72">
        <v>9.0112480000000001</v>
      </c>
      <c r="I458" s="73">
        <v>29456598.249759998</v>
      </c>
      <c r="J458" s="72">
        <v>8.9969798000000001</v>
      </c>
      <c r="K458" s="73">
        <v>46640.890934000003</v>
      </c>
      <c r="L458" s="74">
        <v>0</v>
      </c>
      <c r="M458" s="73">
        <v>0</v>
      </c>
      <c r="N458" s="74">
        <v>0</v>
      </c>
      <c r="O458" s="73">
        <v>0</v>
      </c>
      <c r="P458" s="74">
        <v>3268870</v>
      </c>
      <c r="Q458" s="73">
        <v>29456598.249759998</v>
      </c>
      <c r="R458" s="71" t="s">
        <v>625</v>
      </c>
      <c r="S458" s="71">
        <v>7414000005</v>
      </c>
      <c r="AB458"/>
      <c r="AC458"/>
    </row>
    <row r="459" spans="1:29" x14ac:dyDescent="0.25">
      <c r="A459" t="str">
        <f t="shared" si="8"/>
        <v xml:space="preserve">1034042CETES 250306        </v>
      </c>
      <c r="B459" s="71">
        <v>1034042</v>
      </c>
      <c r="C459" s="71" t="s">
        <v>694</v>
      </c>
      <c r="D459" s="71" t="s">
        <v>543</v>
      </c>
      <c r="E459" s="71" t="s">
        <v>623</v>
      </c>
      <c r="F459" s="71" t="s">
        <v>624</v>
      </c>
      <c r="G459" s="74">
        <v>10000000</v>
      </c>
      <c r="H459" s="72">
        <v>8.5044190000000004</v>
      </c>
      <c r="I459" s="73">
        <v>85044190</v>
      </c>
      <c r="J459" s="72">
        <v>8.2167949300000007</v>
      </c>
      <c r="K459" s="73">
        <v>2876240.7</v>
      </c>
      <c r="L459" s="74">
        <v>0</v>
      </c>
      <c r="M459" s="73">
        <v>0</v>
      </c>
      <c r="N459" s="74">
        <v>0</v>
      </c>
      <c r="O459" s="73">
        <v>0</v>
      </c>
      <c r="P459" s="74">
        <v>10000000</v>
      </c>
      <c r="Q459" s="73">
        <v>85044190</v>
      </c>
      <c r="R459" s="71" t="s">
        <v>625</v>
      </c>
      <c r="S459" s="71">
        <v>7414000005</v>
      </c>
      <c r="AB459"/>
      <c r="AC459"/>
    </row>
    <row r="460" spans="1:29" x14ac:dyDescent="0.25">
      <c r="A460" t="str">
        <f t="shared" si="8"/>
        <v xml:space="preserve">1034042CETES 250403        </v>
      </c>
      <c r="B460" s="71">
        <v>1034042</v>
      </c>
      <c r="C460" s="71" t="s">
        <v>694</v>
      </c>
      <c r="D460" s="71" t="s">
        <v>554</v>
      </c>
      <c r="E460" s="71" t="s">
        <v>623</v>
      </c>
      <c r="F460" s="71" t="s">
        <v>624</v>
      </c>
      <c r="G460" s="74">
        <v>4856630</v>
      </c>
      <c r="H460" s="72">
        <v>8.3813510000000004</v>
      </c>
      <c r="I460" s="73">
        <v>40705120.70713</v>
      </c>
      <c r="J460" s="72">
        <v>8.275682943638099</v>
      </c>
      <c r="K460" s="73">
        <v>513190.65256890003</v>
      </c>
      <c r="L460" s="74">
        <v>0</v>
      </c>
      <c r="M460" s="73">
        <v>0</v>
      </c>
      <c r="N460" s="74">
        <v>0</v>
      </c>
      <c r="O460" s="73">
        <v>0</v>
      </c>
      <c r="P460" s="74">
        <v>4856630</v>
      </c>
      <c r="Q460" s="73">
        <v>40705120.70713</v>
      </c>
      <c r="R460" s="71" t="s">
        <v>625</v>
      </c>
      <c r="S460" s="71">
        <v>7414000005</v>
      </c>
      <c r="AB460"/>
      <c r="AC460"/>
    </row>
    <row r="461" spans="1:29" x14ac:dyDescent="0.25">
      <c r="A461" t="str">
        <f t="shared" si="8"/>
        <v xml:space="preserve">1034042CETES 251030        </v>
      </c>
      <c r="B461" s="71">
        <v>1034042</v>
      </c>
      <c r="C461" s="71" t="s">
        <v>694</v>
      </c>
      <c r="D461" s="71" t="s">
        <v>613</v>
      </c>
      <c r="E461" s="71" t="s">
        <v>623</v>
      </c>
      <c r="F461" s="71" t="s">
        <v>624</v>
      </c>
      <c r="G461" s="74">
        <v>7591980</v>
      </c>
      <c r="H461" s="72">
        <v>8.2580650000000002</v>
      </c>
      <c r="I461" s="73">
        <v>62695064.318700001</v>
      </c>
      <c r="J461" s="72">
        <v>8.2469711528037486</v>
      </c>
      <c r="K461" s="73">
        <v>84224.266036999994</v>
      </c>
      <c r="L461" s="74">
        <v>0</v>
      </c>
      <c r="M461" s="73">
        <v>0</v>
      </c>
      <c r="N461" s="74">
        <v>0</v>
      </c>
      <c r="O461" s="73">
        <v>0</v>
      </c>
      <c r="P461" s="74">
        <v>7591980</v>
      </c>
      <c r="Q461" s="73">
        <v>62695064.318700001</v>
      </c>
      <c r="R461" s="71" t="s">
        <v>625</v>
      </c>
      <c r="S461" s="71">
        <v>7414000005</v>
      </c>
      <c r="AB461"/>
      <c r="AC461"/>
    </row>
    <row r="462" spans="1:29" x14ac:dyDescent="0.25">
      <c r="A462" t="str">
        <f t="shared" si="8"/>
        <v xml:space="preserve">1034042CETES 251224        </v>
      </c>
      <c r="B462" s="71">
        <v>1034042</v>
      </c>
      <c r="C462" s="71" t="s">
        <v>694</v>
      </c>
      <c r="D462" s="71" t="s">
        <v>366</v>
      </c>
      <c r="E462" s="71" t="s">
        <v>623</v>
      </c>
      <c r="F462" s="71" t="s">
        <v>624</v>
      </c>
      <c r="G462" s="74">
        <v>0</v>
      </c>
      <c r="H462" s="72">
        <v>0</v>
      </c>
      <c r="I462" s="73">
        <v>54991315.159999996</v>
      </c>
      <c r="J462" s="72">
        <v>0</v>
      </c>
      <c r="K462" s="73">
        <v>0</v>
      </c>
      <c r="L462" s="74">
        <v>0</v>
      </c>
      <c r="M462" s="73">
        <v>0</v>
      </c>
      <c r="N462" s="74">
        <v>0</v>
      </c>
      <c r="O462" s="73">
        <v>0</v>
      </c>
      <c r="P462" s="74">
        <v>0</v>
      </c>
      <c r="Q462" s="73">
        <v>54991315.159999996</v>
      </c>
      <c r="R462" s="71" t="s">
        <v>625</v>
      </c>
      <c r="S462" s="71">
        <v>7414000005</v>
      </c>
      <c r="AB462"/>
      <c r="AC462"/>
    </row>
    <row r="463" spans="1:29" x14ac:dyDescent="0.25">
      <c r="A463" t="str">
        <f t="shared" si="8"/>
        <v xml:space="preserve">1034042CETES 260219        </v>
      </c>
      <c r="B463" s="71">
        <v>1034042</v>
      </c>
      <c r="C463" s="71" t="s">
        <v>694</v>
      </c>
      <c r="D463" s="71" t="s">
        <v>460</v>
      </c>
      <c r="E463" s="71" t="s">
        <v>623</v>
      </c>
      <c r="F463" s="71" t="s">
        <v>624</v>
      </c>
      <c r="G463" s="74">
        <v>135255</v>
      </c>
      <c r="H463" s="72">
        <v>97.648104000000004</v>
      </c>
      <c r="I463" s="73">
        <v>13207394.30652</v>
      </c>
      <c r="J463" s="72">
        <v>100</v>
      </c>
      <c r="K463" s="73">
        <v>-318105.69348000002</v>
      </c>
      <c r="L463" s="74">
        <v>0</v>
      </c>
      <c r="M463" s="73">
        <v>0</v>
      </c>
      <c r="N463" s="74">
        <v>0</v>
      </c>
      <c r="O463" s="73">
        <v>0</v>
      </c>
      <c r="P463" s="74">
        <v>135255</v>
      </c>
      <c r="Q463" s="73">
        <v>13207394.30652</v>
      </c>
      <c r="R463" s="71" t="s">
        <v>625</v>
      </c>
      <c r="S463" s="71">
        <v>7414000005</v>
      </c>
      <c r="AB463"/>
      <c r="AC463"/>
    </row>
    <row r="464" spans="1:29" x14ac:dyDescent="0.25">
      <c r="A464" t="str">
        <f t="shared" si="8"/>
        <v>1034042EFECTIVO</v>
      </c>
      <c r="B464" s="71">
        <v>1034042</v>
      </c>
      <c r="C464" s="71" t="s">
        <v>694</v>
      </c>
      <c r="D464" s="71" t="s">
        <v>425</v>
      </c>
      <c r="E464" s="71" t="s">
        <v>623</v>
      </c>
      <c r="F464" s="71" t="s">
        <v>624</v>
      </c>
      <c r="G464" s="74">
        <v>99180</v>
      </c>
      <c r="H464" s="72">
        <v>100.020889</v>
      </c>
      <c r="I464" s="73">
        <v>9920071.7710200008</v>
      </c>
      <c r="J464" s="72">
        <v>100</v>
      </c>
      <c r="K464" s="73">
        <v>2071.7710200000001</v>
      </c>
      <c r="L464" s="74">
        <v>0</v>
      </c>
      <c r="M464" s="73">
        <v>0</v>
      </c>
      <c r="N464" s="74">
        <v>0</v>
      </c>
      <c r="O464" s="73">
        <v>0</v>
      </c>
      <c r="P464" s="74">
        <v>99180</v>
      </c>
      <c r="Q464" s="73">
        <v>9920071.7710200008</v>
      </c>
      <c r="R464" s="71" t="s">
        <v>625</v>
      </c>
      <c r="S464" s="71">
        <v>7414000005</v>
      </c>
      <c r="AB464"/>
      <c r="AC464"/>
    </row>
    <row r="465" spans="1:29" x14ac:dyDescent="0.25">
      <c r="A465" t="str">
        <f t="shared" si="8"/>
        <v xml:space="preserve">1034042FERROMX 14          </v>
      </c>
      <c r="B465" s="71">
        <v>1034042</v>
      </c>
      <c r="C465" s="71" t="s">
        <v>694</v>
      </c>
      <c r="D465" s="71" t="s">
        <v>461</v>
      </c>
      <c r="E465" s="71" t="s">
        <v>623</v>
      </c>
      <c r="F465" s="71" t="s">
        <v>624</v>
      </c>
      <c r="G465" s="74">
        <v>800000</v>
      </c>
      <c r="H465" s="72">
        <v>48.637891000000003</v>
      </c>
      <c r="I465" s="73">
        <v>38910312.799999997</v>
      </c>
      <c r="J465" s="72">
        <v>99.999944299999996</v>
      </c>
      <c r="K465" s="73">
        <v>-41089642.640000001</v>
      </c>
      <c r="L465" s="74">
        <v>0</v>
      </c>
      <c r="M465" s="73">
        <v>0</v>
      </c>
      <c r="N465" s="74">
        <v>0</v>
      </c>
      <c r="O465" s="73">
        <v>0</v>
      </c>
      <c r="P465" s="74">
        <v>800000</v>
      </c>
      <c r="Q465" s="73">
        <v>38910312.799999997</v>
      </c>
      <c r="R465" s="71" t="s">
        <v>625</v>
      </c>
      <c r="S465" s="71">
        <v>7414000005</v>
      </c>
      <c r="AB465"/>
      <c r="AC465"/>
    </row>
    <row r="466" spans="1:29" x14ac:dyDescent="0.25">
      <c r="A466" t="str">
        <f t="shared" si="8"/>
        <v xml:space="preserve">1034042GAP 22L             </v>
      </c>
      <c r="B466" s="71">
        <v>1034042</v>
      </c>
      <c r="C466" s="71" t="s">
        <v>694</v>
      </c>
      <c r="D466" s="71" t="s">
        <v>381</v>
      </c>
      <c r="E466" s="71" t="s">
        <v>623</v>
      </c>
      <c r="F466" s="71" t="s">
        <v>624</v>
      </c>
      <c r="G466" s="74">
        <v>1301150</v>
      </c>
      <c r="H466" s="72">
        <v>94.870157000000006</v>
      </c>
      <c r="I466" s="73">
        <v>123440304.78055</v>
      </c>
      <c r="J466" s="72">
        <v>97.132057922654113</v>
      </c>
      <c r="K466" s="73">
        <v>-2943072.3855114002</v>
      </c>
      <c r="L466" s="74">
        <v>0</v>
      </c>
      <c r="M466" s="73">
        <v>0</v>
      </c>
      <c r="N466" s="74">
        <v>0</v>
      </c>
      <c r="O466" s="73">
        <v>0</v>
      </c>
      <c r="P466" s="74">
        <v>1301150</v>
      </c>
      <c r="Q466" s="73">
        <v>123440304.78055</v>
      </c>
      <c r="R466" s="71" t="s">
        <v>625</v>
      </c>
      <c r="S466" s="71">
        <v>7414000005</v>
      </c>
      <c r="AB466"/>
      <c r="AC466"/>
    </row>
    <row r="467" spans="1:29" x14ac:dyDescent="0.25">
      <c r="A467" t="str">
        <f t="shared" si="8"/>
        <v xml:space="preserve">1034042GICSA 17            </v>
      </c>
      <c r="B467" s="71">
        <v>1034042</v>
      </c>
      <c r="C467" s="71" t="s">
        <v>694</v>
      </c>
      <c r="D467" s="71" t="s">
        <v>382</v>
      </c>
      <c r="E467" s="71" t="s">
        <v>623</v>
      </c>
      <c r="F467" s="71" t="s">
        <v>624</v>
      </c>
      <c r="G467" s="74">
        <v>774901</v>
      </c>
      <c r="H467" s="72">
        <v>89.489464999999996</v>
      </c>
      <c r="I467" s="73">
        <v>69345475.917964995</v>
      </c>
      <c r="J467" s="72">
        <v>89.484256780673675</v>
      </c>
      <c r="K467" s="73">
        <v>4035.8543641900001</v>
      </c>
      <c r="L467" s="74">
        <v>0</v>
      </c>
      <c r="M467" s="73">
        <v>0</v>
      </c>
      <c r="N467" s="74">
        <v>0</v>
      </c>
      <c r="O467" s="73">
        <v>0</v>
      </c>
      <c r="P467" s="74">
        <v>774901</v>
      </c>
      <c r="Q467" s="73">
        <v>69345475.917964995</v>
      </c>
      <c r="R467" s="71" t="s">
        <v>625</v>
      </c>
      <c r="S467" s="71">
        <v>7414000005</v>
      </c>
      <c r="AB467"/>
      <c r="AC467"/>
    </row>
    <row r="468" spans="1:29" x14ac:dyDescent="0.25">
      <c r="A468" t="str">
        <f t="shared" si="8"/>
        <v xml:space="preserve">1034042GOBFED 290531       </v>
      </c>
      <c r="B468" s="71">
        <v>1034042</v>
      </c>
      <c r="C468" s="71" t="s">
        <v>694</v>
      </c>
      <c r="D468" s="71" t="s">
        <v>383</v>
      </c>
      <c r="E468" s="71" t="s">
        <v>623</v>
      </c>
      <c r="F468" s="71" t="s">
        <v>624</v>
      </c>
      <c r="G468" s="74">
        <v>1355978</v>
      </c>
      <c r="H468" s="72">
        <v>86.197128000000006</v>
      </c>
      <c r="I468" s="73">
        <v>116881409.23118401</v>
      </c>
      <c r="J468" s="72">
        <v>89.176239565476081</v>
      </c>
      <c r="K468" s="73">
        <v>-4039609.7423311202</v>
      </c>
      <c r="L468" s="74">
        <v>0</v>
      </c>
      <c r="M468" s="73">
        <v>0</v>
      </c>
      <c r="N468" s="74">
        <v>0</v>
      </c>
      <c r="O468" s="73">
        <v>0</v>
      </c>
      <c r="P468" s="74">
        <v>1355978</v>
      </c>
      <c r="Q468" s="73">
        <v>116881409.23118401</v>
      </c>
      <c r="R468" s="71" t="s">
        <v>625</v>
      </c>
      <c r="S468" s="71">
        <v>7414000005</v>
      </c>
      <c r="AB468"/>
      <c r="AC468"/>
    </row>
    <row r="469" spans="1:29" x14ac:dyDescent="0.25">
      <c r="A469" t="str">
        <f t="shared" si="8"/>
        <v xml:space="preserve">1034042GOBFED 310529       </v>
      </c>
      <c r="B469" s="71">
        <v>1034042</v>
      </c>
      <c r="C469" s="71" t="s">
        <v>694</v>
      </c>
      <c r="D469" s="71" t="s">
        <v>427</v>
      </c>
      <c r="E469" s="71" t="s">
        <v>623</v>
      </c>
      <c r="F469" s="71" t="s">
        <v>624</v>
      </c>
      <c r="G469" s="74">
        <v>250000</v>
      </c>
      <c r="H469" s="72">
        <v>86.469353999999996</v>
      </c>
      <c r="I469" s="73">
        <v>21617338.5</v>
      </c>
      <c r="J469" s="72">
        <v>88.450310569999999</v>
      </c>
      <c r="K469" s="73">
        <v>-495239.14250000002</v>
      </c>
      <c r="L469" s="74">
        <v>0</v>
      </c>
      <c r="M469" s="73">
        <v>0</v>
      </c>
      <c r="N469" s="74">
        <v>0</v>
      </c>
      <c r="O469" s="73">
        <v>0</v>
      </c>
      <c r="P469" s="74">
        <v>250000</v>
      </c>
      <c r="Q469" s="73">
        <v>21617338.5</v>
      </c>
      <c r="R469" s="71" t="s">
        <v>625</v>
      </c>
      <c r="S469" s="71">
        <v>7414000005</v>
      </c>
      <c r="AB469"/>
      <c r="AC469"/>
    </row>
    <row r="470" spans="1:29" x14ac:dyDescent="0.25">
      <c r="A470" t="str">
        <f t="shared" si="8"/>
        <v xml:space="preserve">1034042GOBFED 330526       </v>
      </c>
      <c r="B470" s="71">
        <v>1034042</v>
      </c>
      <c r="C470" s="71" t="s">
        <v>694</v>
      </c>
      <c r="D470" s="71" t="s">
        <v>408</v>
      </c>
      <c r="E470" s="71" t="s">
        <v>623</v>
      </c>
      <c r="F470" s="71" t="s">
        <v>624</v>
      </c>
      <c r="G470" s="74">
        <v>308280</v>
      </c>
      <c r="H470" s="72">
        <v>89.643172000000007</v>
      </c>
      <c r="I470" s="73">
        <v>27635197.064160001</v>
      </c>
      <c r="J470" s="72">
        <v>93.147818569999998</v>
      </c>
      <c r="K470" s="73">
        <v>-1080412.4445996</v>
      </c>
      <c r="L470" s="74">
        <v>0</v>
      </c>
      <c r="M470" s="73">
        <v>0</v>
      </c>
      <c r="N470" s="74">
        <v>0</v>
      </c>
      <c r="O470" s="73">
        <v>0</v>
      </c>
      <c r="P470" s="74">
        <v>308280</v>
      </c>
      <c r="Q470" s="73">
        <v>27635197.064160001</v>
      </c>
      <c r="R470" s="71" t="s">
        <v>625</v>
      </c>
      <c r="S470" s="71">
        <v>7414000005</v>
      </c>
      <c r="AB470"/>
      <c r="AC470"/>
    </row>
    <row r="471" spans="1:29" x14ac:dyDescent="0.25">
      <c r="A471" t="str">
        <f t="shared" si="8"/>
        <v xml:space="preserve">1034042GOBFED 341123       </v>
      </c>
      <c r="B471" s="71">
        <v>1034042</v>
      </c>
      <c r="C471" s="71" t="s">
        <v>694</v>
      </c>
      <c r="D471" s="71" t="s">
        <v>384</v>
      </c>
      <c r="E471" s="71" t="s">
        <v>623</v>
      </c>
      <c r="F471" s="71" t="s">
        <v>624</v>
      </c>
      <c r="G471" s="74">
        <v>970607</v>
      </c>
      <c r="H471" s="72">
        <v>81.738860000000003</v>
      </c>
      <c r="I471" s="73">
        <v>79336309.688020006</v>
      </c>
      <c r="J471" s="72">
        <v>84.025447613889696</v>
      </c>
      <c r="K471" s="73">
        <v>-2219377.9441546299</v>
      </c>
      <c r="L471" s="74">
        <v>0</v>
      </c>
      <c r="M471" s="73">
        <v>0</v>
      </c>
      <c r="N471" s="74">
        <v>0</v>
      </c>
      <c r="O471" s="73">
        <v>0</v>
      </c>
      <c r="P471" s="74">
        <v>970607</v>
      </c>
      <c r="Q471" s="73">
        <v>79336309.688020006</v>
      </c>
      <c r="R471" s="71" t="s">
        <v>625</v>
      </c>
      <c r="S471" s="71">
        <v>7414000005</v>
      </c>
      <c r="AB471"/>
      <c r="AC471"/>
    </row>
    <row r="472" spans="1:29" x14ac:dyDescent="0.25">
      <c r="A472" t="str">
        <f t="shared" si="8"/>
        <v xml:space="preserve">1034042GOBFED 381118       </v>
      </c>
      <c r="B472" s="71">
        <v>1034042</v>
      </c>
      <c r="C472" s="71" t="s">
        <v>694</v>
      </c>
      <c r="D472" s="71" t="s">
        <v>385</v>
      </c>
      <c r="E472" s="71" t="s">
        <v>623</v>
      </c>
      <c r="F472" s="71" t="s">
        <v>624</v>
      </c>
      <c r="G472" s="74">
        <v>371804</v>
      </c>
      <c r="H472" s="72">
        <v>83.200761</v>
      </c>
      <c r="I472" s="73">
        <v>30934375.742844</v>
      </c>
      <c r="J472" s="72">
        <v>86.577126219999997</v>
      </c>
      <c r="K472" s="73">
        <v>-1255346.09425688</v>
      </c>
      <c r="L472" s="74">
        <v>0</v>
      </c>
      <c r="M472" s="73">
        <v>0</v>
      </c>
      <c r="N472" s="74">
        <v>0</v>
      </c>
      <c r="O472" s="73">
        <v>0</v>
      </c>
      <c r="P472" s="74">
        <v>371804</v>
      </c>
      <c r="Q472" s="73">
        <v>30934375.742844</v>
      </c>
      <c r="R472" s="71" t="s">
        <v>625</v>
      </c>
      <c r="S472" s="71">
        <v>7414000005</v>
      </c>
      <c r="AB472"/>
      <c r="AC472"/>
    </row>
    <row r="473" spans="1:29" x14ac:dyDescent="0.25">
      <c r="A473" t="str">
        <f t="shared" si="8"/>
        <v xml:space="preserve">1034042GOBFED 421113       </v>
      </c>
      <c r="B473" s="71">
        <v>1034042</v>
      </c>
      <c r="C473" s="71" t="s">
        <v>694</v>
      </c>
      <c r="D473" s="71" t="s">
        <v>386</v>
      </c>
      <c r="E473" s="71" t="s">
        <v>623</v>
      </c>
      <c r="F473" s="71" t="s">
        <v>624</v>
      </c>
      <c r="G473" s="74">
        <v>328983</v>
      </c>
      <c r="H473" s="72">
        <v>82.159907000000004</v>
      </c>
      <c r="I473" s="73">
        <v>27029212.684581</v>
      </c>
      <c r="J473" s="72">
        <v>85.729509070000006</v>
      </c>
      <c r="K473" s="73">
        <v>-1174338.3977948099</v>
      </c>
      <c r="L473" s="74">
        <v>0</v>
      </c>
      <c r="M473" s="73">
        <v>0</v>
      </c>
      <c r="N473" s="74">
        <v>0</v>
      </c>
      <c r="O473" s="73">
        <v>0</v>
      </c>
      <c r="P473" s="74">
        <v>328983</v>
      </c>
      <c r="Q473" s="73">
        <v>27029212.684581</v>
      </c>
      <c r="R473" s="71" t="s">
        <v>625</v>
      </c>
      <c r="S473" s="71">
        <v>7414000005</v>
      </c>
      <c r="AB473"/>
      <c r="AC473"/>
    </row>
    <row r="474" spans="1:29" x14ac:dyDescent="0.25">
      <c r="A474" t="str">
        <f t="shared" si="8"/>
        <v xml:space="preserve">1034042GOBFED 471107       </v>
      </c>
      <c r="B474" s="71">
        <v>1034042</v>
      </c>
      <c r="C474" s="71" t="s">
        <v>694</v>
      </c>
      <c r="D474" s="71" t="s">
        <v>628</v>
      </c>
      <c r="E474" s="71" t="s">
        <v>623</v>
      </c>
      <c r="F474" s="71" t="s">
        <v>624</v>
      </c>
      <c r="G474" s="74">
        <v>270000</v>
      </c>
      <c r="H474" s="72">
        <v>99.999184999999997</v>
      </c>
      <c r="I474" s="73">
        <v>26999779.949999999</v>
      </c>
      <c r="J474" s="72">
        <v>100</v>
      </c>
      <c r="K474" s="73">
        <v>-220.05</v>
      </c>
      <c r="L474" s="74">
        <v>0</v>
      </c>
      <c r="M474" s="73">
        <v>0</v>
      </c>
      <c r="N474" s="74">
        <v>0</v>
      </c>
      <c r="O474" s="73">
        <v>0</v>
      </c>
      <c r="P474" s="74">
        <v>270000</v>
      </c>
      <c r="Q474" s="73">
        <v>26999779.949999999</v>
      </c>
      <c r="R474" s="71" t="s">
        <v>625</v>
      </c>
      <c r="S474" s="71">
        <v>7414000005</v>
      </c>
      <c r="AB474"/>
      <c r="AC474"/>
    </row>
    <row r="475" spans="1:29" x14ac:dyDescent="0.25">
      <c r="A475" t="str">
        <f t="shared" si="8"/>
        <v xml:space="preserve">1034042GOBFED 530731       </v>
      </c>
      <c r="B475" s="71">
        <v>1034042</v>
      </c>
      <c r="C475" s="71" t="s">
        <v>694</v>
      </c>
      <c r="D475" s="71" t="s">
        <v>462</v>
      </c>
      <c r="E475" s="71" t="s">
        <v>623</v>
      </c>
      <c r="F475" s="71" t="s">
        <v>624</v>
      </c>
      <c r="G475" s="74">
        <v>141115</v>
      </c>
      <c r="H475" s="72">
        <v>93.257986000000002</v>
      </c>
      <c r="I475" s="73">
        <v>13160100.694390001</v>
      </c>
      <c r="J475" s="72">
        <v>93.540998000000002</v>
      </c>
      <c r="K475" s="73">
        <v>-39937.238380000003</v>
      </c>
      <c r="L475" s="74">
        <v>0</v>
      </c>
      <c r="M475" s="73">
        <v>0</v>
      </c>
      <c r="N475" s="74">
        <v>0</v>
      </c>
      <c r="O475" s="73">
        <v>0</v>
      </c>
      <c r="P475" s="74">
        <v>141115</v>
      </c>
      <c r="Q475" s="73">
        <v>13160100.694390001</v>
      </c>
      <c r="R475" s="71" t="s">
        <v>625</v>
      </c>
      <c r="S475" s="71">
        <v>7414000005</v>
      </c>
      <c r="AB475"/>
      <c r="AC475"/>
    </row>
    <row r="476" spans="1:29" x14ac:dyDescent="0.25">
      <c r="A476" t="str">
        <f t="shared" si="8"/>
        <v xml:space="preserve">1034042MEGA 24X            </v>
      </c>
      <c r="B476" s="71">
        <v>1034042</v>
      </c>
      <c r="C476" s="71" t="s">
        <v>694</v>
      </c>
      <c r="D476" s="71" t="s">
        <v>463</v>
      </c>
      <c r="E476" s="71" t="s">
        <v>623</v>
      </c>
      <c r="F476" s="71" t="s">
        <v>624</v>
      </c>
      <c r="G476" s="74">
        <v>329867</v>
      </c>
      <c r="H476" s="72">
        <v>96.981635999999995</v>
      </c>
      <c r="I476" s="73">
        <v>31991041.322411999</v>
      </c>
      <c r="J476" s="72">
        <v>100</v>
      </c>
      <c r="K476" s="73">
        <v>-995658.67758799996</v>
      </c>
      <c r="L476" s="74">
        <v>0</v>
      </c>
      <c r="M476" s="73">
        <v>0</v>
      </c>
      <c r="N476" s="74">
        <v>0</v>
      </c>
      <c r="O476" s="73">
        <v>0</v>
      </c>
      <c r="P476" s="74">
        <v>329867</v>
      </c>
      <c r="Q476" s="73">
        <v>31991041.322411999</v>
      </c>
      <c r="R476" s="71" t="s">
        <v>625</v>
      </c>
      <c r="S476" s="71">
        <v>7414000005</v>
      </c>
      <c r="AB476"/>
      <c r="AC476"/>
    </row>
    <row r="477" spans="1:29" x14ac:dyDescent="0.25">
      <c r="A477" t="str">
        <f t="shared" si="8"/>
        <v xml:space="preserve">1034042MOLYMET 21-2        </v>
      </c>
      <c r="B477" s="71">
        <v>1034042</v>
      </c>
      <c r="C477" s="71" t="s">
        <v>694</v>
      </c>
      <c r="D477" s="71" t="s">
        <v>429</v>
      </c>
      <c r="E477" s="71" t="s">
        <v>623</v>
      </c>
      <c r="F477" s="71" t="s">
        <v>624</v>
      </c>
      <c r="G477" s="74">
        <v>500000</v>
      </c>
      <c r="H477" s="72">
        <v>98.007834000000003</v>
      </c>
      <c r="I477" s="73">
        <v>49003917</v>
      </c>
      <c r="J477" s="72">
        <v>99.216959520000003</v>
      </c>
      <c r="K477" s="73">
        <v>-604562.76</v>
      </c>
      <c r="L477" s="74">
        <v>0</v>
      </c>
      <c r="M477" s="73">
        <v>0</v>
      </c>
      <c r="N477" s="74">
        <v>0</v>
      </c>
      <c r="O477" s="73">
        <v>0</v>
      </c>
      <c r="P477" s="74">
        <v>500000</v>
      </c>
      <c r="Q477" s="73">
        <v>49003917</v>
      </c>
      <c r="R477" s="71" t="s">
        <v>625</v>
      </c>
      <c r="S477" s="71">
        <v>7414000005</v>
      </c>
      <c r="AB477"/>
      <c r="AC477"/>
    </row>
    <row r="478" spans="1:29" x14ac:dyDescent="0.25">
      <c r="A478" t="str">
        <f t="shared" si="8"/>
        <v xml:space="preserve">1034042NM 15               </v>
      </c>
      <c r="B478" s="71">
        <v>1034042</v>
      </c>
      <c r="C478" s="71" t="s">
        <v>694</v>
      </c>
      <c r="D478" s="71" t="s">
        <v>464</v>
      </c>
      <c r="E478" s="71" t="s">
        <v>623</v>
      </c>
      <c r="F478" s="71" t="s">
        <v>624</v>
      </c>
      <c r="G478" s="74">
        <v>111691</v>
      </c>
      <c r="H478" s="72">
        <v>754.31346599999995</v>
      </c>
      <c r="I478" s="73">
        <v>84250025.331006005</v>
      </c>
      <c r="J478" s="72">
        <v>556.69089936</v>
      </c>
      <c r="K478" s="73">
        <v>22072662.090588242</v>
      </c>
      <c r="L478" s="74">
        <v>0</v>
      </c>
      <c r="M478" s="73">
        <v>0</v>
      </c>
      <c r="N478" s="74">
        <v>0</v>
      </c>
      <c r="O478" s="73">
        <v>0</v>
      </c>
      <c r="P478" s="74">
        <v>111691</v>
      </c>
      <c r="Q478" s="73">
        <v>84250025.331006005</v>
      </c>
      <c r="R478" s="71" t="s">
        <v>625</v>
      </c>
      <c r="S478" s="71">
        <v>7414000005</v>
      </c>
      <c r="AB478"/>
      <c r="AC478"/>
    </row>
    <row r="479" spans="1:29" x14ac:dyDescent="0.25">
      <c r="A479" t="str">
        <f t="shared" si="8"/>
        <v xml:space="preserve">1034042PEMEX 13-2          </v>
      </c>
      <c r="B479" s="71">
        <v>1034042</v>
      </c>
      <c r="C479" s="71" t="s">
        <v>694</v>
      </c>
      <c r="D479" s="71" t="s">
        <v>545</v>
      </c>
      <c r="E479" s="71" t="s">
        <v>623</v>
      </c>
      <c r="F479" s="71" t="s">
        <v>624</v>
      </c>
      <c r="G479" s="74">
        <v>0</v>
      </c>
      <c r="H479" s="72">
        <v>0</v>
      </c>
      <c r="I479" s="73">
        <v>0</v>
      </c>
      <c r="J479" s="72">
        <v>0</v>
      </c>
      <c r="K479" s="73">
        <v>0</v>
      </c>
      <c r="L479" s="74">
        <v>0</v>
      </c>
      <c r="M479" s="73">
        <v>0</v>
      </c>
      <c r="N479" s="74">
        <v>0</v>
      </c>
      <c r="O479" s="73">
        <v>0</v>
      </c>
      <c r="P479" s="74">
        <v>0</v>
      </c>
      <c r="Q479" s="73">
        <v>0</v>
      </c>
      <c r="R479" s="71" t="s">
        <v>625</v>
      </c>
      <c r="S479" s="71">
        <v>7414000005</v>
      </c>
      <c r="AB479"/>
      <c r="AC479"/>
    </row>
    <row r="480" spans="1:29" x14ac:dyDescent="0.25">
      <c r="A480" t="str">
        <f t="shared" si="8"/>
        <v xml:space="preserve">1034042PEMEX 14U           </v>
      </c>
      <c r="B480" s="71">
        <v>1034042</v>
      </c>
      <c r="C480" s="71" t="s">
        <v>694</v>
      </c>
      <c r="D480" s="71" t="s">
        <v>504</v>
      </c>
      <c r="E480" s="71" t="s">
        <v>623</v>
      </c>
      <c r="F480" s="71" t="s">
        <v>624</v>
      </c>
      <c r="G480" s="74">
        <v>67963873</v>
      </c>
      <c r="H480" s="72">
        <v>0.985877</v>
      </c>
      <c r="I480" s="73">
        <v>67004019.221620999</v>
      </c>
      <c r="J480" s="72">
        <v>0.86428399997157312</v>
      </c>
      <c r="K480" s="73">
        <v>8263931.2116210004</v>
      </c>
      <c r="L480" s="74">
        <v>0</v>
      </c>
      <c r="M480" s="73">
        <v>0</v>
      </c>
      <c r="N480" s="74">
        <v>0</v>
      </c>
      <c r="O480" s="73">
        <v>0</v>
      </c>
      <c r="P480" s="74">
        <v>67963873</v>
      </c>
      <c r="Q480" s="73">
        <v>67004019.221620999</v>
      </c>
      <c r="R480" s="71" t="s">
        <v>625</v>
      </c>
      <c r="S480" s="71">
        <v>7414000005</v>
      </c>
      <c r="AB480"/>
      <c r="AC480"/>
    </row>
    <row r="481" spans="1:29" x14ac:dyDescent="0.25">
      <c r="A481" t="str">
        <f t="shared" si="8"/>
        <v xml:space="preserve">1034042RSP *               </v>
      </c>
      <c r="B481" s="71">
        <v>1034042</v>
      </c>
      <c r="C481" s="71" t="s">
        <v>694</v>
      </c>
      <c r="D481" s="71" t="s">
        <v>501</v>
      </c>
      <c r="E481" s="71" t="s">
        <v>623</v>
      </c>
      <c r="F481" s="71" t="s">
        <v>624</v>
      </c>
      <c r="G481" s="74">
        <v>0</v>
      </c>
      <c r="H481" s="72">
        <v>0</v>
      </c>
      <c r="I481" s="73">
        <v>0</v>
      </c>
      <c r="J481" s="72">
        <v>0</v>
      </c>
      <c r="K481" s="73">
        <v>0</v>
      </c>
      <c r="L481" s="74">
        <v>0</v>
      </c>
      <c r="M481" s="73">
        <v>0</v>
      </c>
      <c r="N481" s="74">
        <v>0</v>
      </c>
      <c r="O481" s="73">
        <v>0</v>
      </c>
      <c r="P481" s="74">
        <v>0</v>
      </c>
      <c r="Q481" s="73">
        <v>0</v>
      </c>
      <c r="R481" s="71" t="s">
        <v>625</v>
      </c>
      <c r="S481" s="71">
        <v>7414000005</v>
      </c>
      <c r="AB481"/>
      <c r="AC481"/>
    </row>
    <row r="482" spans="1:29" x14ac:dyDescent="0.25">
      <c r="A482" t="str">
        <f t="shared" si="8"/>
        <v xml:space="preserve">1034042SAM-RVG E           </v>
      </c>
      <c r="B482" s="71">
        <v>1034042</v>
      </c>
      <c r="C482" s="71" t="s">
        <v>694</v>
      </c>
      <c r="D482" s="71" t="s">
        <v>505</v>
      </c>
      <c r="E482" s="71" t="s">
        <v>623</v>
      </c>
      <c r="F482" s="71" t="s">
        <v>624</v>
      </c>
      <c r="G482" s="74">
        <v>77169979</v>
      </c>
      <c r="H482" s="72">
        <v>3.6931539999999998</v>
      </c>
      <c r="I482" s="73">
        <v>285000616.62376601</v>
      </c>
      <c r="J482" s="72">
        <v>3.3742835966043221</v>
      </c>
      <c r="K482" s="73">
        <v>24607222.333765998</v>
      </c>
      <c r="L482" s="74">
        <v>0</v>
      </c>
      <c r="M482" s="73">
        <v>0</v>
      </c>
      <c r="N482" s="74">
        <v>0</v>
      </c>
      <c r="O482" s="73">
        <v>0</v>
      </c>
      <c r="P482" s="74">
        <v>77169979</v>
      </c>
      <c r="Q482" s="73">
        <v>285000616.62376601</v>
      </c>
      <c r="R482" s="71" t="s">
        <v>625</v>
      </c>
      <c r="S482" s="71">
        <v>7414000005</v>
      </c>
      <c r="AB482"/>
      <c r="AC482"/>
    </row>
    <row r="483" spans="1:29" x14ac:dyDescent="0.25">
      <c r="A483" t="str">
        <f t="shared" si="8"/>
        <v xml:space="preserve">1034042SPSM *              </v>
      </c>
      <c r="B483" s="71">
        <v>1034042</v>
      </c>
      <c r="C483" s="71" t="s">
        <v>694</v>
      </c>
      <c r="D483" s="71" t="s">
        <v>393</v>
      </c>
      <c r="E483" s="71" t="s">
        <v>623</v>
      </c>
      <c r="F483" s="71" t="s">
        <v>624</v>
      </c>
      <c r="G483" s="74">
        <v>107401</v>
      </c>
      <c r="H483" s="72">
        <v>765.92388300000005</v>
      </c>
      <c r="I483" s="73">
        <v>82260990.958083004</v>
      </c>
      <c r="J483" s="72">
        <v>774.55908295999996</v>
      </c>
      <c r="K483" s="73">
        <v>-927429.11090395995</v>
      </c>
      <c r="L483" s="74">
        <v>0</v>
      </c>
      <c r="M483" s="73">
        <v>0</v>
      </c>
      <c r="N483" s="74">
        <v>0</v>
      </c>
      <c r="O483" s="73">
        <v>0</v>
      </c>
      <c r="P483" s="74">
        <v>107401</v>
      </c>
      <c r="Q483" s="73">
        <v>82260990.958083004</v>
      </c>
      <c r="R483" s="71" t="s">
        <v>625</v>
      </c>
      <c r="S483" s="71">
        <v>7414000005</v>
      </c>
      <c r="AB483"/>
      <c r="AC483"/>
    </row>
    <row r="484" spans="1:29" x14ac:dyDescent="0.25">
      <c r="A484" t="str">
        <f t="shared" si="8"/>
        <v xml:space="preserve">1034042STER-OP E3          </v>
      </c>
      <c r="B484" s="71">
        <v>1034042</v>
      </c>
      <c r="C484" s="71" t="s">
        <v>694</v>
      </c>
      <c r="D484" s="71" t="s">
        <v>394</v>
      </c>
      <c r="E484" s="71" t="s">
        <v>623</v>
      </c>
      <c r="F484" s="71" t="s">
        <v>624</v>
      </c>
      <c r="G484" s="74">
        <v>155820</v>
      </c>
      <c r="H484" s="72">
        <v>684.88915799999995</v>
      </c>
      <c r="I484" s="73">
        <v>106719428.59955999</v>
      </c>
      <c r="J484" s="72">
        <v>678.82988460126592</v>
      </c>
      <c r="K484" s="73">
        <v>944155.98099075002</v>
      </c>
      <c r="L484" s="74">
        <v>0</v>
      </c>
      <c r="M484" s="73">
        <v>0</v>
      </c>
      <c r="N484" s="74">
        <v>0</v>
      </c>
      <c r="O484" s="73">
        <v>0</v>
      </c>
      <c r="P484" s="74">
        <v>155820</v>
      </c>
      <c r="Q484" s="73">
        <v>106719428.59955999</v>
      </c>
      <c r="R484" s="71" t="s">
        <v>625</v>
      </c>
      <c r="S484" s="71">
        <v>7414000005</v>
      </c>
      <c r="AB484"/>
      <c r="AC484"/>
    </row>
    <row r="485" spans="1:29" x14ac:dyDescent="0.25">
      <c r="A485" t="str">
        <f t="shared" si="8"/>
        <v xml:space="preserve">1034042UDIBONO 281130      </v>
      </c>
      <c r="B485" s="71">
        <v>1034042</v>
      </c>
      <c r="C485" s="71" t="s">
        <v>694</v>
      </c>
      <c r="D485" s="71" t="s">
        <v>395</v>
      </c>
      <c r="E485" s="71" t="s">
        <v>623</v>
      </c>
      <c r="F485" s="71" t="s">
        <v>624</v>
      </c>
      <c r="G485" s="74">
        <v>113092</v>
      </c>
      <c r="H485" s="72">
        <v>772.926965</v>
      </c>
      <c r="I485" s="73">
        <v>87411856.325780004</v>
      </c>
      <c r="J485" s="72">
        <v>784.86759003999998</v>
      </c>
      <c r="K485" s="73">
        <v>-1350389.1670236799</v>
      </c>
      <c r="L485" s="74">
        <v>0</v>
      </c>
      <c r="M485" s="73">
        <v>0</v>
      </c>
      <c r="N485" s="74">
        <v>0</v>
      </c>
      <c r="O485" s="73">
        <v>0</v>
      </c>
      <c r="P485" s="74">
        <v>113092</v>
      </c>
      <c r="Q485" s="73">
        <v>87411856.325780004</v>
      </c>
      <c r="R485" s="71" t="s">
        <v>625</v>
      </c>
      <c r="S485" s="71">
        <v>7414000005</v>
      </c>
      <c r="AB485"/>
      <c r="AC485"/>
    </row>
    <row r="486" spans="1:29" x14ac:dyDescent="0.25">
      <c r="A486" t="str">
        <f t="shared" si="8"/>
        <v xml:space="preserve">1034042UDIBONO 311127      </v>
      </c>
      <c r="B486" s="71">
        <v>1034042</v>
      </c>
      <c r="C486" s="71" t="s">
        <v>694</v>
      </c>
      <c r="D486" s="71" t="s">
        <v>396</v>
      </c>
      <c r="E486" s="71" t="s">
        <v>623</v>
      </c>
      <c r="F486" s="71" t="s">
        <v>624</v>
      </c>
      <c r="G486" s="74">
        <v>107848</v>
      </c>
      <c r="H486" s="72">
        <v>721.59464000000003</v>
      </c>
      <c r="I486" s="73">
        <v>77822538.734720007</v>
      </c>
      <c r="J486" s="72">
        <v>731.96325825999998</v>
      </c>
      <c r="K486" s="73">
        <v>-1118234.74210448</v>
      </c>
      <c r="L486" s="74">
        <v>0</v>
      </c>
      <c r="M486" s="73">
        <v>0</v>
      </c>
      <c r="N486" s="74">
        <v>0</v>
      </c>
      <c r="O486" s="73">
        <v>0</v>
      </c>
      <c r="P486" s="74">
        <v>107848</v>
      </c>
      <c r="Q486" s="73">
        <v>77822538.734720007</v>
      </c>
      <c r="R486" s="71" t="s">
        <v>625</v>
      </c>
      <c r="S486" s="71">
        <v>7414000005</v>
      </c>
      <c r="AB486"/>
      <c r="AC486"/>
    </row>
    <row r="487" spans="1:29" x14ac:dyDescent="0.25">
      <c r="A487" t="str">
        <f t="shared" si="8"/>
        <v xml:space="preserve">1034042UDIBONO 351122      </v>
      </c>
      <c r="B487" s="71">
        <v>1034042</v>
      </c>
      <c r="C487" s="71" t="s">
        <v>694</v>
      </c>
      <c r="D487" s="71" t="s">
        <v>397</v>
      </c>
      <c r="E487" s="71" t="s">
        <v>623</v>
      </c>
      <c r="F487" s="71" t="s">
        <v>624</v>
      </c>
      <c r="G487" s="74">
        <v>52000</v>
      </c>
      <c r="H487" s="72">
        <v>635.96311900000001</v>
      </c>
      <c r="I487" s="73">
        <v>33070082.188000001</v>
      </c>
      <c r="J487" s="72">
        <v>647.65876318000005</v>
      </c>
      <c r="K487" s="73">
        <v>-608173.49736000004</v>
      </c>
      <c r="L487" s="74">
        <v>0</v>
      </c>
      <c r="M487" s="73">
        <v>0</v>
      </c>
      <c r="N487" s="74">
        <v>0</v>
      </c>
      <c r="O487" s="73">
        <v>0</v>
      </c>
      <c r="P487" s="74">
        <v>52000</v>
      </c>
      <c r="Q487" s="73">
        <v>33070082.188000001</v>
      </c>
      <c r="R487" s="71" t="s">
        <v>625</v>
      </c>
      <c r="S487" s="71">
        <v>7414000005</v>
      </c>
      <c r="AB487"/>
      <c r="AC487"/>
    </row>
    <row r="488" spans="1:29" x14ac:dyDescent="0.25">
      <c r="A488" t="str">
        <f t="shared" si="8"/>
        <v xml:space="preserve">1034042UDIBONO 401115      </v>
      </c>
      <c r="B488" s="71">
        <v>1034042</v>
      </c>
      <c r="C488" s="71" t="s">
        <v>694</v>
      </c>
      <c r="D488" s="71" t="s">
        <v>398</v>
      </c>
      <c r="E488" s="71" t="s">
        <v>623</v>
      </c>
      <c r="F488" s="71" t="s">
        <v>624</v>
      </c>
      <c r="G488" s="74">
        <v>82137</v>
      </c>
      <c r="H488" s="72">
        <v>709.36974099999998</v>
      </c>
      <c r="I488" s="73">
        <v>58265502.416516997</v>
      </c>
      <c r="J488" s="72">
        <v>721.00412080537751</v>
      </c>
      <c r="K488" s="73">
        <v>-955613.05407428998</v>
      </c>
      <c r="L488" s="74">
        <v>0</v>
      </c>
      <c r="M488" s="73">
        <v>0</v>
      </c>
      <c r="N488" s="74">
        <v>0</v>
      </c>
      <c r="O488" s="73">
        <v>0</v>
      </c>
      <c r="P488" s="74">
        <v>82137</v>
      </c>
      <c r="Q488" s="73">
        <v>58265502.416516997</v>
      </c>
      <c r="R488" s="71" t="s">
        <v>625</v>
      </c>
      <c r="S488" s="71">
        <v>7414000005</v>
      </c>
      <c r="AB488"/>
      <c r="AC488"/>
    </row>
    <row r="489" spans="1:29" x14ac:dyDescent="0.25">
      <c r="A489" t="str">
        <f t="shared" si="8"/>
        <v xml:space="preserve">1034042UDIBONO 431112      </v>
      </c>
      <c r="B489" s="71">
        <v>1034042</v>
      </c>
      <c r="C489" s="71" t="s">
        <v>694</v>
      </c>
      <c r="D489" s="71" t="s">
        <v>399</v>
      </c>
      <c r="E489" s="71" t="s">
        <v>623</v>
      </c>
      <c r="F489" s="71" t="s">
        <v>624</v>
      </c>
      <c r="G489" s="74">
        <v>138946</v>
      </c>
      <c r="H489" s="72">
        <v>694.41118700000004</v>
      </c>
      <c r="I489" s="73">
        <v>96485656.788902</v>
      </c>
      <c r="J489" s="72">
        <v>710.43343324</v>
      </c>
      <c r="K489" s="73">
        <v>-2226227.0260630399</v>
      </c>
      <c r="L489" s="74">
        <v>0</v>
      </c>
      <c r="M489" s="73">
        <v>0</v>
      </c>
      <c r="N489" s="74">
        <v>0</v>
      </c>
      <c r="O489" s="73">
        <v>0</v>
      </c>
      <c r="P489" s="74">
        <v>138946</v>
      </c>
      <c r="Q489" s="73">
        <v>96485656.788902</v>
      </c>
      <c r="R489" s="71" t="s">
        <v>625</v>
      </c>
      <c r="S489" s="71">
        <v>7414000005</v>
      </c>
      <c r="AB489"/>
      <c r="AC489"/>
    </row>
    <row r="490" spans="1:29" x14ac:dyDescent="0.25">
      <c r="A490" t="str">
        <f t="shared" si="8"/>
        <v xml:space="preserve">1034042UDIBONO 461108      </v>
      </c>
      <c r="B490" s="71">
        <v>1034042</v>
      </c>
      <c r="C490" s="71" t="s">
        <v>694</v>
      </c>
      <c r="D490" s="71" t="s">
        <v>465</v>
      </c>
      <c r="E490" s="71" t="s">
        <v>623</v>
      </c>
      <c r="F490" s="71" t="s">
        <v>624</v>
      </c>
      <c r="G490" s="74">
        <v>73776247</v>
      </c>
      <c r="H490" s="72">
        <v>2.424715</v>
      </c>
      <c r="I490" s="73">
        <v>178886372.744605</v>
      </c>
      <c r="J490" s="72">
        <v>1.7600941960357512</v>
      </c>
      <c r="K490" s="73">
        <v>49033228.594604999</v>
      </c>
      <c r="L490" s="74">
        <v>0</v>
      </c>
      <c r="M490" s="73">
        <v>0</v>
      </c>
      <c r="N490" s="74">
        <v>0</v>
      </c>
      <c r="O490" s="73">
        <v>0</v>
      </c>
      <c r="P490" s="74">
        <v>73776247</v>
      </c>
      <c r="Q490" s="73">
        <v>178886372.744605</v>
      </c>
      <c r="R490" s="71" t="s">
        <v>625</v>
      </c>
      <c r="S490" s="71">
        <v>7414000005</v>
      </c>
      <c r="AB490"/>
      <c r="AC490"/>
    </row>
    <row r="491" spans="1:29" x14ac:dyDescent="0.25">
      <c r="A491" t="str">
        <f t="shared" si="8"/>
        <v xml:space="preserve">1034042UDIBONO 501103      </v>
      </c>
      <c r="B491" s="71">
        <v>1034042</v>
      </c>
      <c r="C491" s="71" t="s">
        <v>694</v>
      </c>
      <c r="D491" s="71" t="s">
        <v>438</v>
      </c>
      <c r="E491" s="71" t="s">
        <v>623</v>
      </c>
      <c r="F491" s="71" t="s">
        <v>624</v>
      </c>
      <c r="G491" s="74">
        <v>113110</v>
      </c>
      <c r="H491" s="72">
        <v>100.04252700000001</v>
      </c>
      <c r="I491" s="73">
        <v>11315810.228970001</v>
      </c>
      <c r="J491" s="72">
        <v>100</v>
      </c>
      <c r="K491" s="73">
        <v>4810.2289700000001</v>
      </c>
      <c r="L491" s="74">
        <v>0</v>
      </c>
      <c r="M491" s="73">
        <v>0</v>
      </c>
      <c r="N491" s="74">
        <v>0</v>
      </c>
      <c r="O491" s="73">
        <v>0</v>
      </c>
      <c r="P491" s="74">
        <v>113110</v>
      </c>
      <c r="Q491" s="73">
        <v>11315810.228970001</v>
      </c>
      <c r="R491" s="71" t="s">
        <v>625</v>
      </c>
      <c r="S491" s="71">
        <v>7414000005</v>
      </c>
      <c r="AB491"/>
      <c r="AC491"/>
    </row>
    <row r="492" spans="1:29" x14ac:dyDescent="0.25">
      <c r="A492" t="str">
        <f t="shared" si="8"/>
        <v xml:space="preserve">1034042USA-EQ ED           </v>
      </c>
      <c r="B492" s="71">
        <v>1034700</v>
      </c>
      <c r="C492" s="71" t="s">
        <v>695</v>
      </c>
      <c r="D492" s="71" t="s">
        <v>419</v>
      </c>
      <c r="E492" s="71" t="s">
        <v>623</v>
      </c>
      <c r="F492" s="71" t="s">
        <v>624</v>
      </c>
      <c r="G492" s="74">
        <v>0</v>
      </c>
      <c r="H492" s="72">
        <v>0</v>
      </c>
      <c r="I492" s="73">
        <v>0</v>
      </c>
      <c r="J492" s="72">
        <v>0</v>
      </c>
      <c r="K492" s="73">
        <v>0</v>
      </c>
      <c r="L492" s="74">
        <v>0</v>
      </c>
      <c r="M492" s="73">
        <v>0</v>
      </c>
      <c r="N492" s="74">
        <v>0</v>
      </c>
      <c r="O492" s="73">
        <v>0</v>
      </c>
      <c r="P492" s="74">
        <v>0</v>
      </c>
      <c r="Q492" s="73">
        <v>0</v>
      </c>
      <c r="R492" s="71" t="s">
        <v>625</v>
      </c>
      <c r="S492" s="71">
        <v>7414000005</v>
      </c>
      <c r="AB492"/>
      <c r="AC492"/>
    </row>
    <row r="493" spans="1:29" x14ac:dyDescent="0.25">
      <c r="A493" t="str">
        <f t="shared" si="8"/>
        <v xml:space="preserve">1034042VWLEASE 22-2        </v>
      </c>
      <c r="B493" s="71">
        <v>1034700</v>
      </c>
      <c r="C493" s="71" t="s">
        <v>695</v>
      </c>
      <c r="D493" s="71" t="s">
        <v>389</v>
      </c>
      <c r="E493" s="71" t="s">
        <v>623</v>
      </c>
      <c r="F493" s="71" t="s">
        <v>624</v>
      </c>
      <c r="G493" s="74">
        <v>1795043</v>
      </c>
      <c r="H493" s="72">
        <v>3.3967719999999999</v>
      </c>
      <c r="I493" s="73">
        <v>6097351.8011959996</v>
      </c>
      <c r="J493" s="72">
        <v>3.3902456319987877</v>
      </c>
      <c r="K493" s="73">
        <v>11715.111196</v>
      </c>
      <c r="L493" s="74">
        <v>0</v>
      </c>
      <c r="M493" s="73">
        <v>0</v>
      </c>
      <c r="N493" s="74">
        <v>0</v>
      </c>
      <c r="O493" s="73">
        <v>0</v>
      </c>
      <c r="P493" s="74">
        <v>1795043</v>
      </c>
      <c r="Q493" s="73">
        <v>6097351.8011959996</v>
      </c>
      <c r="R493" s="71" t="s">
        <v>625</v>
      </c>
      <c r="S493" s="71">
        <v>7414000005</v>
      </c>
      <c r="AB493"/>
      <c r="AC493"/>
    </row>
    <row r="494" spans="1:29" x14ac:dyDescent="0.25">
      <c r="A494" t="str">
        <f t="shared" si="8"/>
        <v xml:space="preserve">1034700IENOVA *            </v>
      </c>
      <c r="B494" s="71">
        <v>1036525</v>
      </c>
      <c r="C494" s="71" t="s">
        <v>696</v>
      </c>
      <c r="D494" s="71" t="s">
        <v>363</v>
      </c>
      <c r="E494" s="71" t="s">
        <v>623</v>
      </c>
      <c r="F494" s="71" t="s">
        <v>624</v>
      </c>
      <c r="G494" s="74">
        <v>6987</v>
      </c>
      <c r="H494" s="72">
        <v>9.4935880000000008</v>
      </c>
      <c r="I494" s="73">
        <v>66331.699355999997</v>
      </c>
      <c r="J494" s="72">
        <v>8.4405498100000003</v>
      </c>
      <c r="K494" s="73">
        <v>7357.5778335300001</v>
      </c>
      <c r="L494" s="74">
        <v>0</v>
      </c>
      <c r="M494" s="73">
        <v>0</v>
      </c>
      <c r="N494" s="74">
        <v>0</v>
      </c>
      <c r="O494" s="73">
        <v>0</v>
      </c>
      <c r="P494" s="74">
        <v>6987</v>
      </c>
      <c r="Q494" s="73">
        <v>66331.699355999997</v>
      </c>
      <c r="R494" s="71" t="s">
        <v>625</v>
      </c>
      <c r="S494" s="71">
        <v>7414000005</v>
      </c>
      <c r="AB494"/>
      <c r="AC494"/>
    </row>
    <row r="495" spans="1:29" x14ac:dyDescent="0.25">
      <c r="A495" t="str">
        <f t="shared" si="8"/>
        <v xml:space="preserve">1034700STERGOB ED          </v>
      </c>
      <c r="B495" s="71">
        <v>1036525</v>
      </c>
      <c r="C495" s="71" t="s">
        <v>696</v>
      </c>
      <c r="D495" s="71" t="s">
        <v>409</v>
      </c>
      <c r="E495" s="71" t="s">
        <v>623</v>
      </c>
      <c r="F495" s="71" t="s">
        <v>624</v>
      </c>
      <c r="G495" s="74">
        <v>9530</v>
      </c>
      <c r="H495" s="72">
        <v>9.3381629999999998</v>
      </c>
      <c r="I495" s="73">
        <v>88992.69339</v>
      </c>
      <c r="J495" s="72">
        <v>8.3307969100000001</v>
      </c>
      <c r="K495" s="73">
        <v>9600.1988376999998</v>
      </c>
      <c r="L495" s="74">
        <v>0</v>
      </c>
      <c r="M495" s="73">
        <v>0</v>
      </c>
      <c r="N495" s="74">
        <v>0</v>
      </c>
      <c r="O495" s="73">
        <v>0</v>
      </c>
      <c r="P495" s="74">
        <v>9530</v>
      </c>
      <c r="Q495" s="73">
        <v>88992.69339</v>
      </c>
      <c r="R495" s="71" t="s">
        <v>625</v>
      </c>
      <c r="S495" s="71">
        <v>7414000005</v>
      </c>
      <c r="AB495"/>
      <c r="AC495"/>
    </row>
    <row r="496" spans="1:29" x14ac:dyDescent="0.25">
      <c r="A496" t="str">
        <f t="shared" si="8"/>
        <v xml:space="preserve">1036525CETES 241003        </v>
      </c>
      <c r="B496" s="71">
        <v>1036525</v>
      </c>
      <c r="C496" s="71" t="s">
        <v>696</v>
      </c>
      <c r="D496" s="71" t="s">
        <v>364</v>
      </c>
      <c r="E496" s="71" t="s">
        <v>623</v>
      </c>
      <c r="F496" s="71" t="s">
        <v>624</v>
      </c>
      <c r="G496" s="74">
        <v>11810</v>
      </c>
      <c r="H496" s="72">
        <v>9.190137</v>
      </c>
      <c r="I496" s="73">
        <v>108535.51797</v>
      </c>
      <c r="J496" s="72">
        <v>8.2167848896359015</v>
      </c>
      <c r="K496" s="73">
        <v>11495.288423399999</v>
      </c>
      <c r="L496" s="74">
        <v>0</v>
      </c>
      <c r="M496" s="73">
        <v>0</v>
      </c>
      <c r="N496" s="74">
        <v>0</v>
      </c>
      <c r="O496" s="73">
        <v>0</v>
      </c>
      <c r="P496" s="74">
        <v>11810</v>
      </c>
      <c r="Q496" s="73">
        <v>108535.51797</v>
      </c>
      <c r="R496" s="71" t="s">
        <v>625</v>
      </c>
      <c r="S496" s="71">
        <v>7414000005</v>
      </c>
      <c r="AB496"/>
      <c r="AC496"/>
    </row>
    <row r="497" spans="1:29" x14ac:dyDescent="0.25">
      <c r="A497" t="str">
        <f t="shared" si="8"/>
        <v xml:space="preserve">1036525CETES 241128        </v>
      </c>
      <c r="B497" s="71">
        <v>1036525</v>
      </c>
      <c r="C497" s="71" t="s">
        <v>696</v>
      </c>
      <c r="D497" s="71" t="s">
        <v>554</v>
      </c>
      <c r="E497" s="71" t="s">
        <v>623</v>
      </c>
      <c r="F497" s="71" t="s">
        <v>624</v>
      </c>
      <c r="G497" s="74">
        <v>3060</v>
      </c>
      <c r="H497" s="72">
        <v>8.3813510000000004</v>
      </c>
      <c r="I497" s="73">
        <v>25646.93406</v>
      </c>
      <c r="J497" s="72">
        <v>8.2700011300000007</v>
      </c>
      <c r="K497" s="73">
        <v>340.73060220000002</v>
      </c>
      <c r="L497" s="74">
        <v>0</v>
      </c>
      <c r="M497" s="73">
        <v>0</v>
      </c>
      <c r="N497" s="74">
        <v>0</v>
      </c>
      <c r="O497" s="73">
        <v>0</v>
      </c>
      <c r="P497" s="74">
        <v>3060</v>
      </c>
      <c r="Q497" s="73">
        <v>25646.93406</v>
      </c>
      <c r="R497" s="71" t="s">
        <v>625</v>
      </c>
      <c r="S497" s="71">
        <v>7414000005</v>
      </c>
      <c r="AB497"/>
      <c r="AC497"/>
    </row>
    <row r="498" spans="1:29" x14ac:dyDescent="0.25">
      <c r="A498" t="str">
        <f t="shared" si="8"/>
        <v xml:space="preserve">1036525CETES 250123        </v>
      </c>
      <c r="B498" s="71">
        <v>1036525</v>
      </c>
      <c r="C498" s="71" t="s">
        <v>696</v>
      </c>
      <c r="D498" s="71" t="s">
        <v>613</v>
      </c>
      <c r="E498" s="71" t="s">
        <v>623</v>
      </c>
      <c r="F498" s="71" t="s">
        <v>624</v>
      </c>
      <c r="G498" s="74">
        <v>6190</v>
      </c>
      <c r="H498" s="72">
        <v>8.2580650000000002</v>
      </c>
      <c r="I498" s="73">
        <v>51117.422350000001</v>
      </c>
      <c r="J498" s="72">
        <v>8.2501711100000001</v>
      </c>
      <c r="K498" s="73">
        <v>48.863179100000004</v>
      </c>
      <c r="L498" s="74">
        <v>0</v>
      </c>
      <c r="M498" s="73">
        <v>0</v>
      </c>
      <c r="N498" s="74">
        <v>0</v>
      </c>
      <c r="O498" s="73">
        <v>0</v>
      </c>
      <c r="P498" s="74">
        <v>6190</v>
      </c>
      <c r="Q498" s="73">
        <v>51117.422350000001</v>
      </c>
      <c r="R498" s="71" t="s">
        <v>625</v>
      </c>
      <c r="S498" s="71">
        <v>7414000005</v>
      </c>
      <c r="AB498"/>
      <c r="AC498"/>
    </row>
    <row r="499" spans="1:29" x14ac:dyDescent="0.25">
      <c r="A499" t="str">
        <f t="shared" si="8"/>
        <v xml:space="preserve">1036525CETES 251224        </v>
      </c>
      <c r="B499" s="71">
        <v>1036525</v>
      </c>
      <c r="C499" s="71" t="s">
        <v>696</v>
      </c>
      <c r="D499" s="71" t="s">
        <v>375</v>
      </c>
      <c r="E499" s="71" t="s">
        <v>623</v>
      </c>
      <c r="F499" s="71" t="s">
        <v>624</v>
      </c>
      <c r="G499" s="74">
        <v>220</v>
      </c>
      <c r="H499" s="72">
        <v>98.730349000000004</v>
      </c>
      <c r="I499" s="73">
        <v>21720.676780000002</v>
      </c>
      <c r="J499" s="72">
        <v>104.68824137999999</v>
      </c>
      <c r="K499" s="73">
        <v>-1310.7363236000001</v>
      </c>
      <c r="L499" s="74">
        <v>0</v>
      </c>
      <c r="M499" s="73">
        <v>0</v>
      </c>
      <c r="N499" s="74">
        <v>0</v>
      </c>
      <c r="O499" s="73">
        <v>0</v>
      </c>
      <c r="P499" s="74">
        <v>220</v>
      </c>
      <c r="Q499" s="73">
        <v>21720.676780000002</v>
      </c>
      <c r="R499" s="71" t="s">
        <v>625</v>
      </c>
      <c r="S499" s="71">
        <v>7414000005</v>
      </c>
      <c r="AB499"/>
      <c r="AC499"/>
    </row>
    <row r="500" spans="1:29" x14ac:dyDescent="0.25">
      <c r="A500" t="str">
        <f t="shared" si="8"/>
        <v xml:space="preserve">1036525CETES 260219        </v>
      </c>
      <c r="B500" s="71">
        <v>1036525</v>
      </c>
      <c r="C500" s="71" t="s">
        <v>696</v>
      </c>
      <c r="D500" s="71" t="s">
        <v>376</v>
      </c>
      <c r="E500" s="71" t="s">
        <v>623</v>
      </c>
      <c r="F500" s="71" t="s">
        <v>624</v>
      </c>
      <c r="G500" s="74">
        <v>368</v>
      </c>
      <c r="H500" s="72">
        <v>99.247497999999993</v>
      </c>
      <c r="I500" s="73">
        <v>36523.079264</v>
      </c>
      <c r="J500" s="72">
        <v>116.19270716163044</v>
      </c>
      <c r="K500" s="73">
        <v>-6235.8369714800001</v>
      </c>
      <c r="L500" s="74">
        <v>0</v>
      </c>
      <c r="M500" s="73">
        <v>0</v>
      </c>
      <c r="N500" s="74">
        <v>0</v>
      </c>
      <c r="O500" s="73">
        <v>0</v>
      </c>
      <c r="P500" s="74">
        <v>368</v>
      </c>
      <c r="Q500" s="73">
        <v>36523.079264</v>
      </c>
      <c r="R500" s="71" t="s">
        <v>625</v>
      </c>
      <c r="S500" s="71">
        <v>7414000005</v>
      </c>
      <c r="AB500"/>
      <c r="AC500"/>
    </row>
    <row r="501" spans="1:29" x14ac:dyDescent="0.25">
      <c r="A501" t="str">
        <f t="shared" si="8"/>
        <v xml:space="preserve">1036525GOBFED 240905       </v>
      </c>
      <c r="B501" s="71">
        <v>1036525</v>
      </c>
      <c r="C501" s="71" t="s">
        <v>696</v>
      </c>
      <c r="D501" s="71" t="s">
        <v>377</v>
      </c>
      <c r="E501" s="71" t="s">
        <v>623</v>
      </c>
      <c r="F501" s="71" t="s">
        <v>624</v>
      </c>
      <c r="G501" s="74">
        <v>587</v>
      </c>
      <c r="H501" s="72">
        <v>94.973146999999997</v>
      </c>
      <c r="I501" s="73">
        <v>55749.237288999997</v>
      </c>
      <c r="J501" s="72">
        <v>90.009801730902893</v>
      </c>
      <c r="K501" s="73">
        <v>2913.4836729600001</v>
      </c>
      <c r="L501" s="74">
        <v>0</v>
      </c>
      <c r="M501" s="73">
        <v>0</v>
      </c>
      <c r="N501" s="74">
        <v>0</v>
      </c>
      <c r="O501" s="73">
        <v>0</v>
      </c>
      <c r="P501" s="74">
        <v>587</v>
      </c>
      <c r="Q501" s="73">
        <v>55749.237288999997</v>
      </c>
      <c r="R501" s="71" t="s">
        <v>625</v>
      </c>
      <c r="S501" s="71">
        <v>7414000005</v>
      </c>
      <c r="AB501"/>
      <c r="AC501"/>
    </row>
    <row r="502" spans="1:29" x14ac:dyDescent="0.25">
      <c r="A502" t="str">
        <f t="shared" si="8"/>
        <v xml:space="preserve">1036525GOBFED 241205       </v>
      </c>
      <c r="B502" s="71">
        <v>1036525</v>
      </c>
      <c r="C502" s="71" t="s">
        <v>696</v>
      </c>
      <c r="D502" s="71" t="s">
        <v>378</v>
      </c>
      <c r="E502" s="71" t="s">
        <v>623</v>
      </c>
      <c r="F502" s="71" t="s">
        <v>624</v>
      </c>
      <c r="G502" s="74">
        <v>349</v>
      </c>
      <c r="H502" s="72">
        <v>91.911821000000003</v>
      </c>
      <c r="I502" s="73">
        <v>32077.225528999999</v>
      </c>
      <c r="J502" s="72">
        <v>93.2088459</v>
      </c>
      <c r="K502" s="73">
        <v>-452.66169009999999</v>
      </c>
      <c r="L502" s="74">
        <v>0</v>
      </c>
      <c r="M502" s="73">
        <v>0</v>
      </c>
      <c r="N502" s="74">
        <v>0</v>
      </c>
      <c r="O502" s="73">
        <v>0</v>
      </c>
      <c r="P502" s="74">
        <v>349</v>
      </c>
      <c r="Q502" s="73">
        <v>32077.225528999999</v>
      </c>
      <c r="R502" s="71" t="s">
        <v>625</v>
      </c>
      <c r="S502" s="71">
        <v>7414000005</v>
      </c>
      <c r="AB502"/>
      <c r="AC502"/>
    </row>
    <row r="503" spans="1:29" x14ac:dyDescent="0.25">
      <c r="A503" t="str">
        <f t="shared" si="8"/>
        <v xml:space="preserve">1036525GOBFED 250306       </v>
      </c>
      <c r="B503" s="71">
        <v>1036525</v>
      </c>
      <c r="C503" s="71" t="s">
        <v>696</v>
      </c>
      <c r="D503" s="71" t="s">
        <v>379</v>
      </c>
      <c r="E503" s="71" t="s">
        <v>623</v>
      </c>
      <c r="F503" s="71" t="s">
        <v>624</v>
      </c>
      <c r="G503" s="74">
        <v>344</v>
      </c>
      <c r="H503" s="72">
        <v>88.698122999999995</v>
      </c>
      <c r="I503" s="73">
        <v>30512.154311999999</v>
      </c>
      <c r="J503" s="72">
        <v>85.661432169622088</v>
      </c>
      <c r="K503" s="73">
        <v>1044.6216456499999</v>
      </c>
      <c r="L503" s="74">
        <v>0</v>
      </c>
      <c r="M503" s="73">
        <v>0</v>
      </c>
      <c r="N503" s="74">
        <v>0</v>
      </c>
      <c r="O503" s="73">
        <v>0</v>
      </c>
      <c r="P503" s="74">
        <v>344</v>
      </c>
      <c r="Q503" s="73">
        <v>30512.154311999999</v>
      </c>
      <c r="R503" s="71" t="s">
        <v>625</v>
      </c>
      <c r="S503" s="71">
        <v>7414000005</v>
      </c>
      <c r="AB503"/>
      <c r="AC503"/>
    </row>
    <row r="504" spans="1:29" x14ac:dyDescent="0.25">
      <c r="A504" t="str">
        <f t="shared" si="8"/>
        <v xml:space="preserve">1036525GOBFED 260305       </v>
      </c>
      <c r="B504" s="71">
        <v>1036525</v>
      </c>
      <c r="C504" s="71" t="s">
        <v>696</v>
      </c>
      <c r="D504" s="71" t="s">
        <v>380</v>
      </c>
      <c r="E504" s="71" t="s">
        <v>623</v>
      </c>
      <c r="F504" s="71" t="s">
        <v>624</v>
      </c>
      <c r="G504" s="74">
        <v>457</v>
      </c>
      <c r="H504" s="72">
        <v>93.314192000000006</v>
      </c>
      <c r="I504" s="73">
        <v>42644.585744000004</v>
      </c>
      <c r="J504" s="72">
        <v>84.247366270021885</v>
      </c>
      <c r="K504" s="73">
        <v>4143.5393586</v>
      </c>
      <c r="L504" s="74">
        <v>0</v>
      </c>
      <c r="M504" s="73">
        <v>0</v>
      </c>
      <c r="N504" s="74">
        <v>0</v>
      </c>
      <c r="O504" s="73">
        <v>0</v>
      </c>
      <c r="P504" s="74">
        <v>457</v>
      </c>
      <c r="Q504" s="73">
        <v>42644.585744000004</v>
      </c>
      <c r="R504" s="71" t="s">
        <v>625</v>
      </c>
      <c r="S504" s="71">
        <v>7414000005</v>
      </c>
      <c r="AB504"/>
      <c r="AC504"/>
    </row>
    <row r="505" spans="1:29" x14ac:dyDescent="0.25">
      <c r="A505" t="str">
        <f t="shared" si="8"/>
        <v xml:space="preserve">1036525GOBFED 270304       </v>
      </c>
      <c r="B505" s="71">
        <v>1036525</v>
      </c>
      <c r="C505" s="71" t="s">
        <v>696</v>
      </c>
      <c r="D505" s="71" t="s">
        <v>507</v>
      </c>
      <c r="E505" s="71" t="s">
        <v>623</v>
      </c>
      <c r="F505" s="71" t="s">
        <v>624</v>
      </c>
      <c r="G505" s="74">
        <v>320</v>
      </c>
      <c r="H505" s="72">
        <v>94.864168000000006</v>
      </c>
      <c r="I505" s="73">
        <v>30356.533759999998</v>
      </c>
      <c r="J505" s="72">
        <v>96.492442988125006</v>
      </c>
      <c r="K505" s="73">
        <v>-521.04799619999994</v>
      </c>
      <c r="L505" s="74">
        <v>0</v>
      </c>
      <c r="M505" s="73">
        <v>0</v>
      </c>
      <c r="N505" s="74">
        <v>0</v>
      </c>
      <c r="O505" s="73">
        <v>0</v>
      </c>
      <c r="P505" s="74">
        <v>320</v>
      </c>
      <c r="Q505" s="73">
        <v>30356.533759999998</v>
      </c>
      <c r="R505" s="71" t="s">
        <v>625</v>
      </c>
      <c r="S505" s="71">
        <v>7414000005</v>
      </c>
      <c r="AB505"/>
      <c r="AC505"/>
    </row>
    <row r="506" spans="1:29" x14ac:dyDescent="0.25">
      <c r="A506" t="str">
        <f t="shared" si="8"/>
        <v xml:space="preserve">1036525GOBFED 270603       </v>
      </c>
      <c r="B506" s="71">
        <v>1036525</v>
      </c>
      <c r="C506" s="71" t="s">
        <v>696</v>
      </c>
      <c r="D506" s="71" t="s">
        <v>381</v>
      </c>
      <c r="E506" s="71" t="s">
        <v>623</v>
      </c>
      <c r="F506" s="71" t="s">
        <v>624</v>
      </c>
      <c r="G506" s="74">
        <v>153</v>
      </c>
      <c r="H506" s="72">
        <v>94.870157000000006</v>
      </c>
      <c r="I506" s="73">
        <v>14515.134021</v>
      </c>
      <c r="J506" s="72">
        <v>96.692672049999999</v>
      </c>
      <c r="K506" s="73">
        <v>-278.84480265000002</v>
      </c>
      <c r="L506" s="74">
        <v>0</v>
      </c>
      <c r="M506" s="73">
        <v>0</v>
      </c>
      <c r="N506" s="74">
        <v>0</v>
      </c>
      <c r="O506" s="73">
        <v>0</v>
      </c>
      <c r="P506" s="74">
        <v>153</v>
      </c>
      <c r="Q506" s="73">
        <v>14515.134021</v>
      </c>
      <c r="R506" s="71" t="s">
        <v>625</v>
      </c>
      <c r="S506" s="71">
        <v>7414000005</v>
      </c>
      <c r="AB506"/>
      <c r="AC506"/>
    </row>
    <row r="507" spans="1:29" x14ac:dyDescent="0.25">
      <c r="A507" t="str">
        <f t="shared" si="8"/>
        <v xml:space="preserve">1036525GOBFED 290301       </v>
      </c>
      <c r="B507" s="71">
        <v>1036525</v>
      </c>
      <c r="C507" s="71" t="s">
        <v>696</v>
      </c>
      <c r="D507" s="71" t="s">
        <v>382</v>
      </c>
      <c r="E507" s="71" t="s">
        <v>623</v>
      </c>
      <c r="F507" s="71" t="s">
        <v>624</v>
      </c>
      <c r="G507" s="74">
        <v>570</v>
      </c>
      <c r="H507" s="72">
        <v>89.489464999999996</v>
      </c>
      <c r="I507" s="73">
        <v>51008.995049999998</v>
      </c>
      <c r="J507" s="72">
        <v>90.540416671052625</v>
      </c>
      <c r="K507" s="73">
        <v>-599.04245249999997</v>
      </c>
      <c r="L507" s="74">
        <v>0</v>
      </c>
      <c r="M507" s="73">
        <v>0</v>
      </c>
      <c r="N507" s="74">
        <v>0</v>
      </c>
      <c r="O507" s="73">
        <v>0</v>
      </c>
      <c r="P507" s="74">
        <v>570</v>
      </c>
      <c r="Q507" s="73">
        <v>51008.995049999998</v>
      </c>
      <c r="R507" s="71" t="s">
        <v>625</v>
      </c>
      <c r="S507" s="71">
        <v>7414000005</v>
      </c>
      <c r="AB507"/>
      <c r="AC507"/>
    </row>
    <row r="508" spans="1:29" x14ac:dyDescent="0.25">
      <c r="A508" t="str">
        <f t="shared" si="8"/>
        <v xml:space="preserve">1036525GOBFED 290531       </v>
      </c>
      <c r="B508" s="71">
        <v>1036525</v>
      </c>
      <c r="C508" s="71" t="s">
        <v>696</v>
      </c>
      <c r="D508" s="71" t="s">
        <v>383</v>
      </c>
      <c r="E508" s="71" t="s">
        <v>623</v>
      </c>
      <c r="F508" s="71" t="s">
        <v>624</v>
      </c>
      <c r="G508" s="74">
        <v>360</v>
      </c>
      <c r="H508" s="72">
        <v>86.197128000000006</v>
      </c>
      <c r="I508" s="73">
        <v>31030.966079999998</v>
      </c>
      <c r="J508" s="72">
        <v>89.903420600277784</v>
      </c>
      <c r="K508" s="73">
        <v>-1334.2653361</v>
      </c>
      <c r="L508" s="74">
        <v>0</v>
      </c>
      <c r="M508" s="73">
        <v>0</v>
      </c>
      <c r="N508" s="74">
        <v>0</v>
      </c>
      <c r="O508" s="73">
        <v>0</v>
      </c>
      <c r="P508" s="74">
        <v>360</v>
      </c>
      <c r="Q508" s="73">
        <v>31030.966079999998</v>
      </c>
      <c r="R508" s="71" t="s">
        <v>625</v>
      </c>
      <c r="S508" s="71">
        <v>7414000005</v>
      </c>
      <c r="AB508"/>
      <c r="AC508"/>
    </row>
    <row r="509" spans="1:29" x14ac:dyDescent="0.25">
      <c r="A509" t="str">
        <f t="shared" si="8"/>
        <v xml:space="preserve">1036525GOBFED 310529       </v>
      </c>
      <c r="B509" s="71">
        <v>1036525</v>
      </c>
      <c r="C509" s="71" t="s">
        <v>696</v>
      </c>
      <c r="D509" s="71" t="s">
        <v>427</v>
      </c>
      <c r="E509" s="71" t="s">
        <v>623</v>
      </c>
      <c r="F509" s="71" t="s">
        <v>624</v>
      </c>
      <c r="G509" s="74">
        <v>607</v>
      </c>
      <c r="H509" s="72">
        <v>86.469353999999996</v>
      </c>
      <c r="I509" s="73">
        <v>52486.897878000003</v>
      </c>
      <c r="J509" s="72">
        <v>92.967522502026355</v>
      </c>
      <c r="K509" s="73">
        <v>-3944.3882807300001</v>
      </c>
      <c r="L509" s="74">
        <v>0</v>
      </c>
      <c r="M509" s="73">
        <v>0</v>
      </c>
      <c r="N509" s="74">
        <v>0</v>
      </c>
      <c r="O509" s="73">
        <v>0</v>
      </c>
      <c r="P509" s="74">
        <v>607</v>
      </c>
      <c r="Q509" s="73">
        <v>52486.897878000003</v>
      </c>
      <c r="R509" s="71" t="s">
        <v>625</v>
      </c>
      <c r="S509" s="71">
        <v>7414000005</v>
      </c>
      <c r="AB509"/>
      <c r="AC509"/>
    </row>
    <row r="510" spans="1:29" x14ac:dyDescent="0.25">
      <c r="A510" t="str">
        <f t="shared" si="8"/>
        <v xml:space="preserve">1036525GOBFED 330526       </v>
      </c>
      <c r="B510" s="71">
        <v>1036525</v>
      </c>
      <c r="C510" s="71" t="s">
        <v>696</v>
      </c>
      <c r="D510" s="71" t="s">
        <v>418</v>
      </c>
      <c r="E510" s="71" t="s">
        <v>623</v>
      </c>
      <c r="F510" s="71" t="s">
        <v>624</v>
      </c>
      <c r="G510" s="74">
        <v>12</v>
      </c>
      <c r="H510" s="72">
        <v>101.45096599999999</v>
      </c>
      <c r="I510" s="73">
        <v>1217.4115919999999</v>
      </c>
      <c r="J510" s="72">
        <v>126.46125000000001</v>
      </c>
      <c r="K510" s="73">
        <v>-300.12340799999998</v>
      </c>
      <c r="L510" s="74">
        <v>0</v>
      </c>
      <c r="M510" s="73">
        <v>0</v>
      </c>
      <c r="N510" s="74">
        <v>0</v>
      </c>
      <c r="O510" s="73">
        <v>0</v>
      </c>
      <c r="P510" s="74">
        <v>12</v>
      </c>
      <c r="Q510" s="73">
        <v>1217.4115919999999</v>
      </c>
      <c r="R510" s="71" t="s">
        <v>625</v>
      </c>
      <c r="S510" s="71">
        <v>7414000005</v>
      </c>
      <c r="AB510"/>
      <c r="AC510"/>
    </row>
    <row r="511" spans="1:29" x14ac:dyDescent="0.25">
      <c r="A511" t="str">
        <f t="shared" si="8"/>
        <v xml:space="preserve">1036525GOBFED 341123       </v>
      </c>
      <c r="B511" s="71">
        <v>1036525</v>
      </c>
      <c r="C511" s="71" t="s">
        <v>696</v>
      </c>
      <c r="D511" s="71" t="s">
        <v>408</v>
      </c>
      <c r="E511" s="71" t="s">
        <v>623</v>
      </c>
      <c r="F511" s="71" t="s">
        <v>624</v>
      </c>
      <c r="G511" s="74">
        <v>76</v>
      </c>
      <c r="H511" s="72">
        <v>89.643172000000007</v>
      </c>
      <c r="I511" s="73">
        <v>6812.8810720000001</v>
      </c>
      <c r="J511" s="72">
        <v>117.48666667000001</v>
      </c>
      <c r="K511" s="73">
        <v>-2116.1055949199999</v>
      </c>
      <c r="L511" s="74">
        <v>0</v>
      </c>
      <c r="M511" s="73">
        <v>0</v>
      </c>
      <c r="N511" s="74">
        <v>0</v>
      </c>
      <c r="O511" s="73">
        <v>0</v>
      </c>
      <c r="P511" s="74">
        <v>76</v>
      </c>
      <c r="Q511" s="73">
        <v>6812.8810720000001</v>
      </c>
      <c r="R511" s="71" t="s">
        <v>625</v>
      </c>
      <c r="S511" s="71">
        <v>7414000005</v>
      </c>
      <c r="AB511"/>
      <c r="AC511"/>
    </row>
    <row r="512" spans="1:29" x14ac:dyDescent="0.25">
      <c r="A512" t="str">
        <f t="shared" si="8"/>
        <v xml:space="preserve">1036525GOBFED 361120       </v>
      </c>
      <c r="B512" s="71">
        <v>1036525</v>
      </c>
      <c r="C512" s="71" t="s">
        <v>696</v>
      </c>
      <c r="D512" s="71" t="s">
        <v>384</v>
      </c>
      <c r="E512" s="71" t="s">
        <v>623</v>
      </c>
      <c r="F512" s="71" t="s">
        <v>624</v>
      </c>
      <c r="G512" s="74">
        <v>634</v>
      </c>
      <c r="H512" s="72">
        <v>81.738860000000003</v>
      </c>
      <c r="I512" s="73">
        <v>51822.437239999999</v>
      </c>
      <c r="J512" s="72">
        <v>86.471431911514202</v>
      </c>
      <c r="K512" s="73">
        <v>-3000.4505918999998</v>
      </c>
      <c r="L512" s="74">
        <v>0</v>
      </c>
      <c r="M512" s="73">
        <v>0</v>
      </c>
      <c r="N512" s="74">
        <v>0</v>
      </c>
      <c r="O512" s="73">
        <v>0</v>
      </c>
      <c r="P512" s="74">
        <v>634</v>
      </c>
      <c r="Q512" s="73">
        <v>51822.437239999999</v>
      </c>
      <c r="R512" s="71" t="s">
        <v>625</v>
      </c>
      <c r="S512" s="71">
        <v>7414000005</v>
      </c>
      <c r="AB512"/>
      <c r="AC512"/>
    </row>
    <row r="513" spans="1:29" x14ac:dyDescent="0.25">
      <c r="A513" t="str">
        <f t="shared" si="8"/>
        <v xml:space="preserve">1036525GOBFED 381118       </v>
      </c>
      <c r="B513" s="71">
        <v>1036525</v>
      </c>
      <c r="C513" s="71" t="s">
        <v>696</v>
      </c>
      <c r="D513" s="71" t="s">
        <v>385</v>
      </c>
      <c r="E513" s="71" t="s">
        <v>623</v>
      </c>
      <c r="F513" s="71" t="s">
        <v>624</v>
      </c>
      <c r="G513" s="74">
        <v>77</v>
      </c>
      <c r="H513" s="72">
        <v>83.200761</v>
      </c>
      <c r="I513" s="73">
        <v>6406.4585969999998</v>
      </c>
      <c r="J513" s="72">
        <v>91.791812140649355</v>
      </c>
      <c r="K513" s="73">
        <v>-661.51093782999999</v>
      </c>
      <c r="L513" s="74">
        <v>0</v>
      </c>
      <c r="M513" s="73">
        <v>0</v>
      </c>
      <c r="N513" s="74">
        <v>0</v>
      </c>
      <c r="O513" s="73">
        <v>0</v>
      </c>
      <c r="P513" s="74">
        <v>77</v>
      </c>
      <c r="Q513" s="73">
        <v>6406.4585969999998</v>
      </c>
      <c r="R513" s="71" t="s">
        <v>625</v>
      </c>
      <c r="S513" s="71">
        <v>7414000005</v>
      </c>
      <c r="AB513"/>
      <c r="AC513"/>
    </row>
    <row r="514" spans="1:29" x14ac:dyDescent="0.25">
      <c r="A514" t="str">
        <f t="shared" si="8"/>
        <v xml:space="preserve">1036525GOBFED 421113       </v>
      </c>
      <c r="B514" s="71">
        <v>1036525</v>
      </c>
      <c r="C514" s="71" t="s">
        <v>696</v>
      </c>
      <c r="D514" s="71" t="s">
        <v>386</v>
      </c>
      <c r="E514" s="71" t="s">
        <v>623</v>
      </c>
      <c r="F514" s="71" t="s">
        <v>624</v>
      </c>
      <c r="G514" s="74">
        <v>944</v>
      </c>
      <c r="H514" s="72">
        <v>82.159907000000004</v>
      </c>
      <c r="I514" s="73">
        <v>77558.952208000002</v>
      </c>
      <c r="J514" s="72">
        <v>84.279902834194914</v>
      </c>
      <c r="K514" s="73">
        <v>-2001.2760674799999</v>
      </c>
      <c r="L514" s="74">
        <v>0</v>
      </c>
      <c r="M514" s="73">
        <v>0</v>
      </c>
      <c r="N514" s="74">
        <v>0</v>
      </c>
      <c r="O514" s="73">
        <v>0</v>
      </c>
      <c r="P514" s="74">
        <v>944</v>
      </c>
      <c r="Q514" s="73">
        <v>77558.952208000002</v>
      </c>
      <c r="R514" s="71" t="s">
        <v>625</v>
      </c>
      <c r="S514" s="71">
        <v>7414000005</v>
      </c>
      <c r="AB514"/>
      <c r="AC514"/>
    </row>
    <row r="515" spans="1:29" x14ac:dyDescent="0.25">
      <c r="A515" t="str">
        <f t="shared" si="8"/>
        <v xml:space="preserve">1036525GOBFED 471107       </v>
      </c>
      <c r="B515" s="71">
        <v>1036525</v>
      </c>
      <c r="C515" s="71" t="s">
        <v>696</v>
      </c>
      <c r="D515" s="71" t="s">
        <v>429</v>
      </c>
      <c r="E515" s="71" t="s">
        <v>623</v>
      </c>
      <c r="F515" s="71" t="s">
        <v>624</v>
      </c>
      <c r="G515" s="74">
        <v>640</v>
      </c>
      <c r="H515" s="72">
        <v>98.007834000000003</v>
      </c>
      <c r="I515" s="73">
        <v>62725.013760000002</v>
      </c>
      <c r="J515" s="72">
        <v>92.065546879999999</v>
      </c>
      <c r="K515" s="73">
        <v>3803.0637568000002</v>
      </c>
      <c r="L515" s="74">
        <v>0</v>
      </c>
      <c r="M515" s="73">
        <v>0</v>
      </c>
      <c r="N515" s="74">
        <v>0</v>
      </c>
      <c r="O515" s="73">
        <v>0</v>
      </c>
      <c r="P515" s="74">
        <v>640</v>
      </c>
      <c r="Q515" s="73">
        <v>62725.013760000002</v>
      </c>
      <c r="R515" s="71" t="s">
        <v>625</v>
      </c>
      <c r="S515" s="71">
        <v>7414000005</v>
      </c>
      <c r="AB515"/>
      <c r="AC515"/>
    </row>
    <row r="516" spans="1:29" x14ac:dyDescent="0.25">
      <c r="A516" t="str">
        <f t="shared" si="8"/>
        <v xml:space="preserve">1036525GOBFED 530731       </v>
      </c>
      <c r="B516" s="71">
        <v>1036525</v>
      </c>
      <c r="C516" s="71" t="s">
        <v>696</v>
      </c>
      <c r="D516" s="71" t="s">
        <v>389</v>
      </c>
      <c r="E516" s="71" t="s">
        <v>623</v>
      </c>
      <c r="F516" s="71" t="s">
        <v>624</v>
      </c>
      <c r="G516" s="74">
        <v>78547</v>
      </c>
      <c r="H516" s="72">
        <v>3.3967719999999999</v>
      </c>
      <c r="I516" s="73">
        <v>266806.25028400001</v>
      </c>
      <c r="J516" s="72">
        <v>3.2940944911963537</v>
      </c>
      <c r="K516" s="73">
        <v>8065.010284</v>
      </c>
      <c r="L516" s="74">
        <v>0</v>
      </c>
      <c r="M516" s="73">
        <v>0</v>
      </c>
      <c r="N516" s="74">
        <v>0</v>
      </c>
      <c r="O516" s="73">
        <v>0</v>
      </c>
      <c r="P516" s="74">
        <v>78547</v>
      </c>
      <c r="Q516" s="73">
        <v>266806.25028400001</v>
      </c>
      <c r="R516" s="71" t="s">
        <v>625</v>
      </c>
      <c r="S516" s="71">
        <v>7414000005</v>
      </c>
      <c r="AB516"/>
      <c r="AC516"/>
    </row>
    <row r="517" spans="1:29" x14ac:dyDescent="0.25">
      <c r="A517" t="str">
        <f t="shared" si="8"/>
        <v xml:space="preserve">1036525PEMEX 13-2          </v>
      </c>
      <c r="B517" s="71">
        <v>1036525</v>
      </c>
      <c r="C517" s="71" t="s">
        <v>696</v>
      </c>
      <c r="D517" s="71" t="s">
        <v>417</v>
      </c>
      <c r="E517" s="71" t="s">
        <v>623</v>
      </c>
      <c r="F517" s="71" t="s">
        <v>624</v>
      </c>
      <c r="G517" s="74">
        <v>83091</v>
      </c>
      <c r="H517" s="72">
        <v>3.8832339999999999</v>
      </c>
      <c r="I517" s="73">
        <v>322661.796294</v>
      </c>
      <c r="J517" s="72">
        <v>2.9919192210949439</v>
      </c>
      <c r="K517" s="73">
        <v>74060.236294000002</v>
      </c>
      <c r="L517" s="74">
        <v>0</v>
      </c>
      <c r="M517" s="73">
        <v>0</v>
      </c>
      <c r="N517" s="74">
        <v>0</v>
      </c>
      <c r="O517" s="73">
        <v>0</v>
      </c>
      <c r="P517" s="74">
        <v>83091</v>
      </c>
      <c r="Q517" s="73">
        <v>322661.796294</v>
      </c>
      <c r="R517" s="71" t="s">
        <v>625</v>
      </c>
      <c r="S517" s="71">
        <v>7414000005</v>
      </c>
      <c r="AB517"/>
      <c r="AC517"/>
    </row>
    <row r="518" spans="1:29" x14ac:dyDescent="0.25">
      <c r="A518" t="str">
        <f t="shared" si="8"/>
        <v xml:space="preserve">1036525STERGOB ED          </v>
      </c>
      <c r="B518" s="71">
        <v>1036525</v>
      </c>
      <c r="C518" s="71" t="s">
        <v>696</v>
      </c>
      <c r="D518" s="71" t="s">
        <v>466</v>
      </c>
      <c r="E518" s="71" t="s">
        <v>623</v>
      </c>
      <c r="F518" s="71" t="s">
        <v>624</v>
      </c>
      <c r="G518" s="74">
        <v>30</v>
      </c>
      <c r="H518" s="72">
        <v>256.05011500000001</v>
      </c>
      <c r="I518" s="73">
        <v>7681.5034500000002</v>
      </c>
      <c r="J518" s="72">
        <v>487.31725925000001</v>
      </c>
      <c r="K518" s="73">
        <v>-6938.0143275</v>
      </c>
      <c r="L518" s="74">
        <v>0</v>
      </c>
      <c r="M518" s="73">
        <v>0</v>
      </c>
      <c r="N518" s="74">
        <v>0</v>
      </c>
      <c r="O518" s="73">
        <v>0</v>
      </c>
      <c r="P518" s="74">
        <v>30</v>
      </c>
      <c r="Q518" s="73">
        <v>7681.5034500000002</v>
      </c>
      <c r="R518" s="71" t="s">
        <v>625</v>
      </c>
      <c r="S518" s="71">
        <v>7414000005</v>
      </c>
      <c r="AB518"/>
      <c r="AC518"/>
    </row>
    <row r="519" spans="1:29" x14ac:dyDescent="0.25">
      <c r="A519" t="str">
        <f t="shared" ref="A519:A582" si="9">B517&amp;D517</f>
        <v xml:space="preserve">1036525STRGOB2 ED          </v>
      </c>
      <c r="B519" s="71">
        <v>1036525</v>
      </c>
      <c r="C519" s="71" t="s">
        <v>696</v>
      </c>
      <c r="D519" s="71" t="s">
        <v>391</v>
      </c>
      <c r="E519" s="71" t="s">
        <v>623</v>
      </c>
      <c r="F519" s="71" t="s">
        <v>624</v>
      </c>
      <c r="G519" s="74">
        <v>45</v>
      </c>
      <c r="H519" s="72">
        <v>775.69178699999998</v>
      </c>
      <c r="I519" s="73">
        <v>34906.130415</v>
      </c>
      <c r="J519" s="72">
        <v>691.58907003555555</v>
      </c>
      <c r="K519" s="73">
        <v>3784.6222634000001</v>
      </c>
      <c r="L519" s="74">
        <v>0</v>
      </c>
      <c r="M519" s="73">
        <v>0</v>
      </c>
      <c r="N519" s="74">
        <v>0</v>
      </c>
      <c r="O519" s="73">
        <v>0</v>
      </c>
      <c r="P519" s="74">
        <v>45</v>
      </c>
      <c r="Q519" s="73">
        <v>34906.130415</v>
      </c>
      <c r="R519" s="71" t="s">
        <v>625</v>
      </c>
      <c r="S519" s="71">
        <v>7414000005</v>
      </c>
      <c r="AB519"/>
      <c r="AC519"/>
    </row>
    <row r="520" spans="1:29" x14ac:dyDescent="0.25">
      <c r="A520" t="str">
        <f t="shared" si="9"/>
        <v xml:space="preserve">1036525TFOVICB 15U         </v>
      </c>
      <c r="B520" s="71">
        <v>1036525</v>
      </c>
      <c r="C520" s="71" t="s">
        <v>696</v>
      </c>
      <c r="D520" s="71" t="s">
        <v>392</v>
      </c>
      <c r="E520" s="71" t="s">
        <v>623</v>
      </c>
      <c r="F520" s="71" t="s">
        <v>624</v>
      </c>
      <c r="G520" s="74">
        <v>70</v>
      </c>
      <c r="H520" s="72">
        <v>747.17843200000004</v>
      </c>
      <c r="I520" s="73">
        <v>52302.490239999999</v>
      </c>
      <c r="J520" s="72">
        <v>709.48359479428575</v>
      </c>
      <c r="K520" s="73">
        <v>2638.6386044000001</v>
      </c>
      <c r="L520" s="74">
        <v>0</v>
      </c>
      <c r="M520" s="73">
        <v>0</v>
      </c>
      <c r="N520" s="74">
        <v>0</v>
      </c>
      <c r="O520" s="73">
        <v>0</v>
      </c>
      <c r="P520" s="74">
        <v>70</v>
      </c>
      <c r="Q520" s="73">
        <v>52302.490239999999</v>
      </c>
      <c r="R520" s="71" t="s">
        <v>625</v>
      </c>
      <c r="S520" s="71">
        <v>7414000005</v>
      </c>
      <c r="AB520"/>
      <c r="AC520"/>
    </row>
    <row r="521" spans="1:29" x14ac:dyDescent="0.25">
      <c r="A521" t="str">
        <f t="shared" si="9"/>
        <v xml:space="preserve">1036525UDIBONO 251204      </v>
      </c>
      <c r="B521" s="71">
        <v>1036525</v>
      </c>
      <c r="C521" s="71" t="s">
        <v>696</v>
      </c>
      <c r="D521" s="71" t="s">
        <v>393</v>
      </c>
      <c r="E521" s="71" t="s">
        <v>623</v>
      </c>
      <c r="F521" s="71" t="s">
        <v>624</v>
      </c>
      <c r="G521" s="74">
        <v>70</v>
      </c>
      <c r="H521" s="72">
        <v>765.92388300000005</v>
      </c>
      <c r="I521" s="73">
        <v>53614.67181</v>
      </c>
      <c r="J521" s="72">
        <v>753.81432208714284</v>
      </c>
      <c r="K521" s="73">
        <v>847.66926390000003</v>
      </c>
      <c r="L521" s="74">
        <v>0</v>
      </c>
      <c r="M521" s="73">
        <v>0</v>
      </c>
      <c r="N521" s="74">
        <v>0</v>
      </c>
      <c r="O521" s="73">
        <v>0</v>
      </c>
      <c r="P521" s="74">
        <v>70</v>
      </c>
      <c r="Q521" s="73">
        <v>53614.67181</v>
      </c>
      <c r="R521" s="71" t="s">
        <v>625</v>
      </c>
      <c r="S521" s="71">
        <v>7414000005</v>
      </c>
      <c r="AB521"/>
      <c r="AC521"/>
    </row>
    <row r="522" spans="1:29" x14ac:dyDescent="0.25">
      <c r="A522" t="str">
        <f t="shared" si="9"/>
        <v xml:space="preserve">1036525UDIBONO 261203      </v>
      </c>
      <c r="B522" s="71">
        <v>1036525</v>
      </c>
      <c r="C522" s="71" t="s">
        <v>696</v>
      </c>
      <c r="D522" s="71" t="s">
        <v>394</v>
      </c>
      <c r="E522" s="71" t="s">
        <v>623</v>
      </c>
      <c r="F522" s="71" t="s">
        <v>624</v>
      </c>
      <c r="G522" s="74">
        <v>288</v>
      </c>
      <c r="H522" s="72">
        <v>684.88915799999995</v>
      </c>
      <c r="I522" s="73">
        <v>197248.07750399999</v>
      </c>
      <c r="J522" s="72">
        <v>676.63728713958335</v>
      </c>
      <c r="K522" s="73">
        <v>2376.5388078000001</v>
      </c>
      <c r="L522" s="74">
        <v>0</v>
      </c>
      <c r="M522" s="73">
        <v>0</v>
      </c>
      <c r="N522" s="74">
        <v>0</v>
      </c>
      <c r="O522" s="73">
        <v>0</v>
      </c>
      <c r="P522" s="74">
        <v>288</v>
      </c>
      <c r="Q522" s="73">
        <v>197248.07750399999</v>
      </c>
      <c r="R522" s="71" t="s">
        <v>625</v>
      </c>
      <c r="S522" s="71">
        <v>7414000005</v>
      </c>
      <c r="AB522"/>
      <c r="AC522"/>
    </row>
    <row r="523" spans="1:29" x14ac:dyDescent="0.25">
      <c r="A523" t="str">
        <f t="shared" si="9"/>
        <v xml:space="preserve">1036525UDIBONO 281130      </v>
      </c>
      <c r="B523" s="71">
        <v>1036525</v>
      </c>
      <c r="C523" s="71" t="s">
        <v>696</v>
      </c>
      <c r="D523" s="71" t="s">
        <v>395</v>
      </c>
      <c r="E523" s="71" t="s">
        <v>623</v>
      </c>
      <c r="F523" s="71" t="s">
        <v>624</v>
      </c>
      <c r="G523" s="74">
        <v>32</v>
      </c>
      <c r="H523" s="72">
        <v>772.926965</v>
      </c>
      <c r="I523" s="73">
        <v>24733.66288</v>
      </c>
      <c r="J523" s="72">
        <v>798.93664675000002</v>
      </c>
      <c r="K523" s="73">
        <v>-832.30981599999996</v>
      </c>
      <c r="L523" s="74">
        <v>0</v>
      </c>
      <c r="M523" s="73">
        <v>0</v>
      </c>
      <c r="N523" s="74">
        <v>0</v>
      </c>
      <c r="O523" s="73">
        <v>0</v>
      </c>
      <c r="P523" s="74">
        <v>32</v>
      </c>
      <c r="Q523" s="73">
        <v>24733.66288</v>
      </c>
      <c r="R523" s="71" t="s">
        <v>625</v>
      </c>
      <c r="S523" s="71">
        <v>7414000005</v>
      </c>
      <c r="AB523"/>
      <c r="AC523"/>
    </row>
    <row r="524" spans="1:29" x14ac:dyDescent="0.25">
      <c r="A524" t="str">
        <f t="shared" si="9"/>
        <v xml:space="preserve">1036525UDIBONO 311127      </v>
      </c>
      <c r="B524" s="71">
        <v>1036525</v>
      </c>
      <c r="C524" s="71" t="s">
        <v>696</v>
      </c>
      <c r="D524" s="71" t="s">
        <v>396</v>
      </c>
      <c r="E524" s="71" t="s">
        <v>623</v>
      </c>
      <c r="F524" s="71" t="s">
        <v>624</v>
      </c>
      <c r="G524" s="74">
        <v>39</v>
      </c>
      <c r="H524" s="72">
        <v>721.59464000000003</v>
      </c>
      <c r="I524" s="73">
        <v>28142.19096</v>
      </c>
      <c r="J524" s="72">
        <v>741.29717948999996</v>
      </c>
      <c r="K524" s="73">
        <v>-768.39904010999999</v>
      </c>
      <c r="L524" s="74">
        <v>0</v>
      </c>
      <c r="M524" s="73">
        <v>0</v>
      </c>
      <c r="N524" s="74">
        <v>0</v>
      </c>
      <c r="O524" s="73">
        <v>0</v>
      </c>
      <c r="P524" s="74">
        <v>39</v>
      </c>
      <c r="Q524" s="73">
        <v>28142.19096</v>
      </c>
      <c r="R524" s="71" t="s">
        <v>625</v>
      </c>
      <c r="S524" s="71">
        <v>7414000005</v>
      </c>
      <c r="AB524"/>
      <c r="AC524"/>
    </row>
    <row r="525" spans="1:29" x14ac:dyDescent="0.25">
      <c r="A525" t="str">
        <f t="shared" si="9"/>
        <v xml:space="preserve">1036525UDIBONO 351122      </v>
      </c>
      <c r="B525" s="71">
        <v>1036525</v>
      </c>
      <c r="C525" s="71" t="s">
        <v>696</v>
      </c>
      <c r="D525" s="71" t="s">
        <v>397</v>
      </c>
      <c r="E525" s="71" t="s">
        <v>623</v>
      </c>
      <c r="F525" s="71" t="s">
        <v>624</v>
      </c>
      <c r="G525" s="74">
        <v>28</v>
      </c>
      <c r="H525" s="72">
        <v>635.96311900000001</v>
      </c>
      <c r="I525" s="73">
        <v>17806.967332</v>
      </c>
      <c r="J525" s="72">
        <v>647.93802047999998</v>
      </c>
      <c r="K525" s="73">
        <v>-335.29724143999999</v>
      </c>
      <c r="L525" s="74">
        <v>0</v>
      </c>
      <c r="M525" s="73">
        <v>0</v>
      </c>
      <c r="N525" s="74">
        <v>0</v>
      </c>
      <c r="O525" s="73">
        <v>0</v>
      </c>
      <c r="P525" s="74">
        <v>28</v>
      </c>
      <c r="Q525" s="73">
        <v>17806.967332</v>
      </c>
      <c r="R525" s="71" t="s">
        <v>625</v>
      </c>
      <c r="S525" s="71">
        <v>7414000005</v>
      </c>
      <c r="AB525"/>
      <c r="AC525"/>
    </row>
    <row r="526" spans="1:29" x14ac:dyDescent="0.25">
      <c r="A526" t="str">
        <f t="shared" si="9"/>
        <v xml:space="preserve">1036525UDIBONO 401115      </v>
      </c>
      <c r="B526" s="71">
        <v>1036525</v>
      </c>
      <c r="C526" s="71" t="s">
        <v>696</v>
      </c>
      <c r="D526" s="71" t="s">
        <v>398</v>
      </c>
      <c r="E526" s="71" t="s">
        <v>623</v>
      </c>
      <c r="F526" s="71" t="s">
        <v>624</v>
      </c>
      <c r="G526" s="74">
        <v>48</v>
      </c>
      <c r="H526" s="72">
        <v>709.36974099999998</v>
      </c>
      <c r="I526" s="73">
        <v>34049.747567999999</v>
      </c>
      <c r="J526" s="72">
        <v>724.52122232249997</v>
      </c>
      <c r="K526" s="73">
        <v>-727.27110347999997</v>
      </c>
      <c r="L526" s="74">
        <v>0</v>
      </c>
      <c r="M526" s="73">
        <v>0</v>
      </c>
      <c r="N526" s="74">
        <v>0</v>
      </c>
      <c r="O526" s="73">
        <v>0</v>
      </c>
      <c r="P526" s="74">
        <v>48</v>
      </c>
      <c r="Q526" s="73">
        <v>34049.747567999999</v>
      </c>
      <c r="R526" s="71" t="s">
        <v>625</v>
      </c>
      <c r="S526" s="71">
        <v>7414000005</v>
      </c>
      <c r="AB526"/>
      <c r="AC526"/>
    </row>
    <row r="527" spans="1:29" x14ac:dyDescent="0.25">
      <c r="A527" t="str">
        <f t="shared" si="9"/>
        <v xml:space="preserve">1036525UDIBONO 431112      </v>
      </c>
      <c r="B527" s="71">
        <v>1036525</v>
      </c>
      <c r="C527" s="71" t="s">
        <v>696</v>
      </c>
      <c r="D527" s="71" t="s">
        <v>399</v>
      </c>
      <c r="E527" s="71" t="s">
        <v>623</v>
      </c>
      <c r="F527" s="71" t="s">
        <v>624</v>
      </c>
      <c r="G527" s="74">
        <v>192</v>
      </c>
      <c r="H527" s="72">
        <v>694.41118700000004</v>
      </c>
      <c r="I527" s="73">
        <v>133326.947904</v>
      </c>
      <c r="J527" s="72">
        <v>724.59993144458338</v>
      </c>
      <c r="K527" s="73">
        <v>-5796.2389333600004</v>
      </c>
      <c r="L527" s="74">
        <v>0</v>
      </c>
      <c r="M527" s="73">
        <v>0</v>
      </c>
      <c r="N527" s="74">
        <v>0</v>
      </c>
      <c r="O527" s="73">
        <v>0</v>
      </c>
      <c r="P527" s="74">
        <v>192</v>
      </c>
      <c r="Q527" s="73">
        <v>133326.947904</v>
      </c>
      <c r="R527" s="71" t="s">
        <v>625</v>
      </c>
      <c r="S527" s="71">
        <v>7414000005</v>
      </c>
      <c r="AB527"/>
      <c r="AC527"/>
    </row>
    <row r="528" spans="1:29" x14ac:dyDescent="0.25">
      <c r="A528" t="str">
        <f t="shared" si="9"/>
        <v xml:space="preserve">1036525UDIBONO 461108      </v>
      </c>
      <c r="B528" s="71">
        <v>1036526</v>
      </c>
      <c r="C528" s="71" t="s">
        <v>696</v>
      </c>
      <c r="D528" s="71" t="s">
        <v>459</v>
      </c>
      <c r="E528" s="71" t="s">
        <v>623</v>
      </c>
      <c r="F528" s="71" t="s">
        <v>624</v>
      </c>
      <c r="G528" s="74">
        <v>224000</v>
      </c>
      <c r="H528" s="72">
        <v>4.5848760000000004</v>
      </c>
      <c r="I528" s="73">
        <v>1027012.224</v>
      </c>
      <c r="J528" s="72">
        <v>4.1816552232142854</v>
      </c>
      <c r="K528" s="73">
        <v>90321.453999999998</v>
      </c>
      <c r="L528" s="74">
        <v>0</v>
      </c>
      <c r="M528" s="73">
        <v>0</v>
      </c>
      <c r="N528" s="74">
        <v>0</v>
      </c>
      <c r="O528" s="73">
        <v>0</v>
      </c>
      <c r="P528" s="74">
        <v>224000</v>
      </c>
      <c r="Q528" s="73">
        <v>1027012.224</v>
      </c>
      <c r="R528" s="71" t="s">
        <v>625</v>
      </c>
      <c r="S528" s="71">
        <v>7414000005</v>
      </c>
      <c r="AB528"/>
      <c r="AC528"/>
    </row>
    <row r="529" spans="1:29" x14ac:dyDescent="0.25">
      <c r="A529" t="str">
        <f t="shared" si="9"/>
        <v xml:space="preserve">1036525UDIBONO 501103      </v>
      </c>
      <c r="B529" s="71">
        <v>1036526</v>
      </c>
      <c r="C529" s="71" t="s">
        <v>696</v>
      </c>
      <c r="D529" s="71" t="s">
        <v>389</v>
      </c>
      <c r="E529" s="71" t="s">
        <v>623</v>
      </c>
      <c r="F529" s="71" t="s">
        <v>624</v>
      </c>
      <c r="G529" s="74">
        <v>11786</v>
      </c>
      <c r="H529" s="72">
        <v>3.3967719999999999</v>
      </c>
      <c r="I529" s="73">
        <v>40034.354791999998</v>
      </c>
      <c r="J529" s="72">
        <v>3.2883633124045479</v>
      </c>
      <c r="K529" s="73">
        <v>1277.704792</v>
      </c>
      <c r="L529" s="74">
        <v>0</v>
      </c>
      <c r="M529" s="73">
        <v>0</v>
      </c>
      <c r="N529" s="74">
        <v>0</v>
      </c>
      <c r="O529" s="73">
        <v>0</v>
      </c>
      <c r="P529" s="74">
        <v>11786</v>
      </c>
      <c r="Q529" s="73">
        <v>40034.354791999998</v>
      </c>
      <c r="R529" s="71" t="s">
        <v>625</v>
      </c>
      <c r="S529" s="71">
        <v>7414000005</v>
      </c>
      <c r="AB529"/>
      <c r="AC529"/>
    </row>
    <row r="530" spans="1:29" x14ac:dyDescent="0.25">
      <c r="A530" t="str">
        <f t="shared" si="9"/>
        <v xml:space="preserve">1036526STER-OP ED          </v>
      </c>
      <c r="B530" s="71">
        <v>1036527</v>
      </c>
      <c r="C530" s="71" t="s">
        <v>696</v>
      </c>
      <c r="D530" s="71" t="s">
        <v>363</v>
      </c>
      <c r="E530" s="71" t="s">
        <v>623</v>
      </c>
      <c r="F530" s="71" t="s">
        <v>624</v>
      </c>
      <c r="G530" s="74">
        <v>110719</v>
      </c>
      <c r="H530" s="72">
        <v>9.4935880000000008</v>
      </c>
      <c r="I530" s="73">
        <v>1051120.569772</v>
      </c>
      <c r="J530" s="72">
        <v>8.4405498100000003</v>
      </c>
      <c r="K530" s="73">
        <v>116591.33535861</v>
      </c>
      <c r="L530" s="74">
        <v>0</v>
      </c>
      <c r="M530" s="73">
        <v>0</v>
      </c>
      <c r="N530" s="74">
        <v>0</v>
      </c>
      <c r="O530" s="73">
        <v>0</v>
      </c>
      <c r="P530" s="74">
        <v>110719</v>
      </c>
      <c r="Q530" s="73">
        <v>1051120.569772</v>
      </c>
      <c r="R530" s="71" t="s">
        <v>625</v>
      </c>
      <c r="S530" s="71">
        <v>7414000005</v>
      </c>
      <c r="AB530"/>
      <c r="AC530"/>
    </row>
    <row r="531" spans="1:29" x14ac:dyDescent="0.25">
      <c r="A531" t="str">
        <f t="shared" si="9"/>
        <v xml:space="preserve">1036526STERGOB ED          </v>
      </c>
      <c r="B531" s="71">
        <v>1036527</v>
      </c>
      <c r="C531" s="71" t="s">
        <v>696</v>
      </c>
      <c r="D531" s="71" t="s">
        <v>409</v>
      </c>
      <c r="E531" s="71" t="s">
        <v>623</v>
      </c>
      <c r="F531" s="71" t="s">
        <v>624</v>
      </c>
      <c r="G531" s="74">
        <v>150830</v>
      </c>
      <c r="H531" s="72">
        <v>9.3381629999999998</v>
      </c>
      <c r="I531" s="73">
        <v>1408475.1252900001</v>
      </c>
      <c r="J531" s="72">
        <v>8.3307969100000001</v>
      </c>
      <c r="K531" s="73">
        <v>151941.0273547</v>
      </c>
      <c r="L531" s="74">
        <v>0</v>
      </c>
      <c r="M531" s="73">
        <v>0</v>
      </c>
      <c r="N531" s="74">
        <v>0</v>
      </c>
      <c r="O531" s="73">
        <v>0</v>
      </c>
      <c r="P531" s="74">
        <v>150830</v>
      </c>
      <c r="Q531" s="73">
        <v>1408475.1252900001</v>
      </c>
      <c r="R531" s="71" t="s">
        <v>625</v>
      </c>
      <c r="S531" s="71">
        <v>7414000005</v>
      </c>
      <c r="AB531"/>
      <c r="AC531"/>
    </row>
    <row r="532" spans="1:29" x14ac:dyDescent="0.25">
      <c r="A532" t="str">
        <f t="shared" si="9"/>
        <v xml:space="preserve">1036527CETES 241003        </v>
      </c>
      <c r="B532" s="71">
        <v>1036527</v>
      </c>
      <c r="C532" s="71" t="s">
        <v>696</v>
      </c>
      <c r="D532" s="71" t="s">
        <v>364</v>
      </c>
      <c r="E532" s="71" t="s">
        <v>623</v>
      </c>
      <c r="F532" s="71" t="s">
        <v>624</v>
      </c>
      <c r="G532" s="74">
        <v>193050</v>
      </c>
      <c r="H532" s="72">
        <v>9.190137</v>
      </c>
      <c r="I532" s="73">
        <v>1774155.9478500001</v>
      </c>
      <c r="J532" s="72">
        <v>8.2168032736990408</v>
      </c>
      <c r="K532" s="73">
        <v>187902.0758624</v>
      </c>
      <c r="L532" s="74">
        <v>0</v>
      </c>
      <c r="M532" s="73">
        <v>0</v>
      </c>
      <c r="N532" s="74">
        <v>0</v>
      </c>
      <c r="O532" s="73">
        <v>0</v>
      </c>
      <c r="P532" s="74">
        <v>193050</v>
      </c>
      <c r="Q532" s="73">
        <v>1774155.9478500001</v>
      </c>
      <c r="R532" s="71" t="s">
        <v>625</v>
      </c>
      <c r="S532" s="71">
        <v>7414000005</v>
      </c>
      <c r="AB532"/>
      <c r="AC532"/>
    </row>
    <row r="533" spans="1:29" x14ac:dyDescent="0.25">
      <c r="A533" t="str">
        <f t="shared" si="9"/>
        <v xml:space="preserve">1036527CETES 241128        </v>
      </c>
      <c r="B533" s="71">
        <v>1036527</v>
      </c>
      <c r="C533" s="71" t="s">
        <v>696</v>
      </c>
      <c r="D533" s="71" t="s">
        <v>554</v>
      </c>
      <c r="E533" s="71" t="s">
        <v>623</v>
      </c>
      <c r="F533" s="71" t="s">
        <v>624</v>
      </c>
      <c r="G533" s="74">
        <v>50830</v>
      </c>
      <c r="H533" s="72">
        <v>8.3813510000000004</v>
      </c>
      <c r="I533" s="73">
        <v>426024.07133000001</v>
      </c>
      <c r="J533" s="72">
        <v>8.2700011300000007</v>
      </c>
      <c r="K533" s="73">
        <v>5659.9138921000003</v>
      </c>
      <c r="L533" s="74">
        <v>0</v>
      </c>
      <c r="M533" s="73">
        <v>0</v>
      </c>
      <c r="N533" s="74">
        <v>0</v>
      </c>
      <c r="O533" s="73">
        <v>0</v>
      </c>
      <c r="P533" s="74">
        <v>50830</v>
      </c>
      <c r="Q533" s="73">
        <v>426024.07133000001</v>
      </c>
      <c r="R533" s="71" t="s">
        <v>625</v>
      </c>
      <c r="S533" s="71">
        <v>7414000005</v>
      </c>
      <c r="AB533"/>
      <c r="AC533"/>
    </row>
    <row r="534" spans="1:29" x14ac:dyDescent="0.25">
      <c r="A534" t="str">
        <f t="shared" si="9"/>
        <v xml:space="preserve">1036527CETES 250123        </v>
      </c>
      <c r="B534" s="71">
        <v>1036527</v>
      </c>
      <c r="C534" s="71" t="s">
        <v>696</v>
      </c>
      <c r="D534" s="71" t="s">
        <v>613</v>
      </c>
      <c r="E534" s="71" t="s">
        <v>623</v>
      </c>
      <c r="F534" s="71" t="s">
        <v>624</v>
      </c>
      <c r="G534" s="74">
        <v>103700</v>
      </c>
      <c r="H534" s="72">
        <v>8.2580650000000002</v>
      </c>
      <c r="I534" s="73">
        <v>856361.34050000005</v>
      </c>
      <c r="J534" s="72">
        <v>8.2501711100000001</v>
      </c>
      <c r="K534" s="73">
        <v>818.59639300000003</v>
      </c>
      <c r="L534" s="74">
        <v>0</v>
      </c>
      <c r="M534" s="73">
        <v>0</v>
      </c>
      <c r="N534" s="74">
        <v>0</v>
      </c>
      <c r="O534" s="73">
        <v>0</v>
      </c>
      <c r="P534" s="74">
        <v>103700</v>
      </c>
      <c r="Q534" s="73">
        <v>856361.34050000005</v>
      </c>
      <c r="R534" s="71" t="s">
        <v>625</v>
      </c>
      <c r="S534" s="71">
        <v>7414000005</v>
      </c>
      <c r="AB534"/>
      <c r="AC534"/>
    </row>
    <row r="535" spans="1:29" x14ac:dyDescent="0.25">
      <c r="A535" t="str">
        <f t="shared" si="9"/>
        <v xml:space="preserve">1036527CETES 251224        </v>
      </c>
      <c r="B535" s="71">
        <v>1036527</v>
      </c>
      <c r="C535" s="71" t="s">
        <v>696</v>
      </c>
      <c r="D535" s="71" t="s">
        <v>375</v>
      </c>
      <c r="E535" s="71" t="s">
        <v>623</v>
      </c>
      <c r="F535" s="71" t="s">
        <v>624</v>
      </c>
      <c r="G535" s="74">
        <v>4310</v>
      </c>
      <c r="H535" s="72">
        <v>98.730349000000004</v>
      </c>
      <c r="I535" s="73">
        <v>425527.80419</v>
      </c>
      <c r="J535" s="72">
        <v>104.73162454</v>
      </c>
      <c r="K535" s="73">
        <v>-25865.497577400001</v>
      </c>
      <c r="L535" s="74">
        <v>0</v>
      </c>
      <c r="M535" s="73">
        <v>0</v>
      </c>
      <c r="N535" s="74">
        <v>0</v>
      </c>
      <c r="O535" s="73">
        <v>0</v>
      </c>
      <c r="P535" s="74">
        <v>4310</v>
      </c>
      <c r="Q535" s="73">
        <v>425527.80419</v>
      </c>
      <c r="R535" s="71" t="s">
        <v>625</v>
      </c>
      <c r="S535" s="71">
        <v>7414000005</v>
      </c>
      <c r="AB535"/>
      <c r="AC535"/>
    </row>
    <row r="536" spans="1:29" x14ac:dyDescent="0.25">
      <c r="A536" t="str">
        <f t="shared" si="9"/>
        <v xml:space="preserve">1036527CETES 260219        </v>
      </c>
      <c r="B536" s="71">
        <v>1036527</v>
      </c>
      <c r="C536" s="71" t="s">
        <v>696</v>
      </c>
      <c r="D536" s="71" t="s">
        <v>376</v>
      </c>
      <c r="E536" s="71" t="s">
        <v>623</v>
      </c>
      <c r="F536" s="71" t="s">
        <v>624</v>
      </c>
      <c r="G536" s="74">
        <v>7887</v>
      </c>
      <c r="H536" s="72">
        <v>99.247497999999993</v>
      </c>
      <c r="I536" s="73">
        <v>782765.016726</v>
      </c>
      <c r="J536" s="72">
        <v>116.87584286583491</v>
      </c>
      <c r="K536" s="73">
        <v>-139034.75595684</v>
      </c>
      <c r="L536" s="74">
        <v>0</v>
      </c>
      <c r="M536" s="73">
        <v>0</v>
      </c>
      <c r="N536" s="74">
        <v>0</v>
      </c>
      <c r="O536" s="73">
        <v>0</v>
      </c>
      <c r="P536" s="74">
        <v>7887</v>
      </c>
      <c r="Q536" s="73">
        <v>782765.016726</v>
      </c>
      <c r="R536" s="71" t="s">
        <v>625</v>
      </c>
      <c r="S536" s="71">
        <v>7414000005</v>
      </c>
      <c r="AB536"/>
      <c r="AC536"/>
    </row>
    <row r="537" spans="1:29" x14ac:dyDescent="0.25">
      <c r="A537" t="str">
        <f t="shared" si="9"/>
        <v xml:space="preserve">1036527GOBFED 240905       </v>
      </c>
      <c r="B537" s="71">
        <v>1036527</v>
      </c>
      <c r="C537" s="71" t="s">
        <v>696</v>
      </c>
      <c r="D537" s="71" t="s">
        <v>377</v>
      </c>
      <c r="E537" s="71" t="s">
        <v>623</v>
      </c>
      <c r="F537" s="71" t="s">
        <v>624</v>
      </c>
      <c r="G537" s="74">
        <v>9342</v>
      </c>
      <c r="H537" s="72">
        <v>94.973146999999997</v>
      </c>
      <c r="I537" s="73">
        <v>887239.13927399996</v>
      </c>
      <c r="J537" s="72">
        <v>90.008268852701775</v>
      </c>
      <c r="K537" s="73">
        <v>46381.891652060003</v>
      </c>
      <c r="L537" s="74">
        <v>0</v>
      </c>
      <c r="M537" s="73">
        <v>0</v>
      </c>
      <c r="N537" s="74">
        <v>0</v>
      </c>
      <c r="O537" s="73">
        <v>0</v>
      </c>
      <c r="P537" s="74">
        <v>9342</v>
      </c>
      <c r="Q537" s="73">
        <v>887239.13927399996</v>
      </c>
      <c r="R537" s="71" t="s">
        <v>625</v>
      </c>
      <c r="S537" s="71">
        <v>7414000005</v>
      </c>
      <c r="AB537"/>
      <c r="AC537"/>
    </row>
    <row r="538" spans="1:29" x14ac:dyDescent="0.25">
      <c r="A538" t="str">
        <f t="shared" si="9"/>
        <v xml:space="preserve">1036527GOBFED 241205       </v>
      </c>
      <c r="B538" s="71">
        <v>1036527</v>
      </c>
      <c r="C538" s="71" t="s">
        <v>696</v>
      </c>
      <c r="D538" s="71" t="s">
        <v>378</v>
      </c>
      <c r="E538" s="71" t="s">
        <v>623</v>
      </c>
      <c r="F538" s="71" t="s">
        <v>624</v>
      </c>
      <c r="G538" s="74">
        <v>5288</v>
      </c>
      <c r="H538" s="72">
        <v>91.911821000000003</v>
      </c>
      <c r="I538" s="73">
        <v>486029.70944800001</v>
      </c>
      <c r="J538" s="72">
        <v>93.2088459</v>
      </c>
      <c r="K538" s="73">
        <v>-6858.6676711999999</v>
      </c>
      <c r="L538" s="74">
        <v>0</v>
      </c>
      <c r="M538" s="73">
        <v>0</v>
      </c>
      <c r="N538" s="74">
        <v>0</v>
      </c>
      <c r="O538" s="73">
        <v>0</v>
      </c>
      <c r="P538" s="74">
        <v>5288</v>
      </c>
      <c r="Q538" s="73">
        <v>486029.70944800001</v>
      </c>
      <c r="R538" s="71" t="s">
        <v>625</v>
      </c>
      <c r="S538" s="71">
        <v>7414000005</v>
      </c>
      <c r="AB538"/>
      <c r="AC538"/>
    </row>
    <row r="539" spans="1:29" x14ac:dyDescent="0.25">
      <c r="A539" t="str">
        <f t="shared" si="9"/>
        <v xml:space="preserve">1036527GOBFED 250306       </v>
      </c>
      <c r="B539" s="71">
        <v>1036527</v>
      </c>
      <c r="C539" s="71" t="s">
        <v>696</v>
      </c>
      <c r="D539" s="71" t="s">
        <v>379</v>
      </c>
      <c r="E539" s="71" t="s">
        <v>623</v>
      </c>
      <c r="F539" s="71" t="s">
        <v>624</v>
      </c>
      <c r="G539" s="74">
        <v>5670</v>
      </c>
      <c r="H539" s="72">
        <v>88.698122999999995</v>
      </c>
      <c r="I539" s="73">
        <v>502918.35741</v>
      </c>
      <c r="J539" s="72">
        <v>85.668007947634919</v>
      </c>
      <c r="K539" s="73">
        <v>17180.752346910002</v>
      </c>
      <c r="L539" s="74">
        <v>0</v>
      </c>
      <c r="M539" s="73">
        <v>0</v>
      </c>
      <c r="N539" s="74">
        <v>0</v>
      </c>
      <c r="O539" s="73">
        <v>0</v>
      </c>
      <c r="P539" s="74">
        <v>5670</v>
      </c>
      <c r="Q539" s="73">
        <v>502918.35741</v>
      </c>
      <c r="R539" s="71" t="s">
        <v>625</v>
      </c>
      <c r="S539" s="71">
        <v>7414000005</v>
      </c>
      <c r="AB539"/>
      <c r="AC539"/>
    </row>
    <row r="540" spans="1:29" x14ac:dyDescent="0.25">
      <c r="A540" t="str">
        <f t="shared" si="9"/>
        <v xml:space="preserve">1036527GOBFED 260305       </v>
      </c>
      <c r="B540" s="71">
        <v>1036527</v>
      </c>
      <c r="C540" s="71" t="s">
        <v>696</v>
      </c>
      <c r="D540" s="71" t="s">
        <v>380</v>
      </c>
      <c r="E540" s="71" t="s">
        <v>623</v>
      </c>
      <c r="F540" s="71" t="s">
        <v>624</v>
      </c>
      <c r="G540" s="74">
        <v>5049</v>
      </c>
      <c r="H540" s="72">
        <v>93.314192000000006</v>
      </c>
      <c r="I540" s="73">
        <v>471143.355408</v>
      </c>
      <c r="J540" s="72">
        <v>96.71254873585265</v>
      </c>
      <c r="K540" s="73">
        <v>-17158.303159319999</v>
      </c>
      <c r="L540" s="74">
        <v>0</v>
      </c>
      <c r="M540" s="73">
        <v>0</v>
      </c>
      <c r="N540" s="74">
        <v>0</v>
      </c>
      <c r="O540" s="73">
        <v>0</v>
      </c>
      <c r="P540" s="74">
        <v>5049</v>
      </c>
      <c r="Q540" s="73">
        <v>471143.355408</v>
      </c>
      <c r="R540" s="71" t="s">
        <v>625</v>
      </c>
      <c r="S540" s="71">
        <v>7414000005</v>
      </c>
      <c r="AB540"/>
      <c r="AC540"/>
    </row>
    <row r="541" spans="1:29" x14ac:dyDescent="0.25">
      <c r="A541" t="str">
        <f t="shared" si="9"/>
        <v xml:space="preserve">1036527GOBFED 270304       </v>
      </c>
      <c r="B541" s="71">
        <v>1036527</v>
      </c>
      <c r="C541" s="71" t="s">
        <v>696</v>
      </c>
      <c r="D541" s="71" t="s">
        <v>507</v>
      </c>
      <c r="E541" s="71" t="s">
        <v>623</v>
      </c>
      <c r="F541" s="71" t="s">
        <v>624</v>
      </c>
      <c r="G541" s="74">
        <v>5250</v>
      </c>
      <c r="H541" s="72">
        <v>94.864168000000006</v>
      </c>
      <c r="I541" s="73">
        <v>498036.88199999998</v>
      </c>
      <c r="J541" s="72">
        <v>96.491211529695235</v>
      </c>
      <c r="K541" s="73">
        <v>-8541.9785308999999</v>
      </c>
      <c r="L541" s="74">
        <v>0</v>
      </c>
      <c r="M541" s="73">
        <v>0</v>
      </c>
      <c r="N541" s="74">
        <v>0</v>
      </c>
      <c r="O541" s="73">
        <v>0</v>
      </c>
      <c r="P541" s="74">
        <v>5250</v>
      </c>
      <c r="Q541" s="73">
        <v>498036.88199999998</v>
      </c>
      <c r="R541" s="71" t="s">
        <v>625</v>
      </c>
      <c r="S541" s="71">
        <v>7414000005</v>
      </c>
      <c r="AB541"/>
      <c r="AC541"/>
    </row>
    <row r="542" spans="1:29" x14ac:dyDescent="0.25">
      <c r="A542" t="str">
        <f t="shared" si="9"/>
        <v xml:space="preserve">1036527GOBFED 270603       </v>
      </c>
      <c r="B542" s="71">
        <v>1036527</v>
      </c>
      <c r="C542" s="71" t="s">
        <v>696</v>
      </c>
      <c r="D542" s="71" t="s">
        <v>381</v>
      </c>
      <c r="E542" s="71" t="s">
        <v>623</v>
      </c>
      <c r="F542" s="71" t="s">
        <v>624</v>
      </c>
      <c r="G542" s="74">
        <v>2037</v>
      </c>
      <c r="H542" s="72">
        <v>94.870157000000006</v>
      </c>
      <c r="I542" s="73">
        <v>193250.50980900001</v>
      </c>
      <c r="J542" s="72">
        <v>96.692672049999999</v>
      </c>
      <c r="K542" s="73">
        <v>-3712.4631568499999</v>
      </c>
      <c r="L542" s="74">
        <v>0</v>
      </c>
      <c r="M542" s="73">
        <v>0</v>
      </c>
      <c r="N542" s="74">
        <v>0</v>
      </c>
      <c r="O542" s="73">
        <v>0</v>
      </c>
      <c r="P542" s="74">
        <v>2037</v>
      </c>
      <c r="Q542" s="73">
        <v>193250.50980900001</v>
      </c>
      <c r="R542" s="71" t="s">
        <v>625</v>
      </c>
      <c r="S542" s="71">
        <v>7414000005</v>
      </c>
      <c r="AB542"/>
      <c r="AC542"/>
    </row>
    <row r="543" spans="1:29" x14ac:dyDescent="0.25">
      <c r="A543" t="str">
        <f t="shared" si="9"/>
        <v xml:space="preserve">1036527GOBFED 290301       </v>
      </c>
      <c r="B543" s="71">
        <v>1036527</v>
      </c>
      <c r="C543" s="71" t="s">
        <v>696</v>
      </c>
      <c r="D543" s="71" t="s">
        <v>382</v>
      </c>
      <c r="E543" s="71" t="s">
        <v>623</v>
      </c>
      <c r="F543" s="71" t="s">
        <v>624</v>
      </c>
      <c r="G543" s="74">
        <v>8702</v>
      </c>
      <c r="H543" s="72">
        <v>89.489464999999996</v>
      </c>
      <c r="I543" s="73">
        <v>778737.32443000004</v>
      </c>
      <c r="J543" s="72">
        <v>90.50660378774765</v>
      </c>
      <c r="K543" s="73">
        <v>-8851.1417309799999</v>
      </c>
      <c r="L543" s="74">
        <v>0</v>
      </c>
      <c r="M543" s="73">
        <v>0</v>
      </c>
      <c r="N543" s="74">
        <v>0</v>
      </c>
      <c r="O543" s="73">
        <v>0</v>
      </c>
      <c r="P543" s="74">
        <v>8702</v>
      </c>
      <c r="Q543" s="73">
        <v>778737.32443000004</v>
      </c>
      <c r="R543" s="71" t="s">
        <v>625</v>
      </c>
      <c r="S543" s="71">
        <v>7414000005</v>
      </c>
      <c r="AB543"/>
      <c r="AC543"/>
    </row>
    <row r="544" spans="1:29" x14ac:dyDescent="0.25">
      <c r="A544" t="str">
        <f t="shared" si="9"/>
        <v xml:space="preserve">1036527GOBFED 290531       </v>
      </c>
      <c r="B544" s="71">
        <v>1036527</v>
      </c>
      <c r="C544" s="71" t="s">
        <v>696</v>
      </c>
      <c r="D544" s="71" t="s">
        <v>383</v>
      </c>
      <c r="E544" s="71" t="s">
        <v>623</v>
      </c>
      <c r="F544" s="71" t="s">
        <v>624</v>
      </c>
      <c r="G544" s="74">
        <v>5760</v>
      </c>
      <c r="H544" s="72">
        <v>86.197128000000006</v>
      </c>
      <c r="I544" s="73">
        <v>496495.45727999997</v>
      </c>
      <c r="J544" s="72">
        <v>89.871190485243062</v>
      </c>
      <c r="K544" s="73">
        <v>-21162.599914999999</v>
      </c>
      <c r="L544" s="74">
        <v>0</v>
      </c>
      <c r="M544" s="73">
        <v>0</v>
      </c>
      <c r="N544" s="74">
        <v>0</v>
      </c>
      <c r="O544" s="73">
        <v>0</v>
      </c>
      <c r="P544" s="74">
        <v>5760</v>
      </c>
      <c r="Q544" s="73">
        <v>496495.45727999997</v>
      </c>
      <c r="R544" s="71" t="s">
        <v>625</v>
      </c>
      <c r="S544" s="71">
        <v>7414000005</v>
      </c>
      <c r="AB544"/>
      <c r="AC544"/>
    </row>
    <row r="545" spans="1:29" x14ac:dyDescent="0.25">
      <c r="A545" t="str">
        <f t="shared" si="9"/>
        <v xml:space="preserve">1036527GOBFED 310529       </v>
      </c>
      <c r="B545" s="71">
        <v>1036527</v>
      </c>
      <c r="C545" s="71" t="s">
        <v>696</v>
      </c>
      <c r="D545" s="71" t="s">
        <v>427</v>
      </c>
      <c r="E545" s="71" t="s">
        <v>623</v>
      </c>
      <c r="F545" s="71" t="s">
        <v>624</v>
      </c>
      <c r="G545" s="74">
        <v>21055</v>
      </c>
      <c r="H545" s="72">
        <v>86.469353999999996</v>
      </c>
      <c r="I545" s="73">
        <v>1820612.24847</v>
      </c>
      <c r="J545" s="72">
        <v>90.802627438551411</v>
      </c>
      <c r="K545" s="73">
        <v>-91237.072248700002</v>
      </c>
      <c r="L545" s="74">
        <v>0</v>
      </c>
      <c r="M545" s="73">
        <v>0</v>
      </c>
      <c r="N545" s="74">
        <v>0</v>
      </c>
      <c r="O545" s="73">
        <v>0</v>
      </c>
      <c r="P545" s="74">
        <v>21055</v>
      </c>
      <c r="Q545" s="73">
        <v>1820612.24847</v>
      </c>
      <c r="R545" s="71" t="s">
        <v>625</v>
      </c>
      <c r="S545" s="71">
        <v>7414000005</v>
      </c>
      <c r="AB545"/>
      <c r="AC545"/>
    </row>
    <row r="546" spans="1:29" x14ac:dyDescent="0.25">
      <c r="A546" t="str">
        <f t="shared" si="9"/>
        <v xml:space="preserve">1036527GOBFED 330526       </v>
      </c>
      <c r="B546" s="71">
        <v>1036527</v>
      </c>
      <c r="C546" s="71" t="s">
        <v>696</v>
      </c>
      <c r="D546" s="71" t="s">
        <v>418</v>
      </c>
      <c r="E546" s="71" t="s">
        <v>623</v>
      </c>
      <c r="F546" s="71" t="s">
        <v>624</v>
      </c>
      <c r="G546" s="74">
        <v>403</v>
      </c>
      <c r="H546" s="72">
        <v>101.45096599999999</v>
      </c>
      <c r="I546" s="73">
        <v>40884.739298</v>
      </c>
      <c r="J546" s="72">
        <v>117.68302937</v>
      </c>
      <c r="K546" s="73">
        <v>-6541.5215381099997</v>
      </c>
      <c r="L546" s="74">
        <v>0</v>
      </c>
      <c r="M546" s="73">
        <v>0</v>
      </c>
      <c r="N546" s="74">
        <v>0</v>
      </c>
      <c r="O546" s="73">
        <v>0</v>
      </c>
      <c r="P546" s="74">
        <v>403</v>
      </c>
      <c r="Q546" s="73">
        <v>40884.739298</v>
      </c>
      <c r="R546" s="71" t="s">
        <v>625</v>
      </c>
      <c r="S546" s="71">
        <v>7414000005</v>
      </c>
      <c r="AB546"/>
      <c r="AC546"/>
    </row>
    <row r="547" spans="1:29" x14ac:dyDescent="0.25">
      <c r="A547" t="str">
        <f t="shared" si="9"/>
        <v xml:space="preserve">1036527GOBFED 341123       </v>
      </c>
      <c r="B547" s="71">
        <v>1036527</v>
      </c>
      <c r="C547" s="71" t="s">
        <v>696</v>
      </c>
      <c r="D547" s="71" t="s">
        <v>408</v>
      </c>
      <c r="E547" s="71" t="s">
        <v>623</v>
      </c>
      <c r="F547" s="71" t="s">
        <v>624</v>
      </c>
      <c r="G547" s="74">
        <v>517</v>
      </c>
      <c r="H547" s="72">
        <v>89.643172000000007</v>
      </c>
      <c r="I547" s="73">
        <v>46345.519924</v>
      </c>
      <c r="J547" s="72">
        <v>117.58450777</v>
      </c>
      <c r="K547" s="73">
        <v>-14445.670593090001</v>
      </c>
      <c r="L547" s="74">
        <v>0</v>
      </c>
      <c r="M547" s="73">
        <v>0</v>
      </c>
      <c r="N547" s="74">
        <v>0</v>
      </c>
      <c r="O547" s="73">
        <v>0</v>
      </c>
      <c r="P547" s="74">
        <v>517</v>
      </c>
      <c r="Q547" s="73">
        <v>46345.519924</v>
      </c>
      <c r="R547" s="71" t="s">
        <v>625</v>
      </c>
      <c r="S547" s="71">
        <v>7414000005</v>
      </c>
      <c r="AB547"/>
      <c r="AC547"/>
    </row>
    <row r="548" spans="1:29" x14ac:dyDescent="0.25">
      <c r="A548" t="str">
        <f t="shared" si="9"/>
        <v xml:space="preserve">1036527GOBFED 361120       </v>
      </c>
      <c r="B548" s="71">
        <v>1036527</v>
      </c>
      <c r="C548" s="71" t="s">
        <v>696</v>
      </c>
      <c r="D548" s="71" t="s">
        <v>384</v>
      </c>
      <c r="E548" s="71" t="s">
        <v>623</v>
      </c>
      <c r="F548" s="71" t="s">
        <v>624</v>
      </c>
      <c r="G548" s="74">
        <v>10307</v>
      </c>
      <c r="H548" s="72">
        <v>81.738860000000003</v>
      </c>
      <c r="I548" s="73">
        <v>842482.43001999997</v>
      </c>
      <c r="J548" s="72">
        <v>86.462077079004558</v>
      </c>
      <c r="K548" s="73">
        <v>-48682.1984333</v>
      </c>
      <c r="L548" s="74">
        <v>0</v>
      </c>
      <c r="M548" s="73">
        <v>0</v>
      </c>
      <c r="N548" s="74">
        <v>0</v>
      </c>
      <c r="O548" s="73">
        <v>0</v>
      </c>
      <c r="P548" s="74">
        <v>10307</v>
      </c>
      <c r="Q548" s="73">
        <v>842482.43001999997</v>
      </c>
      <c r="R548" s="71" t="s">
        <v>625</v>
      </c>
      <c r="S548" s="71">
        <v>7414000005</v>
      </c>
      <c r="AB548"/>
      <c r="AC548"/>
    </row>
    <row r="549" spans="1:29" x14ac:dyDescent="0.25">
      <c r="A549" t="str">
        <f t="shared" si="9"/>
        <v xml:space="preserve">1036527GOBFED 381118       </v>
      </c>
      <c r="B549" s="71">
        <v>1036527</v>
      </c>
      <c r="C549" s="71" t="s">
        <v>696</v>
      </c>
      <c r="D549" s="71" t="s">
        <v>385</v>
      </c>
      <c r="E549" s="71" t="s">
        <v>623</v>
      </c>
      <c r="F549" s="71" t="s">
        <v>624</v>
      </c>
      <c r="G549" s="74">
        <v>2487</v>
      </c>
      <c r="H549" s="72">
        <v>83.200761</v>
      </c>
      <c r="I549" s="73">
        <v>206920.29260700001</v>
      </c>
      <c r="J549" s="72">
        <v>94.396286534752718</v>
      </c>
      <c r="K549" s="73">
        <v>-27843.272004930001</v>
      </c>
      <c r="L549" s="74">
        <v>0</v>
      </c>
      <c r="M549" s="73">
        <v>0</v>
      </c>
      <c r="N549" s="74">
        <v>0</v>
      </c>
      <c r="O549" s="73">
        <v>0</v>
      </c>
      <c r="P549" s="74">
        <v>2487</v>
      </c>
      <c r="Q549" s="73">
        <v>206920.29260700001</v>
      </c>
      <c r="R549" s="71" t="s">
        <v>625</v>
      </c>
      <c r="S549" s="71">
        <v>7414000005</v>
      </c>
      <c r="AB549"/>
      <c r="AC549"/>
    </row>
    <row r="550" spans="1:29" x14ac:dyDescent="0.25">
      <c r="A550" t="str">
        <f t="shared" si="9"/>
        <v xml:space="preserve">1036527GOBFED 421113       </v>
      </c>
      <c r="B550" s="71">
        <v>1036527</v>
      </c>
      <c r="C550" s="71" t="s">
        <v>696</v>
      </c>
      <c r="D550" s="71" t="s">
        <v>386</v>
      </c>
      <c r="E550" s="71" t="s">
        <v>623</v>
      </c>
      <c r="F550" s="71" t="s">
        <v>624</v>
      </c>
      <c r="G550" s="74">
        <v>15918</v>
      </c>
      <c r="H550" s="72">
        <v>82.159907000000004</v>
      </c>
      <c r="I550" s="73">
        <v>1307821.3996260001</v>
      </c>
      <c r="J550" s="72">
        <v>84.278742291020222</v>
      </c>
      <c r="K550" s="73">
        <v>-33727.62016246</v>
      </c>
      <c r="L550" s="74">
        <v>0</v>
      </c>
      <c r="M550" s="73">
        <v>0</v>
      </c>
      <c r="N550" s="74">
        <v>0</v>
      </c>
      <c r="O550" s="73">
        <v>0</v>
      </c>
      <c r="P550" s="74">
        <v>15918</v>
      </c>
      <c r="Q550" s="73">
        <v>1307821.3996260001</v>
      </c>
      <c r="R550" s="71" t="s">
        <v>625</v>
      </c>
      <c r="S550" s="71">
        <v>7414000005</v>
      </c>
      <c r="AB550"/>
      <c r="AC550"/>
    </row>
    <row r="551" spans="1:29" x14ac:dyDescent="0.25">
      <c r="A551" t="str">
        <f t="shared" si="9"/>
        <v xml:space="preserve">1036527GOBFED 471107       </v>
      </c>
      <c r="B551" s="71">
        <v>1036527</v>
      </c>
      <c r="C551" s="71" t="s">
        <v>696</v>
      </c>
      <c r="D551" s="71" t="s">
        <v>429</v>
      </c>
      <c r="E551" s="71" t="s">
        <v>623</v>
      </c>
      <c r="F551" s="71" t="s">
        <v>624</v>
      </c>
      <c r="G551" s="74">
        <v>8580</v>
      </c>
      <c r="H551" s="72">
        <v>98.007834000000003</v>
      </c>
      <c r="I551" s="73">
        <v>840907.21571999998</v>
      </c>
      <c r="J551" s="72">
        <v>92.06807809</v>
      </c>
      <c r="K551" s="73">
        <v>50963.105707800001</v>
      </c>
      <c r="L551" s="74">
        <v>0</v>
      </c>
      <c r="M551" s="73">
        <v>0</v>
      </c>
      <c r="N551" s="74">
        <v>0</v>
      </c>
      <c r="O551" s="73">
        <v>0</v>
      </c>
      <c r="P551" s="74">
        <v>8580</v>
      </c>
      <c r="Q551" s="73">
        <v>840907.21571999998</v>
      </c>
      <c r="R551" s="71" t="s">
        <v>625</v>
      </c>
      <c r="S551" s="71">
        <v>7414000005</v>
      </c>
      <c r="AB551"/>
      <c r="AC551"/>
    </row>
    <row r="552" spans="1:29" x14ac:dyDescent="0.25">
      <c r="A552" t="str">
        <f t="shared" si="9"/>
        <v xml:space="preserve">1036527GOBFED 530731       </v>
      </c>
      <c r="B552" s="71">
        <v>1036527</v>
      </c>
      <c r="C552" s="71" t="s">
        <v>696</v>
      </c>
      <c r="D552" s="71" t="s">
        <v>389</v>
      </c>
      <c r="E552" s="71" t="s">
        <v>623</v>
      </c>
      <c r="F552" s="71" t="s">
        <v>624</v>
      </c>
      <c r="G552" s="74">
        <v>1231571</v>
      </c>
      <c r="H552" s="72">
        <v>3.3967719999999999</v>
      </c>
      <c r="I552" s="73">
        <v>4183365.8888119999</v>
      </c>
      <c r="J552" s="72">
        <v>3.3071989109844258</v>
      </c>
      <c r="K552" s="73">
        <v>110315.618812</v>
      </c>
      <c r="L552" s="74">
        <v>0</v>
      </c>
      <c r="M552" s="73">
        <v>0</v>
      </c>
      <c r="N552" s="74">
        <v>0</v>
      </c>
      <c r="O552" s="73">
        <v>0</v>
      </c>
      <c r="P552" s="74">
        <v>1231571</v>
      </c>
      <c r="Q552" s="73">
        <v>4183365.8888119999</v>
      </c>
      <c r="R552" s="71" t="s">
        <v>625</v>
      </c>
      <c r="S552" s="71">
        <v>7414000005</v>
      </c>
      <c r="AB552"/>
      <c r="AC552"/>
    </row>
    <row r="553" spans="1:29" x14ac:dyDescent="0.25">
      <c r="A553" t="str">
        <f t="shared" si="9"/>
        <v xml:space="preserve">1036527PEMEX 13-2          </v>
      </c>
      <c r="B553" s="71">
        <v>1036527</v>
      </c>
      <c r="C553" s="71" t="s">
        <v>696</v>
      </c>
      <c r="D553" s="71" t="s">
        <v>417</v>
      </c>
      <c r="E553" s="71" t="s">
        <v>623</v>
      </c>
      <c r="F553" s="71" t="s">
        <v>624</v>
      </c>
      <c r="G553" s="74">
        <v>1572064</v>
      </c>
      <c r="H553" s="72">
        <v>3.8832339999999999</v>
      </c>
      <c r="I553" s="73">
        <v>6104692.3749759998</v>
      </c>
      <c r="J553" s="72">
        <v>2.8718089467095487</v>
      </c>
      <c r="K553" s="73">
        <v>1590024.9149760001</v>
      </c>
      <c r="L553" s="74">
        <v>0</v>
      </c>
      <c r="M553" s="73">
        <v>0</v>
      </c>
      <c r="N553" s="74">
        <v>0</v>
      </c>
      <c r="O553" s="73">
        <v>0</v>
      </c>
      <c r="P553" s="74">
        <v>1572064</v>
      </c>
      <c r="Q553" s="73">
        <v>6104692.3749759998</v>
      </c>
      <c r="R553" s="71" t="s">
        <v>625</v>
      </c>
      <c r="S553" s="71">
        <v>7414000005</v>
      </c>
      <c r="AB553"/>
      <c r="AC553"/>
    </row>
    <row r="554" spans="1:29" x14ac:dyDescent="0.25">
      <c r="A554" t="str">
        <f t="shared" si="9"/>
        <v xml:space="preserve">1036527STERGOB ED          </v>
      </c>
      <c r="B554" s="71">
        <v>1036527</v>
      </c>
      <c r="C554" s="71" t="s">
        <v>696</v>
      </c>
      <c r="D554" s="71" t="s">
        <v>466</v>
      </c>
      <c r="E554" s="71" t="s">
        <v>623</v>
      </c>
      <c r="F554" s="71" t="s">
        <v>624</v>
      </c>
      <c r="G554" s="74">
        <v>122</v>
      </c>
      <c r="H554" s="72">
        <v>256.05011500000001</v>
      </c>
      <c r="I554" s="73">
        <v>31238.114030000001</v>
      </c>
      <c r="J554" s="72">
        <v>487.31725979999999</v>
      </c>
      <c r="K554" s="73">
        <v>-28214.591665600001</v>
      </c>
      <c r="L554" s="74">
        <v>0</v>
      </c>
      <c r="M554" s="73">
        <v>0</v>
      </c>
      <c r="N554" s="74">
        <v>0</v>
      </c>
      <c r="O554" s="73">
        <v>0</v>
      </c>
      <c r="P554" s="74">
        <v>122</v>
      </c>
      <c r="Q554" s="73">
        <v>31238.114030000001</v>
      </c>
      <c r="R554" s="71" t="s">
        <v>625</v>
      </c>
      <c r="S554" s="71">
        <v>7414000005</v>
      </c>
      <c r="AB554"/>
      <c r="AC554"/>
    </row>
    <row r="555" spans="1:29" x14ac:dyDescent="0.25">
      <c r="A555" t="str">
        <f t="shared" si="9"/>
        <v xml:space="preserve">1036527STRGOB2 ED          </v>
      </c>
      <c r="B555" s="71">
        <v>1036527</v>
      </c>
      <c r="C555" s="71" t="s">
        <v>696</v>
      </c>
      <c r="D555" s="71" t="s">
        <v>391</v>
      </c>
      <c r="E555" s="71" t="s">
        <v>623</v>
      </c>
      <c r="F555" s="71" t="s">
        <v>624</v>
      </c>
      <c r="G555" s="74">
        <v>704</v>
      </c>
      <c r="H555" s="72">
        <v>775.69178699999998</v>
      </c>
      <c r="I555" s="73">
        <v>546087.01804800006</v>
      </c>
      <c r="J555" s="72">
        <v>678.53024991690336</v>
      </c>
      <c r="K555" s="73">
        <v>68401.722106500005</v>
      </c>
      <c r="L555" s="74">
        <v>0</v>
      </c>
      <c r="M555" s="73">
        <v>0</v>
      </c>
      <c r="N555" s="74">
        <v>0</v>
      </c>
      <c r="O555" s="73">
        <v>0</v>
      </c>
      <c r="P555" s="74">
        <v>704</v>
      </c>
      <c r="Q555" s="73">
        <v>546087.01804800006</v>
      </c>
      <c r="R555" s="71" t="s">
        <v>625</v>
      </c>
      <c r="S555" s="71">
        <v>7414000005</v>
      </c>
      <c r="AB555"/>
      <c r="AC555"/>
    </row>
    <row r="556" spans="1:29" x14ac:dyDescent="0.25">
      <c r="A556" t="str">
        <f t="shared" si="9"/>
        <v xml:space="preserve">1036527TFOVICB 15U         </v>
      </c>
      <c r="B556" s="71">
        <v>1036527</v>
      </c>
      <c r="C556" s="71" t="s">
        <v>696</v>
      </c>
      <c r="D556" s="71" t="s">
        <v>392</v>
      </c>
      <c r="E556" s="71" t="s">
        <v>623</v>
      </c>
      <c r="F556" s="71" t="s">
        <v>624</v>
      </c>
      <c r="G556" s="74">
        <v>1080</v>
      </c>
      <c r="H556" s="72">
        <v>747.17843200000004</v>
      </c>
      <c r="I556" s="73">
        <v>806952.70655999996</v>
      </c>
      <c r="J556" s="72">
        <v>709.91263918694449</v>
      </c>
      <c r="K556" s="73">
        <v>40247.056238099998</v>
      </c>
      <c r="L556" s="74">
        <v>0</v>
      </c>
      <c r="M556" s="73">
        <v>0</v>
      </c>
      <c r="N556" s="74">
        <v>0</v>
      </c>
      <c r="O556" s="73">
        <v>0</v>
      </c>
      <c r="P556" s="74">
        <v>1080</v>
      </c>
      <c r="Q556" s="73">
        <v>806952.70655999996</v>
      </c>
      <c r="R556" s="71" t="s">
        <v>625</v>
      </c>
      <c r="S556" s="71">
        <v>7414000005</v>
      </c>
      <c r="AB556"/>
      <c r="AC556"/>
    </row>
    <row r="557" spans="1:29" x14ac:dyDescent="0.25">
      <c r="A557" t="str">
        <f t="shared" si="9"/>
        <v xml:space="preserve">1036527UDIBONO 251204      </v>
      </c>
      <c r="B557" s="71">
        <v>1036527</v>
      </c>
      <c r="C557" s="71" t="s">
        <v>696</v>
      </c>
      <c r="D557" s="71" t="s">
        <v>393</v>
      </c>
      <c r="E557" s="71" t="s">
        <v>623</v>
      </c>
      <c r="F557" s="71" t="s">
        <v>624</v>
      </c>
      <c r="G557" s="74">
        <v>1134</v>
      </c>
      <c r="H557" s="72">
        <v>765.92388300000005</v>
      </c>
      <c r="I557" s="73">
        <v>868557.68332199997</v>
      </c>
      <c r="J557" s="72">
        <v>750.48320679506173</v>
      </c>
      <c r="K557" s="73">
        <v>17509.726816400002</v>
      </c>
      <c r="L557" s="74">
        <v>0</v>
      </c>
      <c r="M557" s="73">
        <v>0</v>
      </c>
      <c r="N557" s="74">
        <v>0</v>
      </c>
      <c r="O557" s="73">
        <v>0</v>
      </c>
      <c r="P557" s="74">
        <v>1134</v>
      </c>
      <c r="Q557" s="73">
        <v>868557.68332199997</v>
      </c>
      <c r="R557" s="71" t="s">
        <v>625</v>
      </c>
      <c r="S557" s="71">
        <v>7414000005</v>
      </c>
      <c r="AB557"/>
      <c r="AC557"/>
    </row>
    <row r="558" spans="1:29" x14ac:dyDescent="0.25">
      <c r="A558" t="str">
        <f t="shared" si="9"/>
        <v xml:space="preserve">1036527UDIBONO 261203      </v>
      </c>
      <c r="B558" s="71">
        <v>1036527</v>
      </c>
      <c r="C558" s="71" t="s">
        <v>696</v>
      </c>
      <c r="D558" s="71" t="s">
        <v>394</v>
      </c>
      <c r="E558" s="71" t="s">
        <v>623</v>
      </c>
      <c r="F558" s="71" t="s">
        <v>624</v>
      </c>
      <c r="G558" s="74">
        <v>4695</v>
      </c>
      <c r="H558" s="72">
        <v>684.88915799999995</v>
      </c>
      <c r="I558" s="73">
        <v>3215554.59681</v>
      </c>
      <c r="J558" s="72">
        <v>677.10494539680508</v>
      </c>
      <c r="K558" s="73">
        <v>36546.878171999997</v>
      </c>
      <c r="L558" s="74">
        <v>0</v>
      </c>
      <c r="M558" s="73">
        <v>0</v>
      </c>
      <c r="N558" s="74">
        <v>0</v>
      </c>
      <c r="O558" s="73">
        <v>0</v>
      </c>
      <c r="P558" s="74">
        <v>4695</v>
      </c>
      <c r="Q558" s="73">
        <v>3215554.59681</v>
      </c>
      <c r="R558" s="71" t="s">
        <v>625</v>
      </c>
      <c r="S558" s="71">
        <v>7414000005</v>
      </c>
      <c r="AB558"/>
      <c r="AC558"/>
    </row>
    <row r="559" spans="1:29" x14ac:dyDescent="0.25">
      <c r="A559" t="str">
        <f t="shared" si="9"/>
        <v xml:space="preserve">1036527UDIBONO 281130      </v>
      </c>
      <c r="B559" s="71">
        <v>1036527</v>
      </c>
      <c r="C559" s="71" t="s">
        <v>696</v>
      </c>
      <c r="D559" s="71" t="s">
        <v>395</v>
      </c>
      <c r="E559" s="71" t="s">
        <v>623</v>
      </c>
      <c r="F559" s="71" t="s">
        <v>624</v>
      </c>
      <c r="G559" s="74">
        <v>473</v>
      </c>
      <c r="H559" s="72">
        <v>772.926965</v>
      </c>
      <c r="I559" s="73">
        <v>365594.45444499998</v>
      </c>
      <c r="J559" s="72">
        <v>798.93664675000002</v>
      </c>
      <c r="K559" s="73">
        <v>-12302.57946775</v>
      </c>
      <c r="L559" s="74">
        <v>0</v>
      </c>
      <c r="M559" s="73">
        <v>0</v>
      </c>
      <c r="N559" s="74">
        <v>0</v>
      </c>
      <c r="O559" s="73">
        <v>0</v>
      </c>
      <c r="P559" s="74">
        <v>473</v>
      </c>
      <c r="Q559" s="73">
        <v>365594.45444499998</v>
      </c>
      <c r="R559" s="71" t="s">
        <v>625</v>
      </c>
      <c r="S559" s="71">
        <v>7414000005</v>
      </c>
      <c r="AB559"/>
      <c r="AC559"/>
    </row>
    <row r="560" spans="1:29" x14ac:dyDescent="0.25">
      <c r="A560" t="str">
        <f t="shared" si="9"/>
        <v xml:space="preserve">1036527UDIBONO 311127      </v>
      </c>
      <c r="B560" s="71">
        <v>1036527</v>
      </c>
      <c r="C560" s="71" t="s">
        <v>696</v>
      </c>
      <c r="D560" s="71" t="s">
        <v>396</v>
      </c>
      <c r="E560" s="71" t="s">
        <v>623</v>
      </c>
      <c r="F560" s="71" t="s">
        <v>624</v>
      </c>
      <c r="G560" s="74">
        <v>571</v>
      </c>
      <c r="H560" s="72">
        <v>721.59464000000003</v>
      </c>
      <c r="I560" s="73">
        <v>412030.53944000002</v>
      </c>
      <c r="J560" s="72">
        <v>758.40882911189146</v>
      </c>
      <c r="K560" s="73">
        <v>-21020.901982889998</v>
      </c>
      <c r="L560" s="74">
        <v>0</v>
      </c>
      <c r="M560" s="73">
        <v>0</v>
      </c>
      <c r="N560" s="74">
        <v>0</v>
      </c>
      <c r="O560" s="73">
        <v>0</v>
      </c>
      <c r="P560" s="74">
        <v>571</v>
      </c>
      <c r="Q560" s="73">
        <v>412030.53944000002</v>
      </c>
      <c r="R560" s="71" t="s">
        <v>625</v>
      </c>
      <c r="S560" s="71">
        <v>7414000005</v>
      </c>
      <c r="AB560"/>
      <c r="AC560"/>
    </row>
    <row r="561" spans="1:29" x14ac:dyDescent="0.25">
      <c r="A561" t="str">
        <f t="shared" si="9"/>
        <v xml:space="preserve">1036527UDIBONO 351122      </v>
      </c>
      <c r="B561" s="71">
        <v>1036527</v>
      </c>
      <c r="C561" s="71" t="s">
        <v>696</v>
      </c>
      <c r="D561" s="71" t="s">
        <v>397</v>
      </c>
      <c r="E561" s="71" t="s">
        <v>623</v>
      </c>
      <c r="F561" s="71" t="s">
        <v>624</v>
      </c>
      <c r="G561" s="74">
        <v>469</v>
      </c>
      <c r="H561" s="72">
        <v>635.96311900000001</v>
      </c>
      <c r="I561" s="73">
        <v>298266.702811</v>
      </c>
      <c r="J561" s="72">
        <v>647.93802047999998</v>
      </c>
      <c r="K561" s="73">
        <v>-5616.2287941200002</v>
      </c>
      <c r="L561" s="74">
        <v>0</v>
      </c>
      <c r="M561" s="73">
        <v>0</v>
      </c>
      <c r="N561" s="74">
        <v>0</v>
      </c>
      <c r="O561" s="73">
        <v>0</v>
      </c>
      <c r="P561" s="74">
        <v>469</v>
      </c>
      <c r="Q561" s="73">
        <v>298266.702811</v>
      </c>
      <c r="R561" s="71" t="s">
        <v>625</v>
      </c>
      <c r="S561" s="71">
        <v>7414000005</v>
      </c>
      <c r="AB561"/>
      <c r="AC561"/>
    </row>
    <row r="562" spans="1:29" x14ac:dyDescent="0.25">
      <c r="A562" t="str">
        <f t="shared" si="9"/>
        <v xml:space="preserve">1036527UDIBONO 401115      </v>
      </c>
      <c r="B562" s="71">
        <v>1036527</v>
      </c>
      <c r="C562" s="71" t="s">
        <v>696</v>
      </c>
      <c r="D562" s="71" t="s">
        <v>398</v>
      </c>
      <c r="E562" s="71" t="s">
        <v>623</v>
      </c>
      <c r="F562" s="71" t="s">
        <v>624</v>
      </c>
      <c r="G562" s="74">
        <v>875</v>
      </c>
      <c r="H562" s="72">
        <v>709.36974099999998</v>
      </c>
      <c r="I562" s="73">
        <v>620698.52337499999</v>
      </c>
      <c r="J562" s="72">
        <v>728.51284808879996</v>
      </c>
      <c r="K562" s="73">
        <v>-16750.2187027</v>
      </c>
      <c r="L562" s="74">
        <v>0</v>
      </c>
      <c r="M562" s="73">
        <v>0</v>
      </c>
      <c r="N562" s="74">
        <v>0</v>
      </c>
      <c r="O562" s="73">
        <v>0</v>
      </c>
      <c r="P562" s="74">
        <v>875</v>
      </c>
      <c r="Q562" s="73">
        <v>620698.52337499999</v>
      </c>
      <c r="R562" s="71" t="s">
        <v>625</v>
      </c>
      <c r="S562" s="71">
        <v>7414000005</v>
      </c>
      <c r="AB562"/>
      <c r="AC562"/>
    </row>
    <row r="563" spans="1:29" x14ac:dyDescent="0.25">
      <c r="A563" t="str">
        <f t="shared" si="9"/>
        <v xml:space="preserve">1036527UDIBONO 431112      </v>
      </c>
      <c r="B563" s="71">
        <v>1036527</v>
      </c>
      <c r="C563" s="71" t="s">
        <v>696</v>
      </c>
      <c r="D563" s="71" t="s">
        <v>399</v>
      </c>
      <c r="E563" s="71" t="s">
        <v>623</v>
      </c>
      <c r="F563" s="71" t="s">
        <v>624</v>
      </c>
      <c r="G563" s="74">
        <v>2939</v>
      </c>
      <c r="H563" s="72">
        <v>694.41118700000004</v>
      </c>
      <c r="I563" s="73">
        <v>2040874.478593</v>
      </c>
      <c r="J563" s="72">
        <v>723.71357297702957</v>
      </c>
      <c r="K563" s="73">
        <v>-86119.712386490006</v>
      </c>
      <c r="L563" s="74">
        <v>0</v>
      </c>
      <c r="M563" s="73">
        <v>0</v>
      </c>
      <c r="N563" s="74">
        <v>0</v>
      </c>
      <c r="O563" s="73">
        <v>0</v>
      </c>
      <c r="P563" s="74">
        <v>2939</v>
      </c>
      <c r="Q563" s="73">
        <v>2040874.478593</v>
      </c>
      <c r="R563" s="71" t="s">
        <v>625</v>
      </c>
      <c r="S563" s="71">
        <v>7414000005</v>
      </c>
      <c r="AB563"/>
      <c r="AC563"/>
    </row>
    <row r="564" spans="1:29" x14ac:dyDescent="0.25">
      <c r="A564" t="str">
        <f t="shared" si="9"/>
        <v xml:space="preserve">1036527UDIBONO 461108      </v>
      </c>
      <c r="B564" s="71">
        <v>1036528</v>
      </c>
      <c r="C564" s="71" t="s">
        <v>696</v>
      </c>
      <c r="D564" s="71" t="s">
        <v>363</v>
      </c>
      <c r="E564" s="71" t="s">
        <v>623</v>
      </c>
      <c r="F564" s="71" t="s">
        <v>624</v>
      </c>
      <c r="G564" s="74">
        <v>117241</v>
      </c>
      <c r="H564" s="72">
        <v>9.4935880000000008</v>
      </c>
      <c r="I564" s="73">
        <v>1113037.750708</v>
      </c>
      <c r="J564" s="72">
        <v>8.4405498100000003</v>
      </c>
      <c r="K564" s="73">
        <v>123459.25043379</v>
      </c>
      <c r="L564" s="74">
        <v>0</v>
      </c>
      <c r="M564" s="73">
        <v>0</v>
      </c>
      <c r="N564" s="74">
        <v>0</v>
      </c>
      <c r="O564" s="73">
        <v>0</v>
      </c>
      <c r="P564" s="74">
        <v>117241</v>
      </c>
      <c r="Q564" s="73">
        <v>1113037.750708</v>
      </c>
      <c r="R564" s="71" t="s">
        <v>625</v>
      </c>
      <c r="S564" s="71">
        <v>7414000005</v>
      </c>
      <c r="AB564"/>
      <c r="AC564"/>
    </row>
    <row r="565" spans="1:29" x14ac:dyDescent="0.25">
      <c r="A565" t="str">
        <f t="shared" si="9"/>
        <v xml:space="preserve">1036527UDIBONO 501103      </v>
      </c>
      <c r="B565" s="71">
        <v>1036528</v>
      </c>
      <c r="C565" s="71" t="s">
        <v>696</v>
      </c>
      <c r="D565" s="71" t="s">
        <v>409</v>
      </c>
      <c r="E565" s="71" t="s">
        <v>623</v>
      </c>
      <c r="F565" s="71" t="s">
        <v>624</v>
      </c>
      <c r="G565" s="74">
        <v>159710</v>
      </c>
      <c r="H565" s="72">
        <v>9.3381629999999998</v>
      </c>
      <c r="I565" s="73">
        <v>1491398.0127300001</v>
      </c>
      <c r="J565" s="72">
        <v>8.3307969100000001</v>
      </c>
      <c r="K565" s="73">
        <v>160886.4382339</v>
      </c>
      <c r="L565" s="74">
        <v>0</v>
      </c>
      <c r="M565" s="73">
        <v>0</v>
      </c>
      <c r="N565" s="74">
        <v>0</v>
      </c>
      <c r="O565" s="73">
        <v>0</v>
      </c>
      <c r="P565" s="74">
        <v>159710</v>
      </c>
      <c r="Q565" s="73">
        <v>1491398.0127300001</v>
      </c>
      <c r="R565" s="71" t="s">
        <v>625</v>
      </c>
      <c r="S565" s="71">
        <v>7414000005</v>
      </c>
      <c r="AB565"/>
      <c r="AC565"/>
    </row>
    <row r="566" spans="1:29" x14ac:dyDescent="0.25">
      <c r="A566" t="str">
        <f t="shared" si="9"/>
        <v xml:space="preserve">1036528CETES 241003        </v>
      </c>
      <c r="B566" s="71">
        <v>1036528</v>
      </c>
      <c r="C566" s="71" t="s">
        <v>696</v>
      </c>
      <c r="D566" s="71" t="s">
        <v>364</v>
      </c>
      <c r="E566" s="71" t="s">
        <v>623</v>
      </c>
      <c r="F566" s="71" t="s">
        <v>624</v>
      </c>
      <c r="G566" s="74">
        <v>205170</v>
      </c>
      <c r="H566" s="72">
        <v>9.190137</v>
      </c>
      <c r="I566" s="73">
        <v>1885540.4082899999</v>
      </c>
      <c r="J566" s="72">
        <v>8.2168055598947216</v>
      </c>
      <c r="K566" s="73">
        <v>199698.4115664</v>
      </c>
      <c r="L566" s="74">
        <v>0</v>
      </c>
      <c r="M566" s="73">
        <v>0</v>
      </c>
      <c r="N566" s="74">
        <v>0</v>
      </c>
      <c r="O566" s="73">
        <v>0</v>
      </c>
      <c r="P566" s="74">
        <v>205170</v>
      </c>
      <c r="Q566" s="73">
        <v>1885540.4082899999</v>
      </c>
      <c r="R566" s="71" t="s">
        <v>625</v>
      </c>
      <c r="S566" s="71">
        <v>7414000005</v>
      </c>
      <c r="AB566"/>
      <c r="AC566"/>
    </row>
    <row r="567" spans="1:29" x14ac:dyDescent="0.25">
      <c r="A567" t="str">
        <f t="shared" si="9"/>
        <v xml:space="preserve">1036528CETES 241128        </v>
      </c>
      <c r="B567" s="71">
        <v>1036528</v>
      </c>
      <c r="C567" s="71" t="s">
        <v>696</v>
      </c>
      <c r="D567" s="71" t="s">
        <v>554</v>
      </c>
      <c r="E567" s="71" t="s">
        <v>623</v>
      </c>
      <c r="F567" s="71" t="s">
        <v>624</v>
      </c>
      <c r="G567" s="74">
        <v>56400</v>
      </c>
      <c r="H567" s="72">
        <v>8.3813510000000004</v>
      </c>
      <c r="I567" s="73">
        <v>472708.19640000002</v>
      </c>
      <c r="J567" s="72">
        <v>8.2700011300000007</v>
      </c>
      <c r="K567" s="73">
        <v>6280.1326680000002</v>
      </c>
      <c r="L567" s="74">
        <v>0</v>
      </c>
      <c r="M567" s="73">
        <v>0</v>
      </c>
      <c r="N567" s="74">
        <v>0</v>
      </c>
      <c r="O567" s="73">
        <v>0</v>
      </c>
      <c r="P567" s="74">
        <v>56400</v>
      </c>
      <c r="Q567" s="73">
        <v>472708.19640000002</v>
      </c>
      <c r="R567" s="71" t="s">
        <v>625</v>
      </c>
      <c r="S567" s="71">
        <v>7414000005</v>
      </c>
      <c r="AB567"/>
      <c r="AC567"/>
    </row>
    <row r="568" spans="1:29" x14ac:dyDescent="0.25">
      <c r="A568" t="str">
        <f t="shared" si="9"/>
        <v xml:space="preserve">1036528CETES 250123        </v>
      </c>
      <c r="B568" s="71">
        <v>1036528</v>
      </c>
      <c r="C568" s="71" t="s">
        <v>696</v>
      </c>
      <c r="D568" s="71" t="s">
        <v>613</v>
      </c>
      <c r="E568" s="71" t="s">
        <v>623</v>
      </c>
      <c r="F568" s="71" t="s">
        <v>624</v>
      </c>
      <c r="G568" s="74">
        <v>115050</v>
      </c>
      <c r="H568" s="72">
        <v>8.2580650000000002</v>
      </c>
      <c r="I568" s="73">
        <v>950090.37824999995</v>
      </c>
      <c r="J568" s="72">
        <v>8.2501711100000001</v>
      </c>
      <c r="K568" s="73">
        <v>908.19204449999995</v>
      </c>
      <c r="L568" s="74">
        <v>0</v>
      </c>
      <c r="M568" s="73">
        <v>0</v>
      </c>
      <c r="N568" s="74">
        <v>0</v>
      </c>
      <c r="O568" s="73">
        <v>0</v>
      </c>
      <c r="P568" s="74">
        <v>115050</v>
      </c>
      <c r="Q568" s="73">
        <v>950090.37824999995</v>
      </c>
      <c r="R568" s="71" t="s">
        <v>625</v>
      </c>
      <c r="S568" s="71">
        <v>7414000005</v>
      </c>
      <c r="AB568"/>
      <c r="AC568"/>
    </row>
    <row r="569" spans="1:29" x14ac:dyDescent="0.25">
      <c r="A569" t="str">
        <f t="shared" si="9"/>
        <v xml:space="preserve">1036528CETES 251224        </v>
      </c>
      <c r="B569" s="71">
        <v>1036528</v>
      </c>
      <c r="C569" s="71" t="s">
        <v>696</v>
      </c>
      <c r="D569" s="71" t="s">
        <v>375</v>
      </c>
      <c r="E569" s="71" t="s">
        <v>623</v>
      </c>
      <c r="F569" s="71" t="s">
        <v>624</v>
      </c>
      <c r="G569" s="74">
        <v>3960</v>
      </c>
      <c r="H569" s="72">
        <v>98.730349000000004</v>
      </c>
      <c r="I569" s="73">
        <v>390972.18203999999</v>
      </c>
      <c r="J569" s="72">
        <v>104.73566667</v>
      </c>
      <c r="K569" s="73">
        <v>-23781.057973200001</v>
      </c>
      <c r="L569" s="74">
        <v>0</v>
      </c>
      <c r="M569" s="73">
        <v>0</v>
      </c>
      <c r="N569" s="74">
        <v>0</v>
      </c>
      <c r="O569" s="73">
        <v>0</v>
      </c>
      <c r="P569" s="74">
        <v>3960</v>
      </c>
      <c r="Q569" s="73">
        <v>390972.18203999999</v>
      </c>
      <c r="R569" s="71" t="s">
        <v>625</v>
      </c>
      <c r="S569" s="71">
        <v>7414000005</v>
      </c>
      <c r="AB569"/>
      <c r="AC569"/>
    </row>
    <row r="570" spans="1:29" x14ac:dyDescent="0.25">
      <c r="A570" t="str">
        <f t="shared" si="9"/>
        <v xml:space="preserve">1036528CETES 260219        </v>
      </c>
      <c r="B570" s="71">
        <v>1036528</v>
      </c>
      <c r="C570" s="71" t="s">
        <v>696</v>
      </c>
      <c r="D570" s="71" t="s">
        <v>376</v>
      </c>
      <c r="E570" s="71" t="s">
        <v>623</v>
      </c>
      <c r="F570" s="71" t="s">
        <v>624</v>
      </c>
      <c r="G570" s="74">
        <v>7594</v>
      </c>
      <c r="H570" s="72">
        <v>99.247497999999993</v>
      </c>
      <c r="I570" s="73">
        <v>753685.49981199997</v>
      </c>
      <c r="J570" s="72">
        <v>116.6275953918778</v>
      </c>
      <c r="K570" s="73">
        <v>-131984.45959392001</v>
      </c>
      <c r="L570" s="74">
        <v>0</v>
      </c>
      <c r="M570" s="73">
        <v>0</v>
      </c>
      <c r="N570" s="74">
        <v>0</v>
      </c>
      <c r="O570" s="73">
        <v>0</v>
      </c>
      <c r="P570" s="74">
        <v>7594</v>
      </c>
      <c r="Q570" s="73">
        <v>753685.49981199997</v>
      </c>
      <c r="R570" s="71" t="s">
        <v>625</v>
      </c>
      <c r="S570" s="71">
        <v>7414000005</v>
      </c>
      <c r="AB570"/>
      <c r="AC570"/>
    </row>
    <row r="571" spans="1:29" x14ac:dyDescent="0.25">
      <c r="A571" t="str">
        <f t="shared" si="9"/>
        <v xml:space="preserve">1036528GOBFED 240905       </v>
      </c>
      <c r="B571" s="71">
        <v>1036528</v>
      </c>
      <c r="C571" s="71" t="s">
        <v>696</v>
      </c>
      <c r="D571" s="71" t="s">
        <v>377</v>
      </c>
      <c r="E571" s="71" t="s">
        <v>623</v>
      </c>
      <c r="F571" s="71" t="s">
        <v>624</v>
      </c>
      <c r="G571" s="74">
        <v>9818</v>
      </c>
      <c r="H571" s="72">
        <v>94.973146999999997</v>
      </c>
      <c r="I571" s="73">
        <v>932446.35724599997</v>
      </c>
      <c r="J571" s="72">
        <v>90.009639141338354</v>
      </c>
      <c r="K571" s="73">
        <v>48731.720156340001</v>
      </c>
      <c r="L571" s="74">
        <v>0</v>
      </c>
      <c r="M571" s="73">
        <v>0</v>
      </c>
      <c r="N571" s="74">
        <v>0</v>
      </c>
      <c r="O571" s="73">
        <v>0</v>
      </c>
      <c r="P571" s="74">
        <v>9818</v>
      </c>
      <c r="Q571" s="73">
        <v>932446.35724599997</v>
      </c>
      <c r="R571" s="71" t="s">
        <v>625</v>
      </c>
      <c r="S571" s="71">
        <v>7414000005</v>
      </c>
      <c r="AB571"/>
      <c r="AC571"/>
    </row>
    <row r="572" spans="1:29" x14ac:dyDescent="0.25">
      <c r="A572" t="str">
        <f t="shared" si="9"/>
        <v xml:space="preserve">1036528GOBFED 241205       </v>
      </c>
      <c r="B572" s="71">
        <v>1036528</v>
      </c>
      <c r="C572" s="71" t="s">
        <v>696</v>
      </c>
      <c r="D572" s="71" t="s">
        <v>378</v>
      </c>
      <c r="E572" s="71" t="s">
        <v>623</v>
      </c>
      <c r="F572" s="71" t="s">
        <v>624</v>
      </c>
      <c r="G572" s="74">
        <v>5405</v>
      </c>
      <c r="H572" s="72">
        <v>91.911821000000003</v>
      </c>
      <c r="I572" s="73">
        <v>496783.392505</v>
      </c>
      <c r="J572" s="72">
        <v>93.2088459</v>
      </c>
      <c r="K572" s="73">
        <v>-7010.4195845000004</v>
      </c>
      <c r="L572" s="74">
        <v>0</v>
      </c>
      <c r="M572" s="73">
        <v>0</v>
      </c>
      <c r="N572" s="74">
        <v>0</v>
      </c>
      <c r="O572" s="73">
        <v>0</v>
      </c>
      <c r="P572" s="74">
        <v>5405</v>
      </c>
      <c r="Q572" s="73">
        <v>496783.392505</v>
      </c>
      <c r="R572" s="71" t="s">
        <v>625</v>
      </c>
      <c r="S572" s="71">
        <v>7414000005</v>
      </c>
      <c r="AB572"/>
      <c r="AC572"/>
    </row>
    <row r="573" spans="1:29" x14ac:dyDescent="0.25">
      <c r="A573" t="str">
        <f t="shared" si="9"/>
        <v xml:space="preserve">1036528GOBFED 250306       </v>
      </c>
      <c r="B573" s="71">
        <v>1036528</v>
      </c>
      <c r="C573" s="71" t="s">
        <v>696</v>
      </c>
      <c r="D573" s="71" t="s">
        <v>379</v>
      </c>
      <c r="E573" s="71" t="s">
        <v>623</v>
      </c>
      <c r="F573" s="71" t="s">
        <v>624</v>
      </c>
      <c r="G573" s="74">
        <v>9197</v>
      </c>
      <c r="H573" s="72">
        <v>88.698122999999995</v>
      </c>
      <c r="I573" s="73">
        <v>815756.637231</v>
      </c>
      <c r="J573" s="72">
        <v>85.778805720741545</v>
      </c>
      <c r="K573" s="73">
        <v>26848.96101734</v>
      </c>
      <c r="L573" s="74">
        <v>0</v>
      </c>
      <c r="M573" s="73">
        <v>0</v>
      </c>
      <c r="N573" s="74">
        <v>0</v>
      </c>
      <c r="O573" s="73">
        <v>0</v>
      </c>
      <c r="P573" s="74">
        <v>9197</v>
      </c>
      <c r="Q573" s="73">
        <v>815756.637231</v>
      </c>
      <c r="R573" s="71" t="s">
        <v>625</v>
      </c>
      <c r="S573" s="71">
        <v>7414000005</v>
      </c>
      <c r="AB573"/>
      <c r="AC573"/>
    </row>
    <row r="574" spans="1:29" x14ac:dyDescent="0.25">
      <c r="A574" t="str">
        <f t="shared" si="9"/>
        <v xml:space="preserve">1036528GOBFED 260305       </v>
      </c>
      <c r="B574" s="71">
        <v>1036528</v>
      </c>
      <c r="C574" s="71" t="s">
        <v>696</v>
      </c>
      <c r="D574" s="71" t="s">
        <v>380</v>
      </c>
      <c r="E574" s="71" t="s">
        <v>623</v>
      </c>
      <c r="F574" s="71" t="s">
        <v>624</v>
      </c>
      <c r="G574" s="74">
        <v>6301</v>
      </c>
      <c r="H574" s="72">
        <v>93.314192000000006</v>
      </c>
      <c r="I574" s="73">
        <v>587972.72379199998</v>
      </c>
      <c r="J574" s="72">
        <v>97.152168486657672</v>
      </c>
      <c r="K574" s="73">
        <v>-24183.089842429999</v>
      </c>
      <c r="L574" s="74">
        <v>0</v>
      </c>
      <c r="M574" s="73">
        <v>0</v>
      </c>
      <c r="N574" s="74">
        <v>0</v>
      </c>
      <c r="O574" s="73">
        <v>0</v>
      </c>
      <c r="P574" s="74">
        <v>6301</v>
      </c>
      <c r="Q574" s="73">
        <v>587972.72379199998</v>
      </c>
      <c r="R574" s="71" t="s">
        <v>625</v>
      </c>
      <c r="S574" s="71">
        <v>7414000005</v>
      </c>
      <c r="AB574"/>
      <c r="AC574"/>
    </row>
    <row r="575" spans="1:29" x14ac:dyDescent="0.25">
      <c r="A575" t="str">
        <f t="shared" si="9"/>
        <v xml:space="preserve">1036528GOBFED 270304       </v>
      </c>
      <c r="B575" s="71">
        <v>1036528</v>
      </c>
      <c r="C575" s="71" t="s">
        <v>696</v>
      </c>
      <c r="D575" s="71" t="s">
        <v>507</v>
      </c>
      <c r="E575" s="71" t="s">
        <v>623</v>
      </c>
      <c r="F575" s="71" t="s">
        <v>624</v>
      </c>
      <c r="G575" s="74">
        <v>5780</v>
      </c>
      <c r="H575" s="72">
        <v>94.864168000000006</v>
      </c>
      <c r="I575" s="73">
        <v>548314.89104000002</v>
      </c>
      <c r="J575" s="72">
        <v>96.492803807231837</v>
      </c>
      <c r="K575" s="73">
        <v>-9413.5149657999991</v>
      </c>
      <c r="L575" s="74">
        <v>0</v>
      </c>
      <c r="M575" s="73">
        <v>0</v>
      </c>
      <c r="N575" s="74">
        <v>0</v>
      </c>
      <c r="O575" s="73">
        <v>0</v>
      </c>
      <c r="P575" s="74">
        <v>5780</v>
      </c>
      <c r="Q575" s="73">
        <v>548314.89104000002</v>
      </c>
      <c r="R575" s="71" t="s">
        <v>625</v>
      </c>
      <c r="S575" s="71">
        <v>7414000005</v>
      </c>
      <c r="AB575"/>
      <c r="AC575"/>
    </row>
    <row r="576" spans="1:29" x14ac:dyDescent="0.25">
      <c r="A576" t="str">
        <f t="shared" si="9"/>
        <v xml:space="preserve">1036528GOBFED 270603       </v>
      </c>
      <c r="B576" s="71">
        <v>1036528</v>
      </c>
      <c r="C576" s="71" t="s">
        <v>696</v>
      </c>
      <c r="D576" s="71" t="s">
        <v>381</v>
      </c>
      <c r="E576" s="71" t="s">
        <v>623</v>
      </c>
      <c r="F576" s="71" t="s">
        <v>624</v>
      </c>
      <c r="G576" s="74">
        <v>2240</v>
      </c>
      <c r="H576" s="72">
        <v>94.870157000000006</v>
      </c>
      <c r="I576" s="73">
        <v>212509.15168000001</v>
      </c>
      <c r="J576" s="72">
        <v>96.692672049999999</v>
      </c>
      <c r="K576" s="73">
        <v>-4082.433712</v>
      </c>
      <c r="L576" s="74">
        <v>0</v>
      </c>
      <c r="M576" s="73">
        <v>0</v>
      </c>
      <c r="N576" s="74">
        <v>0</v>
      </c>
      <c r="O576" s="73">
        <v>0</v>
      </c>
      <c r="P576" s="74">
        <v>2240</v>
      </c>
      <c r="Q576" s="73">
        <v>212509.15168000001</v>
      </c>
      <c r="R576" s="71" t="s">
        <v>625</v>
      </c>
      <c r="S576" s="71">
        <v>7414000005</v>
      </c>
      <c r="AB576"/>
      <c r="AC576"/>
    </row>
    <row r="577" spans="1:29" x14ac:dyDescent="0.25">
      <c r="A577" t="str">
        <f t="shared" si="9"/>
        <v xml:space="preserve">1036528GOBFED 290301       </v>
      </c>
      <c r="B577" s="71">
        <v>1036528</v>
      </c>
      <c r="C577" s="71" t="s">
        <v>696</v>
      </c>
      <c r="D577" s="71" t="s">
        <v>382</v>
      </c>
      <c r="E577" s="71" t="s">
        <v>623</v>
      </c>
      <c r="F577" s="71" t="s">
        <v>624</v>
      </c>
      <c r="G577" s="74">
        <v>9538</v>
      </c>
      <c r="H577" s="72">
        <v>89.489464999999996</v>
      </c>
      <c r="I577" s="73">
        <v>853550.51717000001</v>
      </c>
      <c r="J577" s="72">
        <v>90.474746434348916</v>
      </c>
      <c r="K577" s="73">
        <v>-9397.6143208199992</v>
      </c>
      <c r="L577" s="74">
        <v>0</v>
      </c>
      <c r="M577" s="73">
        <v>0</v>
      </c>
      <c r="N577" s="74">
        <v>0</v>
      </c>
      <c r="O577" s="73">
        <v>0</v>
      </c>
      <c r="P577" s="74">
        <v>9538</v>
      </c>
      <c r="Q577" s="73">
        <v>853550.51717000001</v>
      </c>
      <c r="R577" s="71" t="s">
        <v>625</v>
      </c>
      <c r="S577" s="71">
        <v>7414000005</v>
      </c>
      <c r="AB577"/>
      <c r="AC577"/>
    </row>
    <row r="578" spans="1:29" x14ac:dyDescent="0.25">
      <c r="A578" t="str">
        <f t="shared" si="9"/>
        <v xml:space="preserve">1036528GOBFED 290531       </v>
      </c>
      <c r="B578" s="71">
        <v>1036528</v>
      </c>
      <c r="C578" s="71" t="s">
        <v>696</v>
      </c>
      <c r="D578" s="71" t="s">
        <v>383</v>
      </c>
      <c r="E578" s="71" t="s">
        <v>623</v>
      </c>
      <c r="F578" s="71" t="s">
        <v>624</v>
      </c>
      <c r="G578" s="74">
        <v>6380</v>
      </c>
      <c r="H578" s="72">
        <v>86.197128000000006</v>
      </c>
      <c r="I578" s="73">
        <v>549937.67663999996</v>
      </c>
      <c r="J578" s="72">
        <v>89.861306842946703</v>
      </c>
      <c r="K578" s="73">
        <v>-23377.461018000002</v>
      </c>
      <c r="L578" s="74">
        <v>0</v>
      </c>
      <c r="M578" s="73">
        <v>0</v>
      </c>
      <c r="N578" s="74">
        <v>0</v>
      </c>
      <c r="O578" s="73">
        <v>0</v>
      </c>
      <c r="P578" s="74">
        <v>6380</v>
      </c>
      <c r="Q578" s="73">
        <v>549937.67663999996</v>
      </c>
      <c r="R578" s="71" t="s">
        <v>625</v>
      </c>
      <c r="S578" s="71">
        <v>7414000005</v>
      </c>
      <c r="AB578"/>
      <c r="AC578"/>
    </row>
    <row r="579" spans="1:29" x14ac:dyDescent="0.25">
      <c r="A579" t="str">
        <f t="shared" si="9"/>
        <v xml:space="preserve">1036528GOBFED 310529       </v>
      </c>
      <c r="B579" s="71">
        <v>1036528</v>
      </c>
      <c r="C579" s="71" t="s">
        <v>696</v>
      </c>
      <c r="D579" s="71" t="s">
        <v>427</v>
      </c>
      <c r="E579" s="71" t="s">
        <v>623</v>
      </c>
      <c r="F579" s="71" t="s">
        <v>624</v>
      </c>
      <c r="G579" s="74">
        <v>30682</v>
      </c>
      <c r="H579" s="72">
        <v>86.469353999999996</v>
      </c>
      <c r="I579" s="73">
        <v>2653052.719428</v>
      </c>
      <c r="J579" s="72">
        <v>90.471505061123139</v>
      </c>
      <c r="K579" s="73">
        <v>-122793.99885737999</v>
      </c>
      <c r="L579" s="74">
        <v>0</v>
      </c>
      <c r="M579" s="73">
        <v>0</v>
      </c>
      <c r="N579" s="74">
        <v>0</v>
      </c>
      <c r="O579" s="73">
        <v>0</v>
      </c>
      <c r="P579" s="74">
        <v>30682</v>
      </c>
      <c r="Q579" s="73">
        <v>2653052.719428</v>
      </c>
      <c r="R579" s="71" t="s">
        <v>625</v>
      </c>
      <c r="S579" s="71">
        <v>7414000005</v>
      </c>
      <c r="AB579"/>
      <c r="AC579"/>
    </row>
    <row r="580" spans="1:29" x14ac:dyDescent="0.25">
      <c r="A580" t="str">
        <f t="shared" si="9"/>
        <v xml:space="preserve">1036528GOBFED 330526       </v>
      </c>
      <c r="B580" s="71">
        <v>1036528</v>
      </c>
      <c r="C580" s="71" t="s">
        <v>696</v>
      </c>
      <c r="D580" s="71" t="s">
        <v>418</v>
      </c>
      <c r="E580" s="71" t="s">
        <v>623</v>
      </c>
      <c r="F580" s="71" t="s">
        <v>624</v>
      </c>
      <c r="G580" s="74">
        <v>412</v>
      </c>
      <c r="H580" s="72">
        <v>101.45096599999999</v>
      </c>
      <c r="I580" s="73">
        <v>41797.797992</v>
      </c>
      <c r="J580" s="72">
        <v>117.16581832999999</v>
      </c>
      <c r="K580" s="73">
        <v>-6474.5191599600003</v>
      </c>
      <c r="L580" s="74">
        <v>0</v>
      </c>
      <c r="M580" s="73">
        <v>0</v>
      </c>
      <c r="N580" s="74">
        <v>0</v>
      </c>
      <c r="O580" s="73">
        <v>0</v>
      </c>
      <c r="P580" s="74">
        <v>412</v>
      </c>
      <c r="Q580" s="73">
        <v>41797.797992</v>
      </c>
      <c r="R580" s="71" t="s">
        <v>625</v>
      </c>
      <c r="S580" s="71">
        <v>7414000005</v>
      </c>
      <c r="AB580"/>
      <c r="AC580"/>
    </row>
    <row r="581" spans="1:29" x14ac:dyDescent="0.25">
      <c r="A581" t="str">
        <f t="shared" si="9"/>
        <v xml:space="preserve">1036528GOBFED 341123       </v>
      </c>
      <c r="B581" s="71">
        <v>1036528</v>
      </c>
      <c r="C581" s="71" t="s">
        <v>696</v>
      </c>
      <c r="D581" s="71" t="s">
        <v>408</v>
      </c>
      <c r="E581" s="71" t="s">
        <v>623</v>
      </c>
      <c r="F581" s="71" t="s">
        <v>624</v>
      </c>
      <c r="G581" s="74">
        <v>442</v>
      </c>
      <c r="H581" s="72">
        <v>89.643172000000007</v>
      </c>
      <c r="I581" s="73">
        <v>39622.282024</v>
      </c>
      <c r="J581" s="72">
        <v>117.61351206000001</v>
      </c>
      <c r="K581" s="73">
        <v>-12362.890306519999</v>
      </c>
      <c r="L581" s="74">
        <v>0</v>
      </c>
      <c r="M581" s="73">
        <v>0</v>
      </c>
      <c r="N581" s="74">
        <v>0</v>
      </c>
      <c r="O581" s="73">
        <v>0</v>
      </c>
      <c r="P581" s="74">
        <v>442</v>
      </c>
      <c r="Q581" s="73">
        <v>39622.282024</v>
      </c>
      <c r="R581" s="71" t="s">
        <v>625</v>
      </c>
      <c r="S581" s="71">
        <v>7414000005</v>
      </c>
      <c r="AB581"/>
      <c r="AC581"/>
    </row>
    <row r="582" spans="1:29" x14ac:dyDescent="0.25">
      <c r="A582" t="str">
        <f t="shared" si="9"/>
        <v xml:space="preserve">1036528GOBFED 361120       </v>
      </c>
      <c r="B582" s="71">
        <v>1036528</v>
      </c>
      <c r="C582" s="71" t="s">
        <v>696</v>
      </c>
      <c r="D582" s="71" t="s">
        <v>384</v>
      </c>
      <c r="E582" s="71" t="s">
        <v>623</v>
      </c>
      <c r="F582" s="71" t="s">
        <v>624</v>
      </c>
      <c r="G582" s="74">
        <v>11371</v>
      </c>
      <c r="H582" s="72">
        <v>81.738860000000003</v>
      </c>
      <c r="I582" s="73">
        <v>929452.57706000004</v>
      </c>
      <c r="J582" s="72">
        <v>86.458115801873191</v>
      </c>
      <c r="K582" s="73">
        <v>-53662.657723099997</v>
      </c>
      <c r="L582" s="74">
        <v>0</v>
      </c>
      <c r="M582" s="73">
        <v>0</v>
      </c>
      <c r="N582" s="74">
        <v>0</v>
      </c>
      <c r="O582" s="73">
        <v>0</v>
      </c>
      <c r="P582" s="74">
        <v>11371</v>
      </c>
      <c r="Q582" s="73">
        <v>929452.57706000004</v>
      </c>
      <c r="R582" s="71" t="s">
        <v>625</v>
      </c>
      <c r="S582" s="71">
        <v>7414000005</v>
      </c>
      <c r="AB582"/>
      <c r="AC582"/>
    </row>
    <row r="583" spans="1:29" x14ac:dyDescent="0.25">
      <c r="A583" t="str">
        <f t="shared" ref="A583:A646" si="10">B581&amp;D581</f>
        <v xml:space="preserve">1036528GOBFED 381118       </v>
      </c>
      <c r="B583" s="71">
        <v>1036528</v>
      </c>
      <c r="C583" s="71" t="s">
        <v>696</v>
      </c>
      <c r="D583" s="71" t="s">
        <v>385</v>
      </c>
      <c r="E583" s="71" t="s">
        <v>623</v>
      </c>
      <c r="F583" s="71" t="s">
        <v>624</v>
      </c>
      <c r="G583" s="74">
        <v>1576</v>
      </c>
      <c r="H583" s="72">
        <v>83.200761</v>
      </c>
      <c r="I583" s="73">
        <v>131124.399336</v>
      </c>
      <c r="J583" s="72">
        <v>92.80328759456853</v>
      </c>
      <c r="K583" s="73">
        <v>-15133.58191304</v>
      </c>
      <c r="L583" s="74">
        <v>0</v>
      </c>
      <c r="M583" s="73">
        <v>0</v>
      </c>
      <c r="N583" s="74">
        <v>0</v>
      </c>
      <c r="O583" s="73">
        <v>0</v>
      </c>
      <c r="P583" s="74">
        <v>1576</v>
      </c>
      <c r="Q583" s="73">
        <v>131124.399336</v>
      </c>
      <c r="R583" s="71" t="s">
        <v>625</v>
      </c>
      <c r="S583" s="71">
        <v>7414000005</v>
      </c>
      <c r="AB583"/>
      <c r="AC583"/>
    </row>
    <row r="584" spans="1:29" x14ac:dyDescent="0.25">
      <c r="A584" t="str">
        <f t="shared" si="10"/>
        <v xml:space="preserve">1036528GOBFED 421113       </v>
      </c>
      <c r="B584" s="71">
        <v>1036528</v>
      </c>
      <c r="C584" s="71" t="s">
        <v>696</v>
      </c>
      <c r="D584" s="71" t="s">
        <v>386</v>
      </c>
      <c r="E584" s="71" t="s">
        <v>623</v>
      </c>
      <c r="F584" s="71" t="s">
        <v>624</v>
      </c>
      <c r="G584" s="74">
        <v>17408</v>
      </c>
      <c r="H584" s="72">
        <v>82.159907000000004</v>
      </c>
      <c r="I584" s="73">
        <v>1430239.661056</v>
      </c>
      <c r="J584" s="72">
        <v>84.249795421269525</v>
      </c>
      <c r="K584" s="73">
        <v>-36380.77763746</v>
      </c>
      <c r="L584" s="74">
        <v>0</v>
      </c>
      <c r="M584" s="73">
        <v>0</v>
      </c>
      <c r="N584" s="74">
        <v>0</v>
      </c>
      <c r="O584" s="73">
        <v>0</v>
      </c>
      <c r="P584" s="74">
        <v>17408</v>
      </c>
      <c r="Q584" s="73">
        <v>1430239.661056</v>
      </c>
      <c r="R584" s="71" t="s">
        <v>625</v>
      </c>
      <c r="S584" s="71">
        <v>7414000005</v>
      </c>
      <c r="AB584"/>
      <c r="AC584"/>
    </row>
    <row r="585" spans="1:29" x14ac:dyDescent="0.25">
      <c r="A585" t="str">
        <f t="shared" si="10"/>
        <v xml:space="preserve">1036528GOBFED 471107       </v>
      </c>
      <c r="B585" s="71">
        <v>1036528</v>
      </c>
      <c r="C585" s="71" t="s">
        <v>696</v>
      </c>
      <c r="D585" s="71" t="s">
        <v>429</v>
      </c>
      <c r="E585" s="71" t="s">
        <v>623</v>
      </c>
      <c r="F585" s="71" t="s">
        <v>624</v>
      </c>
      <c r="G585" s="74">
        <v>7840</v>
      </c>
      <c r="H585" s="72">
        <v>98.007834000000003</v>
      </c>
      <c r="I585" s="73">
        <v>768381.41856000002</v>
      </c>
      <c r="J585" s="72">
        <v>92.067947700000005</v>
      </c>
      <c r="K585" s="73">
        <v>46568.708592000003</v>
      </c>
      <c r="L585" s="74">
        <v>0</v>
      </c>
      <c r="M585" s="73">
        <v>0</v>
      </c>
      <c r="N585" s="74">
        <v>0</v>
      </c>
      <c r="O585" s="73">
        <v>0</v>
      </c>
      <c r="P585" s="74">
        <v>7840</v>
      </c>
      <c r="Q585" s="73">
        <v>768381.41856000002</v>
      </c>
      <c r="R585" s="71" t="s">
        <v>625</v>
      </c>
      <c r="S585" s="71">
        <v>7414000005</v>
      </c>
      <c r="AB585"/>
      <c r="AC585"/>
    </row>
    <row r="586" spans="1:29" x14ac:dyDescent="0.25">
      <c r="A586" t="str">
        <f t="shared" si="10"/>
        <v xml:space="preserve">1036528GOBFED 530731       </v>
      </c>
      <c r="B586" s="71">
        <v>1036528</v>
      </c>
      <c r="C586" s="71" t="s">
        <v>696</v>
      </c>
      <c r="D586" s="71" t="s">
        <v>389</v>
      </c>
      <c r="E586" s="71" t="s">
        <v>623</v>
      </c>
      <c r="F586" s="71" t="s">
        <v>624</v>
      </c>
      <c r="G586" s="74">
        <v>1813682</v>
      </c>
      <c r="H586" s="72">
        <v>3.3967719999999999</v>
      </c>
      <c r="I586" s="73">
        <v>6160664.2345040003</v>
      </c>
      <c r="J586" s="72">
        <v>3.2943384341907787</v>
      </c>
      <c r="K586" s="73">
        <v>185781.91450399999</v>
      </c>
      <c r="L586" s="74">
        <v>0</v>
      </c>
      <c r="M586" s="73">
        <v>0</v>
      </c>
      <c r="N586" s="74">
        <v>0</v>
      </c>
      <c r="O586" s="73">
        <v>0</v>
      </c>
      <c r="P586" s="74">
        <v>1813682</v>
      </c>
      <c r="Q586" s="73">
        <v>6160664.2345040003</v>
      </c>
      <c r="R586" s="71" t="s">
        <v>625</v>
      </c>
      <c r="S586" s="71">
        <v>7414000005</v>
      </c>
      <c r="AB586"/>
      <c r="AC586"/>
    </row>
    <row r="587" spans="1:29" x14ac:dyDescent="0.25">
      <c r="A587" t="str">
        <f t="shared" si="10"/>
        <v xml:space="preserve">1036528PEMEX 13-2          </v>
      </c>
      <c r="B587" s="71">
        <v>1036528</v>
      </c>
      <c r="C587" s="71" t="s">
        <v>696</v>
      </c>
      <c r="D587" s="71" t="s">
        <v>417</v>
      </c>
      <c r="E587" s="71" t="s">
        <v>623</v>
      </c>
      <c r="F587" s="71" t="s">
        <v>624</v>
      </c>
      <c r="G587" s="74">
        <v>1409220</v>
      </c>
      <c r="H587" s="72">
        <v>3.8832339999999999</v>
      </c>
      <c r="I587" s="73">
        <v>5472331.0174799999</v>
      </c>
      <c r="J587" s="72">
        <v>2.8732591859326435</v>
      </c>
      <c r="K587" s="73">
        <v>1423276.7074800001</v>
      </c>
      <c r="L587" s="74">
        <v>0</v>
      </c>
      <c r="M587" s="73">
        <v>0</v>
      </c>
      <c r="N587" s="74">
        <v>0</v>
      </c>
      <c r="O587" s="73">
        <v>0</v>
      </c>
      <c r="P587" s="74">
        <v>1409220</v>
      </c>
      <c r="Q587" s="73">
        <v>5472331.0174799999</v>
      </c>
      <c r="R587" s="71" t="s">
        <v>625</v>
      </c>
      <c r="S587" s="71">
        <v>7414000005</v>
      </c>
      <c r="AB587"/>
      <c r="AC587"/>
    </row>
    <row r="588" spans="1:29" x14ac:dyDescent="0.25">
      <c r="A588" t="str">
        <f t="shared" si="10"/>
        <v xml:space="preserve">1036528STERGOB ED          </v>
      </c>
      <c r="B588" s="71">
        <v>1036528</v>
      </c>
      <c r="C588" s="71" t="s">
        <v>696</v>
      </c>
      <c r="D588" s="71" t="s">
        <v>466</v>
      </c>
      <c r="E588" s="71" t="s">
        <v>623</v>
      </c>
      <c r="F588" s="71" t="s">
        <v>624</v>
      </c>
      <c r="G588" s="74">
        <v>103</v>
      </c>
      <c r="H588" s="72">
        <v>256.05011500000001</v>
      </c>
      <c r="I588" s="73">
        <v>26373.161844999999</v>
      </c>
      <c r="J588" s="72">
        <v>487.31725861000001</v>
      </c>
      <c r="K588" s="73">
        <v>-23820.515791829999</v>
      </c>
      <c r="L588" s="74">
        <v>0</v>
      </c>
      <c r="M588" s="73">
        <v>0</v>
      </c>
      <c r="N588" s="74">
        <v>0</v>
      </c>
      <c r="O588" s="73">
        <v>0</v>
      </c>
      <c r="P588" s="74">
        <v>103</v>
      </c>
      <c r="Q588" s="73">
        <v>26373.161844999999</v>
      </c>
      <c r="R588" s="71" t="s">
        <v>625</v>
      </c>
      <c r="S588" s="71">
        <v>7414000005</v>
      </c>
      <c r="AB588"/>
      <c r="AC588"/>
    </row>
    <row r="589" spans="1:29" x14ac:dyDescent="0.25">
      <c r="A589" t="str">
        <f t="shared" si="10"/>
        <v xml:space="preserve">1036528STRGOB2 ED          </v>
      </c>
      <c r="B589" s="71">
        <v>1036528</v>
      </c>
      <c r="C589" s="71" t="s">
        <v>696</v>
      </c>
      <c r="D589" s="71" t="s">
        <v>391</v>
      </c>
      <c r="E589" s="71" t="s">
        <v>623</v>
      </c>
      <c r="F589" s="71" t="s">
        <v>624</v>
      </c>
      <c r="G589" s="74">
        <v>744</v>
      </c>
      <c r="H589" s="72">
        <v>775.69178699999998</v>
      </c>
      <c r="I589" s="73">
        <v>577114.68952799996</v>
      </c>
      <c r="J589" s="72">
        <v>676.3296398930645</v>
      </c>
      <c r="K589" s="73">
        <v>73925.437447560005</v>
      </c>
      <c r="L589" s="74">
        <v>0</v>
      </c>
      <c r="M589" s="73">
        <v>0</v>
      </c>
      <c r="N589" s="74">
        <v>0</v>
      </c>
      <c r="O589" s="73">
        <v>0</v>
      </c>
      <c r="P589" s="74">
        <v>744</v>
      </c>
      <c r="Q589" s="73">
        <v>577114.68952799996</v>
      </c>
      <c r="R589" s="71" t="s">
        <v>625</v>
      </c>
      <c r="S589" s="71">
        <v>7414000005</v>
      </c>
      <c r="AB589"/>
      <c r="AC589"/>
    </row>
    <row r="590" spans="1:29" x14ac:dyDescent="0.25">
      <c r="A590" t="str">
        <f t="shared" si="10"/>
        <v xml:space="preserve">1036528TFOVICB 15U         </v>
      </c>
      <c r="B590" s="71">
        <v>1036528</v>
      </c>
      <c r="C590" s="71" t="s">
        <v>696</v>
      </c>
      <c r="D590" s="71" t="s">
        <v>392</v>
      </c>
      <c r="E590" s="71" t="s">
        <v>623</v>
      </c>
      <c r="F590" s="71" t="s">
        <v>624</v>
      </c>
      <c r="G590" s="74">
        <v>1140</v>
      </c>
      <c r="H590" s="72">
        <v>747.17843200000004</v>
      </c>
      <c r="I590" s="73">
        <v>851783.41248000006</v>
      </c>
      <c r="J590" s="72">
        <v>709.91443943000002</v>
      </c>
      <c r="K590" s="73">
        <v>42480.951529799997</v>
      </c>
      <c r="L590" s="74">
        <v>0</v>
      </c>
      <c r="M590" s="73">
        <v>0</v>
      </c>
      <c r="N590" s="74">
        <v>0</v>
      </c>
      <c r="O590" s="73">
        <v>0</v>
      </c>
      <c r="P590" s="74">
        <v>1140</v>
      </c>
      <c r="Q590" s="73">
        <v>851783.41248000006</v>
      </c>
      <c r="R590" s="71" t="s">
        <v>625</v>
      </c>
      <c r="S590" s="71">
        <v>7414000005</v>
      </c>
      <c r="AB590"/>
      <c r="AC590"/>
    </row>
    <row r="591" spans="1:29" x14ac:dyDescent="0.25">
      <c r="A591" t="str">
        <f t="shared" si="10"/>
        <v xml:space="preserve">1036528UDIBONO 251204      </v>
      </c>
      <c r="B591" s="71">
        <v>1036528</v>
      </c>
      <c r="C591" s="71" t="s">
        <v>696</v>
      </c>
      <c r="D591" s="71" t="s">
        <v>393</v>
      </c>
      <c r="E591" s="71" t="s">
        <v>623</v>
      </c>
      <c r="F591" s="71" t="s">
        <v>624</v>
      </c>
      <c r="G591" s="74">
        <v>1075</v>
      </c>
      <c r="H591" s="72">
        <v>765.92388300000005</v>
      </c>
      <c r="I591" s="73">
        <v>823368.17422499997</v>
      </c>
      <c r="J591" s="72">
        <v>750.84219278572095</v>
      </c>
      <c r="K591" s="73">
        <v>16212.81698035</v>
      </c>
      <c r="L591" s="74">
        <v>0</v>
      </c>
      <c r="M591" s="73">
        <v>0</v>
      </c>
      <c r="N591" s="74">
        <v>0</v>
      </c>
      <c r="O591" s="73">
        <v>0</v>
      </c>
      <c r="P591" s="74">
        <v>1075</v>
      </c>
      <c r="Q591" s="73">
        <v>823368.17422499997</v>
      </c>
      <c r="R591" s="71" t="s">
        <v>625</v>
      </c>
      <c r="S591" s="71">
        <v>7414000005</v>
      </c>
      <c r="AB591"/>
      <c r="AC591"/>
    </row>
    <row r="592" spans="1:29" x14ac:dyDescent="0.25">
      <c r="A592" t="str">
        <f t="shared" si="10"/>
        <v xml:space="preserve">1036528UDIBONO 261203      </v>
      </c>
      <c r="B592" s="71">
        <v>1036528</v>
      </c>
      <c r="C592" s="71" t="s">
        <v>696</v>
      </c>
      <c r="D592" s="71" t="s">
        <v>394</v>
      </c>
      <c r="E592" s="71" t="s">
        <v>623</v>
      </c>
      <c r="F592" s="71" t="s">
        <v>624</v>
      </c>
      <c r="G592" s="74">
        <v>5246</v>
      </c>
      <c r="H592" s="72">
        <v>684.88915799999995</v>
      </c>
      <c r="I592" s="73">
        <v>3592928.522868</v>
      </c>
      <c r="J592" s="72">
        <v>677.1143315746092</v>
      </c>
      <c r="K592" s="73">
        <v>40786.739427599998</v>
      </c>
      <c r="L592" s="74">
        <v>0</v>
      </c>
      <c r="M592" s="73">
        <v>0</v>
      </c>
      <c r="N592" s="74">
        <v>0</v>
      </c>
      <c r="O592" s="73">
        <v>0</v>
      </c>
      <c r="P592" s="74">
        <v>5246</v>
      </c>
      <c r="Q592" s="73">
        <v>3592928.522868</v>
      </c>
      <c r="R592" s="71" t="s">
        <v>625</v>
      </c>
      <c r="S592" s="71">
        <v>7414000005</v>
      </c>
      <c r="AB592"/>
      <c r="AC592"/>
    </row>
    <row r="593" spans="1:29" x14ac:dyDescent="0.25">
      <c r="A593" t="str">
        <f t="shared" si="10"/>
        <v xml:space="preserve">1036528UDIBONO 281130      </v>
      </c>
      <c r="B593" s="71">
        <v>1036528</v>
      </c>
      <c r="C593" s="71" t="s">
        <v>696</v>
      </c>
      <c r="D593" s="71" t="s">
        <v>395</v>
      </c>
      <c r="E593" s="71" t="s">
        <v>623</v>
      </c>
      <c r="F593" s="71" t="s">
        <v>624</v>
      </c>
      <c r="G593" s="74">
        <v>489</v>
      </c>
      <c r="H593" s="72">
        <v>772.926965</v>
      </c>
      <c r="I593" s="73">
        <v>377961.28588500002</v>
      </c>
      <c r="J593" s="72">
        <v>798.93664675000002</v>
      </c>
      <c r="K593" s="73">
        <v>-12718.73437575</v>
      </c>
      <c r="L593" s="74">
        <v>0</v>
      </c>
      <c r="M593" s="73">
        <v>0</v>
      </c>
      <c r="N593" s="74">
        <v>0</v>
      </c>
      <c r="O593" s="73">
        <v>0</v>
      </c>
      <c r="P593" s="74">
        <v>489</v>
      </c>
      <c r="Q593" s="73">
        <v>377961.28588500002</v>
      </c>
      <c r="R593" s="71" t="s">
        <v>625</v>
      </c>
      <c r="S593" s="71">
        <v>7414000005</v>
      </c>
      <c r="AB593"/>
      <c r="AC593"/>
    </row>
    <row r="594" spans="1:29" x14ac:dyDescent="0.25">
      <c r="A594" t="str">
        <f t="shared" si="10"/>
        <v xml:space="preserve">1036528UDIBONO 311127      </v>
      </c>
      <c r="B594" s="71">
        <v>1036528</v>
      </c>
      <c r="C594" s="71" t="s">
        <v>696</v>
      </c>
      <c r="D594" s="71" t="s">
        <v>396</v>
      </c>
      <c r="E594" s="71" t="s">
        <v>623</v>
      </c>
      <c r="F594" s="71" t="s">
        <v>624</v>
      </c>
      <c r="G594" s="74">
        <v>549</v>
      </c>
      <c r="H594" s="72">
        <v>721.59464000000003</v>
      </c>
      <c r="I594" s="73">
        <v>396155.45736</v>
      </c>
      <c r="J594" s="72">
        <v>758.77574809999999</v>
      </c>
      <c r="K594" s="73">
        <v>-20412.4283469</v>
      </c>
      <c r="L594" s="74">
        <v>0</v>
      </c>
      <c r="M594" s="73">
        <v>0</v>
      </c>
      <c r="N594" s="74">
        <v>0</v>
      </c>
      <c r="O594" s="73">
        <v>0</v>
      </c>
      <c r="P594" s="74">
        <v>549</v>
      </c>
      <c r="Q594" s="73">
        <v>396155.45736</v>
      </c>
      <c r="R594" s="71" t="s">
        <v>625</v>
      </c>
      <c r="S594" s="71">
        <v>7414000005</v>
      </c>
      <c r="AB594"/>
      <c r="AC594"/>
    </row>
    <row r="595" spans="1:29" x14ac:dyDescent="0.25">
      <c r="A595" t="str">
        <f t="shared" si="10"/>
        <v xml:space="preserve">1036528UDIBONO 351122      </v>
      </c>
      <c r="B595" s="71">
        <v>1036528</v>
      </c>
      <c r="C595" s="71" t="s">
        <v>696</v>
      </c>
      <c r="D595" s="71" t="s">
        <v>397</v>
      </c>
      <c r="E595" s="71" t="s">
        <v>623</v>
      </c>
      <c r="F595" s="71" t="s">
        <v>624</v>
      </c>
      <c r="G595" s="74">
        <v>520</v>
      </c>
      <c r="H595" s="72">
        <v>635.96311900000001</v>
      </c>
      <c r="I595" s="73">
        <v>330700.82188</v>
      </c>
      <c r="J595" s="72">
        <v>647.93802047999998</v>
      </c>
      <c r="K595" s="73">
        <v>-6226.9487695999997</v>
      </c>
      <c r="L595" s="74">
        <v>0</v>
      </c>
      <c r="M595" s="73">
        <v>0</v>
      </c>
      <c r="N595" s="74">
        <v>0</v>
      </c>
      <c r="O595" s="73">
        <v>0</v>
      </c>
      <c r="P595" s="74">
        <v>520</v>
      </c>
      <c r="Q595" s="73">
        <v>330700.82188</v>
      </c>
      <c r="R595" s="71" t="s">
        <v>625</v>
      </c>
      <c r="S595" s="71">
        <v>7414000005</v>
      </c>
      <c r="AB595"/>
      <c r="AC595"/>
    </row>
    <row r="596" spans="1:29" x14ac:dyDescent="0.25">
      <c r="A596" t="str">
        <f t="shared" si="10"/>
        <v xml:space="preserve">1036528UDIBONO 401115      </v>
      </c>
      <c r="B596" s="71">
        <v>1036528</v>
      </c>
      <c r="C596" s="71" t="s">
        <v>696</v>
      </c>
      <c r="D596" s="71" t="s">
        <v>398</v>
      </c>
      <c r="E596" s="71" t="s">
        <v>623</v>
      </c>
      <c r="F596" s="71" t="s">
        <v>624</v>
      </c>
      <c r="G596" s="74">
        <v>853</v>
      </c>
      <c r="H596" s="72">
        <v>709.36974099999998</v>
      </c>
      <c r="I596" s="73">
        <v>605092.38907300006</v>
      </c>
      <c r="J596" s="72">
        <v>727.64997899205162</v>
      </c>
      <c r="K596" s="73">
        <v>-15593.04300722</v>
      </c>
      <c r="L596" s="74">
        <v>0</v>
      </c>
      <c r="M596" s="73">
        <v>0</v>
      </c>
      <c r="N596" s="74">
        <v>0</v>
      </c>
      <c r="O596" s="73">
        <v>0</v>
      </c>
      <c r="P596" s="74">
        <v>853</v>
      </c>
      <c r="Q596" s="73">
        <v>605092.38907300006</v>
      </c>
      <c r="R596" s="71" t="s">
        <v>625</v>
      </c>
      <c r="S596" s="71">
        <v>7414000005</v>
      </c>
      <c r="AB596"/>
      <c r="AC596"/>
    </row>
    <row r="597" spans="1:29" x14ac:dyDescent="0.25">
      <c r="A597" t="str">
        <f t="shared" si="10"/>
        <v xml:space="preserve">1036528UDIBONO 431112      </v>
      </c>
      <c r="B597" s="71">
        <v>1036528</v>
      </c>
      <c r="C597" s="71" t="s">
        <v>696</v>
      </c>
      <c r="D597" s="71" t="s">
        <v>399</v>
      </c>
      <c r="E597" s="71" t="s">
        <v>623</v>
      </c>
      <c r="F597" s="71" t="s">
        <v>624</v>
      </c>
      <c r="G597" s="74">
        <v>3208</v>
      </c>
      <c r="H597" s="72">
        <v>694.41118700000004</v>
      </c>
      <c r="I597" s="73">
        <v>2227671.0878960001</v>
      </c>
      <c r="J597" s="72">
        <v>724.28824838688593</v>
      </c>
      <c r="K597" s="73">
        <v>-95845.612929130002</v>
      </c>
      <c r="L597" s="74">
        <v>0</v>
      </c>
      <c r="M597" s="73">
        <v>0</v>
      </c>
      <c r="N597" s="74">
        <v>0</v>
      </c>
      <c r="O597" s="73">
        <v>0</v>
      </c>
      <c r="P597" s="74">
        <v>3208</v>
      </c>
      <c r="Q597" s="73">
        <v>2227671.0878960001</v>
      </c>
      <c r="R597" s="71" t="s">
        <v>625</v>
      </c>
      <c r="S597" s="71">
        <v>7414000005</v>
      </c>
      <c r="AB597"/>
      <c r="AC597"/>
    </row>
    <row r="598" spans="1:29" x14ac:dyDescent="0.25">
      <c r="A598" t="str">
        <f t="shared" si="10"/>
        <v xml:space="preserve">1036528UDIBONO 461108      </v>
      </c>
      <c r="B598" s="71">
        <v>1036529</v>
      </c>
      <c r="C598" s="71" t="s">
        <v>696</v>
      </c>
      <c r="D598" s="71" t="s">
        <v>459</v>
      </c>
      <c r="E598" s="71" t="s">
        <v>623</v>
      </c>
      <c r="F598" s="71" t="s">
        <v>624</v>
      </c>
      <c r="G598" s="74">
        <v>2634000</v>
      </c>
      <c r="H598" s="72">
        <v>4.5848760000000004</v>
      </c>
      <c r="I598" s="73">
        <v>12076563.384</v>
      </c>
      <c r="J598" s="72">
        <v>4.1913217995444194</v>
      </c>
      <c r="K598" s="73">
        <v>1036621.764</v>
      </c>
      <c r="L598" s="74">
        <v>0</v>
      </c>
      <c r="M598" s="73">
        <v>0</v>
      </c>
      <c r="N598" s="74">
        <v>0</v>
      </c>
      <c r="O598" s="73">
        <v>0</v>
      </c>
      <c r="P598" s="74">
        <v>2634000</v>
      </c>
      <c r="Q598" s="73">
        <v>12076563.384</v>
      </c>
      <c r="R598" s="71" t="s">
        <v>625</v>
      </c>
      <c r="S598" s="71">
        <v>7414000005</v>
      </c>
      <c r="AB598"/>
      <c r="AC598"/>
    </row>
    <row r="599" spans="1:29" x14ac:dyDescent="0.25">
      <c r="A599" t="str">
        <f t="shared" si="10"/>
        <v xml:space="preserve">1036528UDIBONO 501103      </v>
      </c>
      <c r="B599" s="71">
        <v>1036529</v>
      </c>
      <c r="C599" s="71" t="s">
        <v>696</v>
      </c>
      <c r="D599" s="71" t="s">
        <v>389</v>
      </c>
      <c r="E599" s="71" t="s">
        <v>623</v>
      </c>
      <c r="F599" s="71" t="s">
        <v>624</v>
      </c>
      <c r="G599" s="74">
        <v>126592</v>
      </c>
      <c r="H599" s="72">
        <v>3.3967719999999999</v>
      </c>
      <c r="I599" s="73">
        <v>430004.16102399997</v>
      </c>
      <c r="J599" s="72">
        <v>3.3342632235844287</v>
      </c>
      <c r="K599" s="73">
        <v>7913.1110239999998</v>
      </c>
      <c r="L599" s="74">
        <v>0</v>
      </c>
      <c r="M599" s="73">
        <v>0</v>
      </c>
      <c r="N599" s="74">
        <v>0</v>
      </c>
      <c r="O599" s="73">
        <v>0</v>
      </c>
      <c r="P599" s="74">
        <v>126592</v>
      </c>
      <c r="Q599" s="73">
        <v>430004.16102399997</v>
      </c>
      <c r="R599" s="71" t="s">
        <v>625</v>
      </c>
      <c r="S599" s="71">
        <v>7414000005</v>
      </c>
      <c r="AB599"/>
      <c r="AC599"/>
    </row>
    <row r="600" spans="1:29" x14ac:dyDescent="0.25">
      <c r="A600" t="str">
        <f t="shared" si="10"/>
        <v xml:space="preserve">1036529STER-OP ED          </v>
      </c>
      <c r="B600" s="71">
        <v>1036529</v>
      </c>
      <c r="C600" s="71" t="s">
        <v>696</v>
      </c>
      <c r="D600" s="71" t="s">
        <v>417</v>
      </c>
      <c r="E600" s="71" t="s">
        <v>623</v>
      </c>
      <c r="F600" s="71" t="s">
        <v>624</v>
      </c>
      <c r="G600" s="74">
        <v>3579</v>
      </c>
      <c r="H600" s="72">
        <v>3.8832339999999999</v>
      </c>
      <c r="I600" s="73">
        <v>13898.094486</v>
      </c>
      <c r="J600" s="72">
        <v>3.2042190556021235</v>
      </c>
      <c r="K600" s="73">
        <v>2430.1944859999999</v>
      </c>
      <c r="L600" s="74">
        <v>0</v>
      </c>
      <c r="M600" s="73">
        <v>0</v>
      </c>
      <c r="N600" s="74">
        <v>0</v>
      </c>
      <c r="O600" s="73">
        <v>0</v>
      </c>
      <c r="P600" s="74">
        <v>3579</v>
      </c>
      <c r="Q600" s="73">
        <v>13898.094486</v>
      </c>
      <c r="R600" s="71" t="s">
        <v>625</v>
      </c>
      <c r="S600" s="71">
        <v>7414000005</v>
      </c>
      <c r="AB600"/>
      <c r="AC600"/>
    </row>
    <row r="601" spans="1:29" x14ac:dyDescent="0.25">
      <c r="A601" t="str">
        <f t="shared" si="10"/>
        <v xml:space="preserve">1036529STERGOB ED          </v>
      </c>
      <c r="B601" s="71">
        <v>1036530</v>
      </c>
      <c r="C601" s="71" t="s">
        <v>696</v>
      </c>
      <c r="D601" s="71" t="s">
        <v>459</v>
      </c>
      <c r="E601" s="71" t="s">
        <v>623</v>
      </c>
      <c r="F601" s="71" t="s">
        <v>624</v>
      </c>
      <c r="G601" s="74">
        <v>2810000</v>
      </c>
      <c r="H601" s="72">
        <v>4.5848760000000004</v>
      </c>
      <c r="I601" s="73">
        <v>12883501.560000001</v>
      </c>
      <c r="J601" s="72">
        <v>4.1933545907473313</v>
      </c>
      <c r="K601" s="73">
        <v>1100175.1599999999</v>
      </c>
      <c r="L601" s="74">
        <v>0</v>
      </c>
      <c r="M601" s="73">
        <v>0</v>
      </c>
      <c r="N601" s="74">
        <v>0</v>
      </c>
      <c r="O601" s="73">
        <v>0</v>
      </c>
      <c r="P601" s="74">
        <v>2810000</v>
      </c>
      <c r="Q601" s="73">
        <v>12883501.560000001</v>
      </c>
      <c r="R601" s="71" t="s">
        <v>625</v>
      </c>
      <c r="S601" s="71">
        <v>7414000005</v>
      </c>
      <c r="AB601"/>
      <c r="AC601"/>
    </row>
    <row r="602" spans="1:29" x14ac:dyDescent="0.25">
      <c r="A602" t="str">
        <f t="shared" si="10"/>
        <v xml:space="preserve">1036529STRGOB2 ED          </v>
      </c>
      <c r="B602" s="71">
        <v>1036530</v>
      </c>
      <c r="C602" s="71" t="s">
        <v>696</v>
      </c>
      <c r="D602" s="71" t="s">
        <v>389</v>
      </c>
      <c r="E602" s="71" t="s">
        <v>623</v>
      </c>
      <c r="F602" s="71" t="s">
        <v>624</v>
      </c>
      <c r="G602" s="74">
        <v>147007</v>
      </c>
      <c r="H602" s="72">
        <v>3.3967719999999999</v>
      </c>
      <c r="I602" s="73">
        <v>499349.26140399999</v>
      </c>
      <c r="J602" s="72">
        <v>3.3267777724870244</v>
      </c>
      <c r="K602" s="73">
        <v>10289.641404</v>
      </c>
      <c r="L602" s="74">
        <v>0</v>
      </c>
      <c r="M602" s="73">
        <v>0</v>
      </c>
      <c r="N602" s="74">
        <v>0</v>
      </c>
      <c r="O602" s="73">
        <v>0</v>
      </c>
      <c r="P602" s="74">
        <v>147007</v>
      </c>
      <c r="Q602" s="73">
        <v>499349.26140399999</v>
      </c>
      <c r="R602" s="71" t="s">
        <v>625</v>
      </c>
      <c r="S602" s="71">
        <v>7414000005</v>
      </c>
      <c r="AB602"/>
      <c r="AC602"/>
    </row>
    <row r="603" spans="1:29" x14ac:dyDescent="0.25">
      <c r="A603" t="str">
        <f t="shared" si="10"/>
        <v xml:space="preserve">1036530STER-OP ED          </v>
      </c>
      <c r="B603" s="71">
        <v>1036613</v>
      </c>
      <c r="C603" s="71" t="s">
        <v>697</v>
      </c>
      <c r="D603" s="71" t="s">
        <v>366</v>
      </c>
      <c r="E603" s="71" t="s">
        <v>623</v>
      </c>
      <c r="F603" s="71" t="s">
        <v>624</v>
      </c>
      <c r="G603" s="74">
        <v>0</v>
      </c>
      <c r="H603" s="72">
        <v>0</v>
      </c>
      <c r="I603" s="73">
        <v>136726683.61000001</v>
      </c>
      <c r="J603" s="72">
        <v>0</v>
      </c>
      <c r="K603" s="73">
        <v>0</v>
      </c>
      <c r="L603" s="74">
        <v>0</v>
      </c>
      <c r="M603" s="73">
        <v>0</v>
      </c>
      <c r="N603" s="74">
        <v>0</v>
      </c>
      <c r="O603" s="73">
        <v>0</v>
      </c>
      <c r="P603" s="74">
        <v>0</v>
      </c>
      <c r="Q603" s="73">
        <v>136726683.61000001</v>
      </c>
      <c r="R603" s="71" t="s">
        <v>625</v>
      </c>
      <c r="S603" s="71">
        <v>7414000005</v>
      </c>
      <c r="AB603"/>
      <c r="AC603"/>
    </row>
    <row r="604" spans="1:29" x14ac:dyDescent="0.25">
      <c r="A604" t="str">
        <f t="shared" si="10"/>
        <v xml:space="preserve">1036530STERGOB ED          </v>
      </c>
      <c r="B604" s="71">
        <v>1036613</v>
      </c>
      <c r="C604" s="71" t="s">
        <v>697</v>
      </c>
      <c r="D604" s="71" t="s">
        <v>381</v>
      </c>
      <c r="E604" s="71" t="s">
        <v>623</v>
      </c>
      <c r="F604" s="71" t="s">
        <v>624</v>
      </c>
      <c r="G604" s="74">
        <v>0</v>
      </c>
      <c r="H604" s="72">
        <v>0</v>
      </c>
      <c r="I604" s="73">
        <v>0</v>
      </c>
      <c r="J604" s="72">
        <v>0</v>
      </c>
      <c r="K604" s="73">
        <v>0</v>
      </c>
      <c r="L604" s="74">
        <v>0</v>
      </c>
      <c r="M604" s="73">
        <v>0</v>
      </c>
      <c r="N604" s="74">
        <v>0</v>
      </c>
      <c r="O604" s="73">
        <v>0</v>
      </c>
      <c r="P604" s="74">
        <v>0</v>
      </c>
      <c r="Q604" s="73">
        <v>0</v>
      </c>
      <c r="R604" s="71" t="s">
        <v>625</v>
      </c>
      <c r="S604" s="71">
        <v>7414000005</v>
      </c>
      <c r="AB604"/>
      <c r="AC604"/>
    </row>
    <row r="605" spans="1:29" x14ac:dyDescent="0.25">
      <c r="A605" t="str">
        <f t="shared" si="10"/>
        <v>1036613EFECTIVO</v>
      </c>
      <c r="B605" s="71">
        <v>1036691</v>
      </c>
      <c r="C605" s="71" t="s">
        <v>698</v>
      </c>
      <c r="D605" s="71" t="s">
        <v>389</v>
      </c>
      <c r="E605" s="71" t="s">
        <v>623</v>
      </c>
      <c r="F605" s="71" t="s">
        <v>624</v>
      </c>
      <c r="G605" s="74">
        <v>288941</v>
      </c>
      <c r="H605" s="72">
        <v>3.3967719999999999</v>
      </c>
      <c r="I605" s="73">
        <v>981466.69845200004</v>
      </c>
      <c r="J605" s="72">
        <v>3.3520693497980556</v>
      </c>
      <c r="K605" s="73">
        <v>12916.428452</v>
      </c>
      <c r="L605" s="74">
        <v>0</v>
      </c>
      <c r="M605" s="73">
        <v>0</v>
      </c>
      <c r="N605" s="74">
        <v>0</v>
      </c>
      <c r="O605" s="73">
        <v>0</v>
      </c>
      <c r="P605" s="74">
        <v>288941</v>
      </c>
      <c r="Q605" s="73">
        <v>981466.69845200004</v>
      </c>
      <c r="R605" s="71" t="s">
        <v>625</v>
      </c>
      <c r="S605" s="71">
        <v>7414000005</v>
      </c>
      <c r="AB605"/>
      <c r="AC605"/>
    </row>
    <row r="606" spans="1:29" x14ac:dyDescent="0.25">
      <c r="A606" t="str">
        <f t="shared" si="10"/>
        <v xml:space="preserve">1036613GOBFED 290531       </v>
      </c>
      <c r="B606" s="71">
        <v>1036723</v>
      </c>
      <c r="C606" s="71" t="s">
        <v>699</v>
      </c>
      <c r="D606" s="71" t="s">
        <v>389</v>
      </c>
      <c r="E606" s="71" t="s">
        <v>623</v>
      </c>
      <c r="F606" s="71" t="s">
        <v>624</v>
      </c>
      <c r="G606" s="74">
        <v>1266664</v>
      </c>
      <c r="H606" s="72">
        <v>3.3967719999999999</v>
      </c>
      <c r="I606" s="73">
        <v>4302568.8086080002</v>
      </c>
      <c r="J606" s="72">
        <v>3.2114013740028926</v>
      </c>
      <c r="K606" s="73">
        <v>234802.29860800001</v>
      </c>
      <c r="L606" s="74">
        <v>0</v>
      </c>
      <c r="M606" s="73">
        <v>0</v>
      </c>
      <c r="N606" s="74">
        <v>0</v>
      </c>
      <c r="O606" s="73">
        <v>0</v>
      </c>
      <c r="P606" s="74">
        <v>1266664</v>
      </c>
      <c r="Q606" s="73">
        <v>4302568.8086080002</v>
      </c>
      <c r="R606" s="71" t="s">
        <v>625</v>
      </c>
      <c r="S606" s="71">
        <v>7414000005</v>
      </c>
      <c r="AB606"/>
      <c r="AC606"/>
    </row>
    <row r="607" spans="1:29" x14ac:dyDescent="0.25">
      <c r="A607" t="str">
        <f t="shared" si="10"/>
        <v xml:space="preserve">1036691STERGOB ED          </v>
      </c>
      <c r="B607" s="71">
        <v>1036724</v>
      </c>
      <c r="C607" s="71" t="s">
        <v>700</v>
      </c>
      <c r="D607" s="71" t="s">
        <v>389</v>
      </c>
      <c r="E607" s="71" t="s">
        <v>623</v>
      </c>
      <c r="F607" s="71" t="s">
        <v>624</v>
      </c>
      <c r="G607" s="74">
        <v>2766884</v>
      </c>
      <c r="H607" s="72">
        <v>3.3967719999999999</v>
      </c>
      <c r="I607" s="73">
        <v>9398474.0984480008</v>
      </c>
      <c r="J607" s="72">
        <v>3.3267261764497538</v>
      </c>
      <c r="K607" s="73">
        <v>193808.66844800001</v>
      </c>
      <c r="L607" s="74">
        <v>0</v>
      </c>
      <c r="M607" s="73">
        <v>0</v>
      </c>
      <c r="N607" s="74">
        <v>0</v>
      </c>
      <c r="O607" s="73">
        <v>0</v>
      </c>
      <c r="P607" s="74">
        <v>2766884</v>
      </c>
      <c r="Q607" s="73">
        <v>9398474.0984480008</v>
      </c>
      <c r="R607" s="71" t="s">
        <v>625</v>
      </c>
      <c r="S607" s="71">
        <v>7414000005</v>
      </c>
      <c r="AB607"/>
      <c r="AC607"/>
    </row>
    <row r="608" spans="1:29" x14ac:dyDescent="0.25">
      <c r="A608" t="str">
        <f t="shared" si="10"/>
        <v xml:space="preserve">1036723STERGOB ED          </v>
      </c>
      <c r="B608" s="71">
        <v>1036731</v>
      </c>
      <c r="C608" s="71" t="s">
        <v>701</v>
      </c>
      <c r="D608" s="71" t="s">
        <v>431</v>
      </c>
      <c r="E608" s="71" t="s">
        <v>623</v>
      </c>
      <c r="F608" s="71" t="s">
        <v>624</v>
      </c>
      <c r="G608" s="74">
        <v>180276</v>
      </c>
      <c r="H608" s="72">
        <v>3.4005040000000002</v>
      </c>
      <c r="I608" s="73">
        <v>613029.25910400006</v>
      </c>
      <c r="J608" s="72">
        <v>3.3576768399565111</v>
      </c>
      <c r="K608" s="73">
        <v>7720.7091039999996</v>
      </c>
      <c r="L608" s="74">
        <v>0</v>
      </c>
      <c r="M608" s="73">
        <v>0</v>
      </c>
      <c r="N608" s="74">
        <v>0</v>
      </c>
      <c r="O608" s="73">
        <v>0</v>
      </c>
      <c r="P608" s="74">
        <v>180276</v>
      </c>
      <c r="Q608" s="73">
        <v>613029.25910400006</v>
      </c>
      <c r="R608" s="71" t="s">
        <v>625</v>
      </c>
      <c r="S608" s="71">
        <v>7414000005</v>
      </c>
      <c r="AB608"/>
      <c r="AC608"/>
    </row>
    <row r="609" spans="1:29" x14ac:dyDescent="0.25">
      <c r="A609" t="str">
        <f t="shared" si="10"/>
        <v xml:space="preserve">1036724STERGOB ED          </v>
      </c>
      <c r="B609" s="71">
        <v>1037085</v>
      </c>
      <c r="C609" s="71" t="s">
        <v>702</v>
      </c>
      <c r="D609" s="71" t="s">
        <v>366</v>
      </c>
      <c r="E609" s="71" t="s">
        <v>623</v>
      </c>
      <c r="F609" s="71" t="s">
        <v>624</v>
      </c>
      <c r="G609" s="74">
        <v>0</v>
      </c>
      <c r="H609" s="72">
        <v>0</v>
      </c>
      <c r="I609" s="73">
        <v>2066083.19</v>
      </c>
      <c r="J609" s="72">
        <v>0</v>
      </c>
      <c r="K609" s="73">
        <v>0</v>
      </c>
      <c r="L609" s="74">
        <v>0</v>
      </c>
      <c r="M609" s="73">
        <v>0</v>
      </c>
      <c r="N609" s="74">
        <v>0</v>
      </c>
      <c r="O609" s="73">
        <v>0</v>
      </c>
      <c r="P609" s="74">
        <v>0</v>
      </c>
      <c r="Q609" s="73">
        <v>2066083.19</v>
      </c>
      <c r="R609" s="71" t="s">
        <v>625</v>
      </c>
      <c r="S609" s="71">
        <v>7414000005</v>
      </c>
      <c r="AB609"/>
      <c r="AC609"/>
    </row>
    <row r="610" spans="1:29" x14ac:dyDescent="0.25">
      <c r="A610" t="str">
        <f t="shared" si="10"/>
        <v xml:space="preserve">1036731STERGOB B1          </v>
      </c>
      <c r="B610" s="71">
        <v>1037085</v>
      </c>
      <c r="C610" s="71" t="s">
        <v>702</v>
      </c>
      <c r="D610" s="71" t="s">
        <v>389</v>
      </c>
      <c r="E610" s="71" t="s">
        <v>623</v>
      </c>
      <c r="F610" s="71" t="s">
        <v>624</v>
      </c>
      <c r="G610" s="74">
        <v>11271177</v>
      </c>
      <c r="H610" s="72">
        <v>3.3967719999999999</v>
      </c>
      <c r="I610" s="73">
        <v>38285618.440644003</v>
      </c>
      <c r="J610" s="72">
        <v>3.3207661657695553</v>
      </c>
      <c r="K610" s="73">
        <v>856675.21064399998</v>
      </c>
      <c r="L610" s="74">
        <v>0</v>
      </c>
      <c r="M610" s="73">
        <v>0</v>
      </c>
      <c r="N610" s="74">
        <v>0</v>
      </c>
      <c r="O610" s="73">
        <v>0</v>
      </c>
      <c r="P610" s="74">
        <v>11271177</v>
      </c>
      <c r="Q610" s="73">
        <v>38285618.440644003</v>
      </c>
      <c r="R610" s="71" t="s">
        <v>625</v>
      </c>
      <c r="S610" s="71">
        <v>7414000005</v>
      </c>
      <c r="AB610"/>
      <c r="AC610"/>
    </row>
    <row r="611" spans="1:29" x14ac:dyDescent="0.25">
      <c r="A611" t="str">
        <f t="shared" si="10"/>
        <v>1037085EFECTIVO</v>
      </c>
      <c r="B611" s="71">
        <v>1037086</v>
      </c>
      <c r="C611" s="71" t="s">
        <v>703</v>
      </c>
      <c r="D611" s="71" t="s">
        <v>366</v>
      </c>
      <c r="E611" s="71" t="s">
        <v>623</v>
      </c>
      <c r="F611" s="71" t="s">
        <v>624</v>
      </c>
      <c r="G611" s="74">
        <v>0</v>
      </c>
      <c r="H611" s="72">
        <v>0</v>
      </c>
      <c r="I611" s="73">
        <v>4816735.47</v>
      </c>
      <c r="J611" s="72">
        <v>0</v>
      </c>
      <c r="K611" s="73">
        <v>0</v>
      </c>
      <c r="L611" s="74">
        <v>0</v>
      </c>
      <c r="M611" s="73">
        <v>0</v>
      </c>
      <c r="N611" s="74">
        <v>0</v>
      </c>
      <c r="O611" s="73">
        <v>0</v>
      </c>
      <c r="P611" s="74">
        <v>0</v>
      </c>
      <c r="Q611" s="73">
        <v>4816735.47</v>
      </c>
      <c r="R611" s="71" t="s">
        <v>625</v>
      </c>
      <c r="S611" s="71">
        <v>7414000005</v>
      </c>
      <c r="AB611"/>
      <c r="AC611"/>
    </row>
    <row r="612" spans="1:29" x14ac:dyDescent="0.25">
      <c r="A612" t="str">
        <f t="shared" si="10"/>
        <v xml:space="preserve">1037085STERGOB ED          </v>
      </c>
      <c r="B612" s="71">
        <v>1037086</v>
      </c>
      <c r="C612" s="71" t="s">
        <v>703</v>
      </c>
      <c r="D612" s="71" t="s">
        <v>389</v>
      </c>
      <c r="E612" s="71" t="s">
        <v>623</v>
      </c>
      <c r="F612" s="71" t="s">
        <v>624</v>
      </c>
      <c r="G612" s="74">
        <v>14901298</v>
      </c>
      <c r="H612" s="72">
        <v>3.3967719999999999</v>
      </c>
      <c r="I612" s="73">
        <v>50616311.810056001</v>
      </c>
      <c r="J612" s="72">
        <v>3.308655970104081</v>
      </c>
      <c r="K612" s="73">
        <v>1313043.2200559999</v>
      </c>
      <c r="L612" s="74">
        <v>0</v>
      </c>
      <c r="M612" s="73">
        <v>0</v>
      </c>
      <c r="N612" s="74">
        <v>0</v>
      </c>
      <c r="O612" s="73">
        <v>0</v>
      </c>
      <c r="P612" s="74">
        <v>14901298</v>
      </c>
      <c r="Q612" s="73">
        <v>50616311.810056001</v>
      </c>
      <c r="R612" s="71" t="s">
        <v>625</v>
      </c>
      <c r="S612" s="71">
        <v>7414000005</v>
      </c>
      <c r="AB612"/>
      <c r="AC612"/>
    </row>
    <row r="613" spans="1:29" x14ac:dyDescent="0.25">
      <c r="A613" t="str">
        <f t="shared" si="10"/>
        <v>1037086EFECTIVO</v>
      </c>
      <c r="B613" s="71">
        <v>1037087</v>
      </c>
      <c r="C613" s="71" t="s">
        <v>704</v>
      </c>
      <c r="D613" s="71" t="s">
        <v>431</v>
      </c>
      <c r="E613" s="71" t="s">
        <v>623</v>
      </c>
      <c r="F613" s="71" t="s">
        <v>624</v>
      </c>
      <c r="G613" s="74">
        <v>5399</v>
      </c>
      <c r="H613" s="72">
        <v>3.4005040000000002</v>
      </c>
      <c r="I613" s="73">
        <v>18359.321096</v>
      </c>
      <c r="J613" s="72">
        <v>3.3420466753102427</v>
      </c>
      <c r="K613" s="73">
        <v>315.61109599999997</v>
      </c>
      <c r="L613" s="74">
        <v>0</v>
      </c>
      <c r="M613" s="73">
        <v>0</v>
      </c>
      <c r="N613" s="74">
        <v>0</v>
      </c>
      <c r="O613" s="73">
        <v>0</v>
      </c>
      <c r="P613" s="74">
        <v>5399</v>
      </c>
      <c r="Q613" s="73">
        <v>18359.321096</v>
      </c>
      <c r="R613" s="71" t="s">
        <v>625</v>
      </c>
      <c r="S613" s="71">
        <v>7414000005</v>
      </c>
      <c r="AB613"/>
      <c r="AC613"/>
    </row>
    <row r="614" spans="1:29" x14ac:dyDescent="0.25">
      <c r="A614" t="str">
        <f t="shared" si="10"/>
        <v xml:space="preserve">1037086STERGOB ED          </v>
      </c>
      <c r="B614" s="71">
        <v>1037090</v>
      </c>
      <c r="C614" s="71" t="s">
        <v>705</v>
      </c>
      <c r="D614" s="71" t="s">
        <v>366</v>
      </c>
      <c r="E614" s="71" t="s">
        <v>623</v>
      </c>
      <c r="F614" s="71" t="s">
        <v>624</v>
      </c>
      <c r="G614" s="74">
        <v>0</v>
      </c>
      <c r="H614" s="72">
        <v>0</v>
      </c>
      <c r="I614" s="73">
        <v>720199.81</v>
      </c>
      <c r="J614" s="72">
        <v>0</v>
      </c>
      <c r="K614" s="73">
        <v>0</v>
      </c>
      <c r="L614" s="74">
        <v>0</v>
      </c>
      <c r="M614" s="73">
        <v>0</v>
      </c>
      <c r="N614" s="74">
        <v>0</v>
      </c>
      <c r="O614" s="73">
        <v>0</v>
      </c>
      <c r="P614" s="74">
        <v>0</v>
      </c>
      <c r="Q614" s="73">
        <v>720199.81</v>
      </c>
      <c r="R614" s="71" t="s">
        <v>625</v>
      </c>
      <c r="S614" s="71">
        <v>7414000005</v>
      </c>
      <c r="AB614"/>
      <c r="AC614"/>
    </row>
    <row r="615" spans="1:29" x14ac:dyDescent="0.25">
      <c r="A615" t="str">
        <f t="shared" si="10"/>
        <v xml:space="preserve">1037087STERGOB B1          </v>
      </c>
      <c r="B615" s="71">
        <v>1037090</v>
      </c>
      <c r="C615" s="71" t="s">
        <v>705</v>
      </c>
      <c r="D615" s="71" t="s">
        <v>431</v>
      </c>
      <c r="E615" s="71" t="s">
        <v>623</v>
      </c>
      <c r="F615" s="71" t="s">
        <v>624</v>
      </c>
      <c r="G615" s="74">
        <v>4700479</v>
      </c>
      <c r="H615" s="72">
        <v>3.4005040000000002</v>
      </c>
      <c r="I615" s="73">
        <v>15983997.641416</v>
      </c>
      <c r="J615" s="72">
        <v>3.3602059768802284</v>
      </c>
      <c r="K615" s="73">
        <v>189420.01141599999</v>
      </c>
      <c r="L615" s="74">
        <v>0</v>
      </c>
      <c r="M615" s="73">
        <v>0</v>
      </c>
      <c r="N615" s="74">
        <v>0</v>
      </c>
      <c r="O615" s="73">
        <v>0</v>
      </c>
      <c r="P615" s="74">
        <v>4700479</v>
      </c>
      <c r="Q615" s="73">
        <v>15983997.641416</v>
      </c>
      <c r="R615" s="71" t="s">
        <v>625</v>
      </c>
      <c r="S615" s="71">
        <v>7414000005</v>
      </c>
      <c r="AB615"/>
      <c r="AC615"/>
    </row>
    <row r="616" spans="1:29" x14ac:dyDescent="0.25">
      <c r="A616" t="str">
        <f t="shared" si="10"/>
        <v>1037090EFECTIVO</v>
      </c>
      <c r="B616" s="71">
        <v>1037097</v>
      </c>
      <c r="C616" s="71" t="s">
        <v>706</v>
      </c>
      <c r="D616" s="71" t="s">
        <v>431</v>
      </c>
      <c r="E616" s="71" t="s">
        <v>623</v>
      </c>
      <c r="F616" s="71" t="s">
        <v>624</v>
      </c>
      <c r="G616" s="74">
        <v>1364000</v>
      </c>
      <c r="H616" s="72">
        <v>3.4005040000000002</v>
      </c>
      <c r="I616" s="73">
        <v>4638287.4560000002</v>
      </c>
      <c r="J616" s="72">
        <v>3.3623344428152491</v>
      </c>
      <c r="K616" s="73">
        <v>52063.275999999998</v>
      </c>
      <c r="L616" s="74">
        <v>0</v>
      </c>
      <c r="M616" s="73">
        <v>0</v>
      </c>
      <c r="N616" s="74">
        <v>0</v>
      </c>
      <c r="O616" s="73">
        <v>0</v>
      </c>
      <c r="P616" s="74">
        <v>1364000</v>
      </c>
      <c r="Q616" s="73">
        <v>4638287.4560000002</v>
      </c>
      <c r="R616" s="71" t="s">
        <v>625</v>
      </c>
      <c r="S616" s="71">
        <v>7414000005</v>
      </c>
      <c r="AB616"/>
      <c r="AC616"/>
    </row>
    <row r="617" spans="1:29" x14ac:dyDescent="0.25">
      <c r="A617" t="str">
        <f t="shared" si="10"/>
        <v xml:space="preserve">1037090STERGOB B1          </v>
      </c>
      <c r="B617" s="71">
        <v>1037109</v>
      </c>
      <c r="C617" s="71" t="s">
        <v>707</v>
      </c>
      <c r="D617" s="71" t="s">
        <v>431</v>
      </c>
      <c r="E617" s="71" t="s">
        <v>623</v>
      </c>
      <c r="F617" s="71" t="s">
        <v>624</v>
      </c>
      <c r="G617" s="74">
        <v>1874444</v>
      </c>
      <c r="H617" s="72">
        <v>3.4005040000000002</v>
      </c>
      <c r="I617" s="73">
        <v>6374054.3197760005</v>
      </c>
      <c r="J617" s="72">
        <v>3.354343965463892</v>
      </c>
      <c r="K617" s="73">
        <v>86524.399776000006</v>
      </c>
      <c r="L617" s="74">
        <v>0</v>
      </c>
      <c r="M617" s="73">
        <v>0</v>
      </c>
      <c r="N617" s="74">
        <v>0</v>
      </c>
      <c r="O617" s="73">
        <v>0</v>
      </c>
      <c r="P617" s="74">
        <v>1874444</v>
      </c>
      <c r="Q617" s="73">
        <v>6374054.3197760005</v>
      </c>
      <c r="R617" s="71" t="s">
        <v>625</v>
      </c>
      <c r="S617" s="71">
        <v>7414000005</v>
      </c>
      <c r="AB617"/>
      <c r="AC617"/>
    </row>
    <row r="618" spans="1:29" x14ac:dyDescent="0.25">
      <c r="A618" t="str">
        <f t="shared" si="10"/>
        <v xml:space="preserve">1037097STERGOB B1          </v>
      </c>
      <c r="B618" s="71">
        <v>1037113</v>
      </c>
      <c r="C618" s="71" t="s">
        <v>708</v>
      </c>
      <c r="D618" s="71" t="s">
        <v>366</v>
      </c>
      <c r="E618" s="71" t="s">
        <v>623</v>
      </c>
      <c r="F618" s="71" t="s">
        <v>624</v>
      </c>
      <c r="G618" s="74">
        <v>0</v>
      </c>
      <c r="H618" s="72">
        <v>0</v>
      </c>
      <c r="I618" s="73">
        <v>2496246.89</v>
      </c>
      <c r="J618" s="72">
        <v>0</v>
      </c>
      <c r="K618" s="73">
        <v>0</v>
      </c>
      <c r="L618" s="74">
        <v>0</v>
      </c>
      <c r="M618" s="73">
        <v>0</v>
      </c>
      <c r="N618" s="74">
        <v>0</v>
      </c>
      <c r="O618" s="73">
        <v>0</v>
      </c>
      <c r="P618" s="74">
        <v>0</v>
      </c>
      <c r="Q618" s="73">
        <v>2496246.89</v>
      </c>
      <c r="R618" s="71" t="s">
        <v>625</v>
      </c>
      <c r="S618" s="71">
        <v>7414000005</v>
      </c>
      <c r="AB618"/>
      <c r="AC618"/>
    </row>
    <row r="619" spans="1:29" x14ac:dyDescent="0.25">
      <c r="A619" t="str">
        <f t="shared" si="10"/>
        <v xml:space="preserve">1037109STERGOB B1          </v>
      </c>
      <c r="B619" s="71">
        <v>1037113</v>
      </c>
      <c r="C619" s="71" t="s">
        <v>708</v>
      </c>
      <c r="D619" s="71" t="s">
        <v>389</v>
      </c>
      <c r="E619" s="71" t="s">
        <v>623</v>
      </c>
      <c r="F619" s="71" t="s">
        <v>624</v>
      </c>
      <c r="G619" s="74">
        <v>1617132</v>
      </c>
      <c r="H619" s="72">
        <v>3.3967719999999999</v>
      </c>
      <c r="I619" s="73">
        <v>5493028.6979040001</v>
      </c>
      <c r="J619" s="72">
        <v>3.3388523262170313</v>
      </c>
      <c r="K619" s="73">
        <v>93663.757903999998</v>
      </c>
      <c r="L619" s="74">
        <v>0</v>
      </c>
      <c r="M619" s="73">
        <v>0</v>
      </c>
      <c r="N619" s="74">
        <v>0</v>
      </c>
      <c r="O619" s="73">
        <v>0</v>
      </c>
      <c r="P619" s="74">
        <v>1617132</v>
      </c>
      <c r="Q619" s="73">
        <v>5493028.6979040001</v>
      </c>
      <c r="R619" s="71" t="s">
        <v>625</v>
      </c>
      <c r="S619" s="71">
        <v>7414000005</v>
      </c>
      <c r="AB619"/>
      <c r="AC619"/>
    </row>
    <row r="620" spans="1:29" x14ac:dyDescent="0.25">
      <c r="A620" t="str">
        <f t="shared" si="10"/>
        <v>1037113EFECTIVO</v>
      </c>
      <c r="B620" s="71">
        <v>1037115</v>
      </c>
      <c r="C620" s="71" t="s">
        <v>709</v>
      </c>
      <c r="D620" s="71" t="s">
        <v>389</v>
      </c>
      <c r="E620" s="71" t="s">
        <v>623</v>
      </c>
      <c r="F620" s="71" t="s">
        <v>624</v>
      </c>
      <c r="G620" s="74">
        <v>1192887</v>
      </c>
      <c r="H620" s="72">
        <v>3.3967719999999999</v>
      </c>
      <c r="I620" s="73">
        <v>4051965.1607639999</v>
      </c>
      <c r="J620" s="72">
        <v>3.3326248839999093</v>
      </c>
      <c r="K620" s="73">
        <v>76520.260764000006</v>
      </c>
      <c r="L620" s="74">
        <v>0</v>
      </c>
      <c r="M620" s="73">
        <v>0</v>
      </c>
      <c r="N620" s="74">
        <v>0</v>
      </c>
      <c r="O620" s="73">
        <v>0</v>
      </c>
      <c r="P620" s="74">
        <v>1192887</v>
      </c>
      <c r="Q620" s="73">
        <v>4051965.1607639999</v>
      </c>
      <c r="R620" s="71" t="s">
        <v>625</v>
      </c>
      <c r="S620" s="71">
        <v>7414000005</v>
      </c>
      <c r="AB620"/>
      <c r="AC620"/>
    </row>
    <row r="621" spans="1:29" x14ac:dyDescent="0.25">
      <c r="A621" t="str">
        <f t="shared" si="10"/>
        <v xml:space="preserve">1037113STERGOB ED          </v>
      </c>
      <c r="B621" s="71">
        <v>1037115</v>
      </c>
      <c r="C621" s="71" t="s">
        <v>709</v>
      </c>
      <c r="D621" s="71" t="s">
        <v>417</v>
      </c>
      <c r="E621" s="71" t="s">
        <v>623</v>
      </c>
      <c r="F621" s="71" t="s">
        <v>624</v>
      </c>
      <c r="G621" s="74">
        <v>597515</v>
      </c>
      <c r="H621" s="72">
        <v>3.8832339999999999</v>
      </c>
      <c r="I621" s="73">
        <v>2320290.5635099998</v>
      </c>
      <c r="J621" s="72">
        <v>2.7830230370785669</v>
      </c>
      <c r="K621" s="73">
        <v>657392.55351</v>
      </c>
      <c r="L621" s="74">
        <v>0</v>
      </c>
      <c r="M621" s="73">
        <v>0</v>
      </c>
      <c r="N621" s="74">
        <v>0</v>
      </c>
      <c r="O621" s="73">
        <v>0</v>
      </c>
      <c r="P621" s="74">
        <v>597515</v>
      </c>
      <c r="Q621" s="73">
        <v>2320290.5635099998</v>
      </c>
      <c r="R621" s="71" t="s">
        <v>625</v>
      </c>
      <c r="S621" s="71">
        <v>7414000005</v>
      </c>
      <c r="AB621"/>
      <c r="AC621"/>
    </row>
    <row r="622" spans="1:29" x14ac:dyDescent="0.25">
      <c r="A622" t="str">
        <f t="shared" si="10"/>
        <v xml:space="preserve">1037115STERGOB ED          </v>
      </c>
      <c r="B622" s="71">
        <v>1037115</v>
      </c>
      <c r="C622" s="71" t="s">
        <v>709</v>
      </c>
      <c r="D622" s="71" t="s">
        <v>407</v>
      </c>
      <c r="E622" s="71" t="s">
        <v>623</v>
      </c>
      <c r="F622" s="71" t="s">
        <v>624</v>
      </c>
      <c r="G622" s="74">
        <v>1762362</v>
      </c>
      <c r="H622" s="72">
        <v>2.7668819999999998</v>
      </c>
      <c r="I622" s="73">
        <v>4876247.6952839997</v>
      </c>
      <c r="J622" s="72">
        <v>2.3501810014060673</v>
      </c>
      <c r="K622" s="73">
        <v>734378.00528399996</v>
      </c>
      <c r="L622" s="74">
        <v>0</v>
      </c>
      <c r="M622" s="73">
        <v>0</v>
      </c>
      <c r="N622" s="74">
        <v>0</v>
      </c>
      <c r="O622" s="73">
        <v>0</v>
      </c>
      <c r="P622" s="74">
        <v>1762362</v>
      </c>
      <c r="Q622" s="73">
        <v>4876247.6952839997</v>
      </c>
      <c r="R622" s="71" t="s">
        <v>625</v>
      </c>
      <c r="S622" s="71">
        <v>7414000005</v>
      </c>
      <c r="AB622"/>
      <c r="AC622"/>
    </row>
    <row r="623" spans="1:29" x14ac:dyDescent="0.25">
      <c r="A623" t="str">
        <f t="shared" si="10"/>
        <v xml:space="preserve">1037115STRGOB2 ED          </v>
      </c>
      <c r="B623" s="71">
        <v>1037117</v>
      </c>
      <c r="C623" s="71" t="s">
        <v>710</v>
      </c>
      <c r="D623" s="71" t="s">
        <v>366</v>
      </c>
      <c r="E623" s="71" t="s">
        <v>623</v>
      </c>
      <c r="F623" s="71" t="s">
        <v>624</v>
      </c>
      <c r="G623" s="74">
        <v>0</v>
      </c>
      <c r="H623" s="72">
        <v>0</v>
      </c>
      <c r="I623" s="73">
        <v>411999.01</v>
      </c>
      <c r="J623" s="72">
        <v>0</v>
      </c>
      <c r="K623" s="73">
        <v>0</v>
      </c>
      <c r="L623" s="74">
        <v>0</v>
      </c>
      <c r="M623" s="73">
        <v>0</v>
      </c>
      <c r="N623" s="74">
        <v>0</v>
      </c>
      <c r="O623" s="73">
        <v>0</v>
      </c>
      <c r="P623" s="74">
        <v>0</v>
      </c>
      <c r="Q623" s="73">
        <v>411999.01</v>
      </c>
      <c r="R623" s="71" t="s">
        <v>625</v>
      </c>
      <c r="S623" s="71">
        <v>7414000005</v>
      </c>
      <c r="AB623"/>
      <c r="AC623"/>
    </row>
    <row r="624" spans="1:29" x14ac:dyDescent="0.25">
      <c r="A624" t="str">
        <f t="shared" si="10"/>
        <v xml:space="preserve">1037115SVIVE60 ED          </v>
      </c>
      <c r="B624" s="71">
        <v>1037117</v>
      </c>
      <c r="C624" s="71" t="s">
        <v>710</v>
      </c>
      <c r="D624" s="71" t="s">
        <v>389</v>
      </c>
      <c r="E624" s="71" t="s">
        <v>623</v>
      </c>
      <c r="F624" s="71" t="s">
        <v>624</v>
      </c>
      <c r="G624" s="74">
        <v>2496183</v>
      </c>
      <c r="H624" s="72">
        <v>3.3967719999999999</v>
      </c>
      <c r="I624" s="73">
        <v>8478964.5212760009</v>
      </c>
      <c r="J624" s="72">
        <v>3.3294021672289249</v>
      </c>
      <c r="K624" s="73">
        <v>168167.43127599999</v>
      </c>
      <c r="L624" s="74">
        <v>0</v>
      </c>
      <c r="M624" s="73">
        <v>0</v>
      </c>
      <c r="N624" s="74">
        <v>0</v>
      </c>
      <c r="O624" s="73">
        <v>0</v>
      </c>
      <c r="P624" s="74">
        <v>2496183</v>
      </c>
      <c r="Q624" s="73">
        <v>8478964.5212760009</v>
      </c>
      <c r="R624" s="71" t="s">
        <v>625</v>
      </c>
      <c r="S624" s="71">
        <v>7414000005</v>
      </c>
      <c r="AB624"/>
      <c r="AC624"/>
    </row>
    <row r="625" spans="1:29" x14ac:dyDescent="0.25">
      <c r="A625" t="str">
        <f t="shared" si="10"/>
        <v>1037117EFECTIVO</v>
      </c>
      <c r="B625" s="71">
        <v>1037118</v>
      </c>
      <c r="C625" s="71" t="s">
        <v>711</v>
      </c>
      <c r="D625" s="71" t="s">
        <v>366</v>
      </c>
      <c r="E625" s="71" t="s">
        <v>623</v>
      </c>
      <c r="F625" s="71" t="s">
        <v>624</v>
      </c>
      <c r="G625" s="74">
        <v>0</v>
      </c>
      <c r="H625" s="72">
        <v>0</v>
      </c>
      <c r="I625" s="73">
        <v>1350374.65</v>
      </c>
      <c r="J625" s="72">
        <v>0</v>
      </c>
      <c r="K625" s="73">
        <v>0</v>
      </c>
      <c r="L625" s="74">
        <v>0</v>
      </c>
      <c r="M625" s="73">
        <v>0</v>
      </c>
      <c r="N625" s="74">
        <v>0</v>
      </c>
      <c r="O625" s="73">
        <v>0</v>
      </c>
      <c r="P625" s="74">
        <v>0</v>
      </c>
      <c r="Q625" s="73">
        <v>1350374.65</v>
      </c>
      <c r="R625" s="71" t="s">
        <v>625</v>
      </c>
      <c r="S625" s="71">
        <v>7414000005</v>
      </c>
      <c r="AB625"/>
      <c r="AC625"/>
    </row>
    <row r="626" spans="1:29" x14ac:dyDescent="0.25">
      <c r="A626" t="str">
        <f t="shared" si="10"/>
        <v xml:space="preserve">1037117STERGOB ED          </v>
      </c>
      <c r="B626" s="71">
        <v>1037118</v>
      </c>
      <c r="C626" s="71" t="s">
        <v>711</v>
      </c>
      <c r="D626" s="71" t="s">
        <v>389</v>
      </c>
      <c r="E626" s="71" t="s">
        <v>623</v>
      </c>
      <c r="F626" s="71" t="s">
        <v>624</v>
      </c>
      <c r="G626" s="74">
        <v>3941087</v>
      </c>
      <c r="H626" s="72">
        <v>3.3967719999999999</v>
      </c>
      <c r="I626" s="73">
        <v>13386973.971163999</v>
      </c>
      <c r="J626" s="72">
        <v>3.3242348012109351</v>
      </c>
      <c r="K626" s="73">
        <v>285875.41116399999</v>
      </c>
      <c r="L626" s="74">
        <v>0</v>
      </c>
      <c r="M626" s="73">
        <v>0</v>
      </c>
      <c r="N626" s="74">
        <v>0</v>
      </c>
      <c r="O626" s="73">
        <v>0</v>
      </c>
      <c r="P626" s="74">
        <v>3941087</v>
      </c>
      <c r="Q626" s="73">
        <v>13386973.971163999</v>
      </c>
      <c r="R626" s="71" t="s">
        <v>625</v>
      </c>
      <c r="S626" s="71">
        <v>7414000005</v>
      </c>
      <c r="AB626"/>
      <c r="AC626"/>
    </row>
    <row r="627" spans="1:29" x14ac:dyDescent="0.25">
      <c r="A627" t="str">
        <f t="shared" si="10"/>
        <v>1037118EFECTIVO</v>
      </c>
      <c r="B627" s="71">
        <v>1037124</v>
      </c>
      <c r="C627" s="71" t="s">
        <v>712</v>
      </c>
      <c r="D627" s="71" t="s">
        <v>412</v>
      </c>
      <c r="E627" s="71" t="s">
        <v>623</v>
      </c>
      <c r="F627" s="71" t="s">
        <v>624</v>
      </c>
      <c r="G627" s="74">
        <v>916623</v>
      </c>
      <c r="H627" s="72">
        <v>3.137273</v>
      </c>
      <c r="I627" s="73">
        <v>2875696.5890790001</v>
      </c>
      <c r="J627" s="72">
        <v>3.0472462506395761</v>
      </c>
      <c r="K627" s="73">
        <v>82520.589078999998</v>
      </c>
      <c r="L627" s="74">
        <v>0</v>
      </c>
      <c r="M627" s="73">
        <v>0</v>
      </c>
      <c r="N627" s="74">
        <v>0</v>
      </c>
      <c r="O627" s="73">
        <v>0</v>
      </c>
      <c r="P627" s="74">
        <v>916623</v>
      </c>
      <c r="Q627" s="73">
        <v>2875696.5890790001</v>
      </c>
      <c r="R627" s="71" t="s">
        <v>625</v>
      </c>
      <c r="S627" s="71">
        <v>7414000005</v>
      </c>
      <c r="AB627"/>
      <c r="AC627"/>
    </row>
    <row r="628" spans="1:29" x14ac:dyDescent="0.25">
      <c r="A628" t="str">
        <f t="shared" si="10"/>
        <v xml:space="preserve">1037118STERGOB ED          </v>
      </c>
      <c r="B628" s="71">
        <v>1037125</v>
      </c>
      <c r="C628" s="71" t="s">
        <v>713</v>
      </c>
      <c r="D628" s="71" t="s">
        <v>612</v>
      </c>
      <c r="E628" s="71" t="s">
        <v>623</v>
      </c>
      <c r="F628" s="71" t="s">
        <v>624</v>
      </c>
      <c r="G628" s="74">
        <v>2500000</v>
      </c>
      <c r="H628" s="72">
        <v>9.8627230000000008</v>
      </c>
      <c r="I628" s="73">
        <v>24656807.5</v>
      </c>
      <c r="J628" s="72">
        <v>9.7229553800000001</v>
      </c>
      <c r="K628" s="73">
        <v>349419.05</v>
      </c>
      <c r="L628" s="74">
        <v>0</v>
      </c>
      <c r="M628" s="73">
        <v>0</v>
      </c>
      <c r="N628" s="74">
        <v>0</v>
      </c>
      <c r="O628" s="73">
        <v>0</v>
      </c>
      <c r="P628" s="74">
        <v>2500000</v>
      </c>
      <c r="Q628" s="73">
        <v>24656807.5</v>
      </c>
      <c r="R628" s="71" t="s">
        <v>625</v>
      </c>
      <c r="S628" s="71">
        <v>7414000005</v>
      </c>
      <c r="AB628"/>
      <c r="AC628"/>
    </row>
    <row r="629" spans="1:29" x14ac:dyDescent="0.25">
      <c r="A629" t="str">
        <f t="shared" si="10"/>
        <v xml:space="preserve">1037124STERGOB B0          </v>
      </c>
      <c r="B629" s="71">
        <v>1037125</v>
      </c>
      <c r="C629" s="71" t="s">
        <v>713</v>
      </c>
      <c r="D629" s="71" t="s">
        <v>410</v>
      </c>
      <c r="E629" s="71" t="s">
        <v>623</v>
      </c>
      <c r="F629" s="71" t="s">
        <v>624</v>
      </c>
      <c r="G629" s="74">
        <v>1000000</v>
      </c>
      <c r="H629" s="72">
        <v>9.0621639999999992</v>
      </c>
      <c r="I629" s="73">
        <v>9062164</v>
      </c>
      <c r="J629" s="72">
        <v>8.1474269100000001</v>
      </c>
      <c r="K629" s="73">
        <v>914737.09</v>
      </c>
      <c r="L629" s="74">
        <v>0</v>
      </c>
      <c r="M629" s="73">
        <v>0</v>
      </c>
      <c r="N629" s="74">
        <v>0</v>
      </c>
      <c r="O629" s="73">
        <v>0</v>
      </c>
      <c r="P629" s="74">
        <v>1000000</v>
      </c>
      <c r="Q629" s="73">
        <v>9062164</v>
      </c>
      <c r="R629" s="71" t="s">
        <v>625</v>
      </c>
      <c r="S629" s="71">
        <v>7414000005</v>
      </c>
      <c r="AB629"/>
      <c r="AC629"/>
    </row>
    <row r="630" spans="1:29" x14ac:dyDescent="0.25">
      <c r="A630" t="str">
        <f t="shared" si="10"/>
        <v xml:space="preserve">1037125CETES 240530        </v>
      </c>
      <c r="B630" s="71">
        <v>1037125</v>
      </c>
      <c r="C630" s="71" t="s">
        <v>713</v>
      </c>
      <c r="D630" s="71" t="s">
        <v>389</v>
      </c>
      <c r="E630" s="71" t="s">
        <v>623</v>
      </c>
      <c r="F630" s="71" t="s">
        <v>624</v>
      </c>
      <c r="G630" s="74">
        <v>998432</v>
      </c>
      <c r="H630" s="72">
        <v>3.3967719999999999</v>
      </c>
      <c r="I630" s="73">
        <v>3391445.8615040001</v>
      </c>
      <c r="J630" s="72">
        <v>3.3412600056889201</v>
      </c>
      <c r="K630" s="73">
        <v>55424.951503999997</v>
      </c>
      <c r="L630" s="74">
        <v>0</v>
      </c>
      <c r="M630" s="73">
        <v>0</v>
      </c>
      <c r="N630" s="74">
        <v>0</v>
      </c>
      <c r="O630" s="73">
        <v>0</v>
      </c>
      <c r="P630" s="74">
        <v>998432</v>
      </c>
      <c r="Q630" s="73">
        <v>3391445.8615040001</v>
      </c>
      <c r="R630" s="71" t="s">
        <v>625</v>
      </c>
      <c r="S630" s="71">
        <v>7414000005</v>
      </c>
      <c r="AB630"/>
      <c r="AC630"/>
    </row>
    <row r="631" spans="1:29" x14ac:dyDescent="0.25">
      <c r="A631" t="str">
        <f t="shared" si="10"/>
        <v xml:space="preserve">1037125CETES 250320        </v>
      </c>
      <c r="B631" s="71">
        <v>1037540</v>
      </c>
      <c r="C631" s="71" t="s">
        <v>714</v>
      </c>
      <c r="D631" s="71" t="s">
        <v>409</v>
      </c>
      <c r="E631" s="71" t="s">
        <v>623</v>
      </c>
      <c r="F631" s="71" t="s">
        <v>624</v>
      </c>
      <c r="G631" s="74">
        <v>140930</v>
      </c>
      <c r="H631" s="72">
        <v>9.3381629999999998</v>
      </c>
      <c r="I631" s="73">
        <v>1316027.3115900001</v>
      </c>
      <c r="J631" s="72">
        <v>8.3307969100000001</v>
      </c>
      <c r="K631" s="73">
        <v>141968.10306369999</v>
      </c>
      <c r="L631" s="74">
        <v>0</v>
      </c>
      <c r="M631" s="73">
        <v>0</v>
      </c>
      <c r="N631" s="74">
        <v>0</v>
      </c>
      <c r="O631" s="73">
        <v>0</v>
      </c>
      <c r="P631" s="74">
        <v>140930</v>
      </c>
      <c r="Q631" s="73">
        <v>1316027.3115900001</v>
      </c>
      <c r="R631" s="71" t="s">
        <v>625</v>
      </c>
      <c r="S631" s="71">
        <v>7414000005</v>
      </c>
      <c r="AB631"/>
      <c r="AC631"/>
    </row>
    <row r="632" spans="1:29" x14ac:dyDescent="0.25">
      <c r="A632" t="str">
        <f t="shared" si="10"/>
        <v xml:space="preserve">1037125STERGOB ED          </v>
      </c>
      <c r="B632" s="71">
        <v>1037540</v>
      </c>
      <c r="C632" s="71" t="s">
        <v>714</v>
      </c>
      <c r="D632" s="71" t="s">
        <v>364</v>
      </c>
      <c r="E632" s="71" t="s">
        <v>623</v>
      </c>
      <c r="F632" s="71" t="s">
        <v>624</v>
      </c>
      <c r="G632" s="74">
        <v>107960</v>
      </c>
      <c r="H632" s="72">
        <v>9.190137</v>
      </c>
      <c r="I632" s="73">
        <v>992167.19051999995</v>
      </c>
      <c r="J632" s="72">
        <v>8.2164038599999998</v>
      </c>
      <c r="K632" s="73">
        <v>105124.2297944</v>
      </c>
      <c r="L632" s="74">
        <v>0</v>
      </c>
      <c r="M632" s="73">
        <v>0</v>
      </c>
      <c r="N632" s="74">
        <v>0</v>
      </c>
      <c r="O632" s="73">
        <v>0</v>
      </c>
      <c r="P632" s="74">
        <v>107960</v>
      </c>
      <c r="Q632" s="73">
        <v>992167.19051999995</v>
      </c>
      <c r="R632" s="71" t="s">
        <v>625</v>
      </c>
      <c r="S632" s="71">
        <v>7414000005</v>
      </c>
      <c r="AB632"/>
      <c r="AC632"/>
    </row>
    <row r="633" spans="1:29" x14ac:dyDescent="0.25">
      <c r="A633" t="str">
        <f t="shared" si="10"/>
        <v xml:space="preserve">1037540CETES 241128        </v>
      </c>
      <c r="B633" s="71">
        <v>1037540</v>
      </c>
      <c r="C633" s="71" t="s">
        <v>714</v>
      </c>
      <c r="D633" s="71" t="s">
        <v>366</v>
      </c>
      <c r="E633" s="71" t="s">
        <v>623</v>
      </c>
      <c r="F633" s="71" t="s">
        <v>624</v>
      </c>
      <c r="G633" s="74">
        <v>0</v>
      </c>
      <c r="H633" s="72">
        <v>0</v>
      </c>
      <c r="I633" s="73">
        <v>6761036.1500000004</v>
      </c>
      <c r="J633" s="72">
        <v>0</v>
      </c>
      <c r="K633" s="73">
        <v>0</v>
      </c>
      <c r="L633" s="74">
        <v>0</v>
      </c>
      <c r="M633" s="73">
        <v>0</v>
      </c>
      <c r="N633" s="74">
        <v>0</v>
      </c>
      <c r="O633" s="73">
        <v>0</v>
      </c>
      <c r="P633" s="74">
        <v>0</v>
      </c>
      <c r="Q633" s="73">
        <v>6761036.1500000004</v>
      </c>
      <c r="R633" s="71" t="s">
        <v>625</v>
      </c>
      <c r="S633" s="71">
        <v>7414000005</v>
      </c>
      <c r="AB633"/>
      <c r="AC633"/>
    </row>
    <row r="634" spans="1:29" x14ac:dyDescent="0.25">
      <c r="A634" t="str">
        <f t="shared" si="10"/>
        <v xml:space="preserve">1037540CETES 250123        </v>
      </c>
      <c r="B634" s="71">
        <v>1037540</v>
      </c>
      <c r="C634" s="71" t="s">
        <v>714</v>
      </c>
      <c r="D634" s="71" t="s">
        <v>375</v>
      </c>
      <c r="E634" s="71" t="s">
        <v>623</v>
      </c>
      <c r="F634" s="71" t="s">
        <v>624</v>
      </c>
      <c r="G634" s="74">
        <v>6330</v>
      </c>
      <c r="H634" s="72">
        <v>98.730349000000004</v>
      </c>
      <c r="I634" s="73">
        <v>624963.10916999995</v>
      </c>
      <c r="J634" s="72">
        <v>108.06787303999999</v>
      </c>
      <c r="K634" s="73">
        <v>-59106.527173199996</v>
      </c>
      <c r="L634" s="74">
        <v>0</v>
      </c>
      <c r="M634" s="73">
        <v>0</v>
      </c>
      <c r="N634" s="74">
        <v>0</v>
      </c>
      <c r="O634" s="73">
        <v>0</v>
      </c>
      <c r="P634" s="74">
        <v>6330</v>
      </c>
      <c r="Q634" s="73">
        <v>624963.10916999995</v>
      </c>
      <c r="R634" s="71" t="s">
        <v>625</v>
      </c>
      <c r="S634" s="71">
        <v>7414000005</v>
      </c>
      <c r="AB634"/>
      <c r="AC634"/>
    </row>
    <row r="635" spans="1:29" x14ac:dyDescent="0.25">
      <c r="A635" t="str">
        <f t="shared" si="10"/>
        <v>1037540EFECTIVO</v>
      </c>
      <c r="B635" s="71">
        <v>1037540</v>
      </c>
      <c r="C635" s="71" t="s">
        <v>714</v>
      </c>
      <c r="D635" s="71" t="s">
        <v>376</v>
      </c>
      <c r="E635" s="71" t="s">
        <v>623</v>
      </c>
      <c r="F635" s="71" t="s">
        <v>624</v>
      </c>
      <c r="G635" s="74">
        <v>4639</v>
      </c>
      <c r="H635" s="72">
        <v>99.247497999999993</v>
      </c>
      <c r="I635" s="73">
        <v>460409.14322199998</v>
      </c>
      <c r="J635" s="72">
        <v>115.75135435</v>
      </c>
      <c r="K635" s="73">
        <v>-76561.389607649995</v>
      </c>
      <c r="L635" s="74">
        <v>0</v>
      </c>
      <c r="M635" s="73">
        <v>0</v>
      </c>
      <c r="N635" s="74">
        <v>0</v>
      </c>
      <c r="O635" s="73">
        <v>0</v>
      </c>
      <c r="P635" s="74">
        <v>4639</v>
      </c>
      <c r="Q635" s="73">
        <v>460409.14322199998</v>
      </c>
      <c r="R635" s="71" t="s">
        <v>625</v>
      </c>
      <c r="S635" s="71">
        <v>7414000005</v>
      </c>
      <c r="AB635"/>
      <c r="AC635"/>
    </row>
    <row r="636" spans="1:29" x14ac:dyDescent="0.25">
      <c r="A636" t="str">
        <f t="shared" si="10"/>
        <v xml:space="preserve">1037540GOBFED 240905       </v>
      </c>
      <c r="B636" s="71">
        <v>1037540</v>
      </c>
      <c r="C636" s="71" t="s">
        <v>714</v>
      </c>
      <c r="D636" s="71" t="s">
        <v>377</v>
      </c>
      <c r="E636" s="71" t="s">
        <v>623</v>
      </c>
      <c r="F636" s="71" t="s">
        <v>624</v>
      </c>
      <c r="G636" s="74">
        <v>1360</v>
      </c>
      <c r="H636" s="72">
        <v>94.973146999999997</v>
      </c>
      <c r="I636" s="73">
        <v>129163.47992</v>
      </c>
      <c r="J636" s="72">
        <v>91.134764709999999</v>
      </c>
      <c r="K636" s="73">
        <v>5220.1999144000001</v>
      </c>
      <c r="L636" s="74">
        <v>0</v>
      </c>
      <c r="M636" s="73">
        <v>0</v>
      </c>
      <c r="N636" s="74">
        <v>0</v>
      </c>
      <c r="O636" s="73">
        <v>0</v>
      </c>
      <c r="P636" s="74">
        <v>1360</v>
      </c>
      <c r="Q636" s="73">
        <v>129163.47992</v>
      </c>
      <c r="R636" s="71" t="s">
        <v>625</v>
      </c>
      <c r="S636" s="71">
        <v>7414000005</v>
      </c>
      <c r="AB636"/>
      <c r="AC636"/>
    </row>
    <row r="637" spans="1:29" x14ac:dyDescent="0.25">
      <c r="A637" t="str">
        <f t="shared" si="10"/>
        <v xml:space="preserve">1037540GOBFED 241205       </v>
      </c>
      <c r="B637" s="71">
        <v>1037540</v>
      </c>
      <c r="C637" s="71" t="s">
        <v>714</v>
      </c>
      <c r="D637" s="71" t="s">
        <v>378</v>
      </c>
      <c r="E637" s="71" t="s">
        <v>623</v>
      </c>
      <c r="F637" s="71" t="s">
        <v>624</v>
      </c>
      <c r="G637" s="74">
        <v>8055</v>
      </c>
      <c r="H637" s="72">
        <v>91.911821000000003</v>
      </c>
      <c r="I637" s="73">
        <v>740349.71815500001</v>
      </c>
      <c r="J637" s="72">
        <v>97.809169460000007</v>
      </c>
      <c r="K637" s="73">
        <v>-47503.141845300001</v>
      </c>
      <c r="L637" s="74">
        <v>0</v>
      </c>
      <c r="M637" s="73">
        <v>0</v>
      </c>
      <c r="N637" s="74">
        <v>0</v>
      </c>
      <c r="O637" s="73">
        <v>0</v>
      </c>
      <c r="P637" s="74">
        <v>8055</v>
      </c>
      <c r="Q637" s="73">
        <v>740349.71815500001</v>
      </c>
      <c r="R637" s="71" t="s">
        <v>625</v>
      </c>
      <c r="S637" s="71">
        <v>7414000005</v>
      </c>
      <c r="AB637"/>
      <c r="AC637"/>
    </row>
    <row r="638" spans="1:29" x14ac:dyDescent="0.25">
      <c r="A638" t="str">
        <f t="shared" si="10"/>
        <v xml:space="preserve">1037540GOBFED 250306       </v>
      </c>
      <c r="B638" s="71">
        <v>1037540</v>
      </c>
      <c r="C638" s="71" t="s">
        <v>714</v>
      </c>
      <c r="D638" s="71" t="s">
        <v>379</v>
      </c>
      <c r="E638" s="71" t="s">
        <v>623</v>
      </c>
      <c r="F638" s="71" t="s">
        <v>624</v>
      </c>
      <c r="G638" s="74">
        <v>3380</v>
      </c>
      <c r="H638" s="72">
        <v>88.698122999999995</v>
      </c>
      <c r="I638" s="73">
        <v>299799.65574000002</v>
      </c>
      <c r="J638" s="72">
        <v>92.101102100000006</v>
      </c>
      <c r="K638" s="73">
        <v>-11502.069358000001</v>
      </c>
      <c r="L638" s="74">
        <v>0</v>
      </c>
      <c r="M638" s="73">
        <v>0</v>
      </c>
      <c r="N638" s="74">
        <v>0</v>
      </c>
      <c r="O638" s="73">
        <v>0</v>
      </c>
      <c r="P638" s="74">
        <v>3380</v>
      </c>
      <c r="Q638" s="73">
        <v>299799.65574000002</v>
      </c>
      <c r="R638" s="71" t="s">
        <v>625</v>
      </c>
      <c r="S638" s="71">
        <v>7414000005</v>
      </c>
      <c r="AB638"/>
      <c r="AC638"/>
    </row>
    <row r="639" spans="1:29" x14ac:dyDescent="0.25">
      <c r="A639" t="str">
        <f t="shared" si="10"/>
        <v xml:space="preserve">1037540GOBFED 260305       </v>
      </c>
      <c r="B639" s="71">
        <v>1037540</v>
      </c>
      <c r="C639" s="71" t="s">
        <v>714</v>
      </c>
      <c r="D639" s="71" t="s">
        <v>380</v>
      </c>
      <c r="E639" s="71" t="s">
        <v>623</v>
      </c>
      <c r="F639" s="71" t="s">
        <v>624</v>
      </c>
      <c r="G639" s="74">
        <v>6880</v>
      </c>
      <c r="H639" s="72">
        <v>93.314192000000006</v>
      </c>
      <c r="I639" s="73">
        <v>642001.64095999999</v>
      </c>
      <c r="J639" s="72">
        <v>104.61324234</v>
      </c>
      <c r="K639" s="73">
        <v>-77737.466339199993</v>
      </c>
      <c r="L639" s="74">
        <v>0</v>
      </c>
      <c r="M639" s="73">
        <v>0</v>
      </c>
      <c r="N639" s="74">
        <v>0</v>
      </c>
      <c r="O639" s="73">
        <v>0</v>
      </c>
      <c r="P639" s="74">
        <v>6880</v>
      </c>
      <c r="Q639" s="73">
        <v>642001.64095999999</v>
      </c>
      <c r="R639" s="71" t="s">
        <v>625</v>
      </c>
      <c r="S639" s="71">
        <v>7414000005</v>
      </c>
      <c r="AB639"/>
      <c r="AC639"/>
    </row>
    <row r="640" spans="1:29" x14ac:dyDescent="0.25">
      <c r="A640" t="str">
        <f t="shared" si="10"/>
        <v xml:space="preserve">1037540GOBFED 270304       </v>
      </c>
      <c r="B640" s="71">
        <v>1037540</v>
      </c>
      <c r="C640" s="71" t="s">
        <v>714</v>
      </c>
      <c r="D640" s="71" t="s">
        <v>381</v>
      </c>
      <c r="E640" s="71" t="s">
        <v>623</v>
      </c>
      <c r="F640" s="71" t="s">
        <v>624</v>
      </c>
      <c r="G640" s="74">
        <v>6256</v>
      </c>
      <c r="H640" s="72">
        <v>94.870157000000006</v>
      </c>
      <c r="I640" s="73">
        <v>593507.702192</v>
      </c>
      <c r="J640" s="72">
        <v>97.949190880677747</v>
      </c>
      <c r="K640" s="73">
        <v>-19262.43595752</v>
      </c>
      <c r="L640" s="74">
        <v>0</v>
      </c>
      <c r="M640" s="73">
        <v>0</v>
      </c>
      <c r="N640" s="74">
        <v>0</v>
      </c>
      <c r="O640" s="73">
        <v>0</v>
      </c>
      <c r="P640" s="74">
        <v>6256</v>
      </c>
      <c r="Q640" s="73">
        <v>593507.702192</v>
      </c>
      <c r="R640" s="71" t="s">
        <v>625</v>
      </c>
      <c r="S640" s="71">
        <v>7414000005</v>
      </c>
      <c r="AB640"/>
      <c r="AC640"/>
    </row>
    <row r="641" spans="1:29" x14ac:dyDescent="0.25">
      <c r="A641" t="str">
        <f t="shared" si="10"/>
        <v xml:space="preserve">1037540GOBFED 270603       </v>
      </c>
      <c r="B641" s="71">
        <v>1037540</v>
      </c>
      <c r="C641" s="71" t="s">
        <v>714</v>
      </c>
      <c r="D641" s="71" t="s">
        <v>382</v>
      </c>
      <c r="E641" s="71" t="s">
        <v>623</v>
      </c>
      <c r="F641" s="71" t="s">
        <v>624</v>
      </c>
      <c r="G641" s="74">
        <v>7471</v>
      </c>
      <c r="H641" s="72">
        <v>89.489464999999996</v>
      </c>
      <c r="I641" s="73">
        <v>668575.79301499994</v>
      </c>
      <c r="J641" s="72">
        <v>92.384535582177747</v>
      </c>
      <c r="K641" s="73">
        <v>-21629.072319449999</v>
      </c>
      <c r="L641" s="74">
        <v>0</v>
      </c>
      <c r="M641" s="73">
        <v>0</v>
      </c>
      <c r="N641" s="74">
        <v>0</v>
      </c>
      <c r="O641" s="73">
        <v>0</v>
      </c>
      <c r="P641" s="74">
        <v>7471</v>
      </c>
      <c r="Q641" s="73">
        <v>668575.79301499994</v>
      </c>
      <c r="R641" s="71" t="s">
        <v>625</v>
      </c>
      <c r="S641" s="71">
        <v>7414000005</v>
      </c>
      <c r="AB641"/>
      <c r="AC641"/>
    </row>
    <row r="642" spans="1:29" x14ac:dyDescent="0.25">
      <c r="A642" t="str">
        <f t="shared" si="10"/>
        <v xml:space="preserve">1037540GOBFED 290531       </v>
      </c>
      <c r="B642" s="71">
        <v>1037540</v>
      </c>
      <c r="C642" s="71" t="s">
        <v>714</v>
      </c>
      <c r="D642" s="71" t="s">
        <v>383</v>
      </c>
      <c r="E642" s="71" t="s">
        <v>623</v>
      </c>
      <c r="F642" s="71" t="s">
        <v>624</v>
      </c>
      <c r="G642" s="74">
        <v>5030</v>
      </c>
      <c r="H642" s="72">
        <v>86.197128000000006</v>
      </c>
      <c r="I642" s="73">
        <v>433571.55384000001</v>
      </c>
      <c r="J642" s="72">
        <v>90.563850158230622</v>
      </c>
      <c r="K642" s="73">
        <v>-21964.612455900002</v>
      </c>
      <c r="L642" s="74">
        <v>0</v>
      </c>
      <c r="M642" s="73">
        <v>0</v>
      </c>
      <c r="N642" s="74">
        <v>0</v>
      </c>
      <c r="O642" s="73">
        <v>0</v>
      </c>
      <c r="P642" s="74">
        <v>5030</v>
      </c>
      <c r="Q642" s="73">
        <v>433571.55384000001</v>
      </c>
      <c r="R642" s="71" t="s">
        <v>625</v>
      </c>
      <c r="S642" s="71">
        <v>7414000005</v>
      </c>
      <c r="AB642"/>
      <c r="AC642"/>
    </row>
    <row r="643" spans="1:29" x14ac:dyDescent="0.25">
      <c r="A643" t="str">
        <f t="shared" si="10"/>
        <v xml:space="preserve">1037540GOBFED 310529       </v>
      </c>
      <c r="B643" s="71">
        <v>1037540</v>
      </c>
      <c r="C643" s="71" t="s">
        <v>714</v>
      </c>
      <c r="D643" s="71" t="s">
        <v>427</v>
      </c>
      <c r="E643" s="71" t="s">
        <v>623</v>
      </c>
      <c r="F643" s="71" t="s">
        <v>624</v>
      </c>
      <c r="G643" s="74">
        <v>1960</v>
      </c>
      <c r="H643" s="72">
        <v>86.469353999999996</v>
      </c>
      <c r="I643" s="73">
        <v>169479.93384000001</v>
      </c>
      <c r="J643" s="72">
        <v>112.18590927</v>
      </c>
      <c r="K643" s="73">
        <v>-50404.4483292</v>
      </c>
      <c r="L643" s="74">
        <v>0</v>
      </c>
      <c r="M643" s="73">
        <v>0</v>
      </c>
      <c r="N643" s="74">
        <v>0</v>
      </c>
      <c r="O643" s="73">
        <v>0</v>
      </c>
      <c r="P643" s="74">
        <v>1960</v>
      </c>
      <c r="Q643" s="73">
        <v>169479.93384000001</v>
      </c>
      <c r="R643" s="71" t="s">
        <v>625</v>
      </c>
      <c r="S643" s="71">
        <v>7414000005</v>
      </c>
      <c r="AB643"/>
      <c r="AC643"/>
    </row>
    <row r="644" spans="1:29" x14ac:dyDescent="0.25">
      <c r="A644" t="str">
        <f t="shared" si="10"/>
        <v xml:space="preserve">1037540GOBFED 330526       </v>
      </c>
      <c r="B644" s="71">
        <v>1037540</v>
      </c>
      <c r="C644" s="71" t="s">
        <v>714</v>
      </c>
      <c r="D644" s="71" t="s">
        <v>418</v>
      </c>
      <c r="E644" s="71" t="s">
        <v>623</v>
      </c>
      <c r="F644" s="71" t="s">
        <v>624</v>
      </c>
      <c r="G644" s="74">
        <v>1050</v>
      </c>
      <c r="H644" s="72">
        <v>101.45096599999999</v>
      </c>
      <c r="I644" s="73">
        <v>106523.5143</v>
      </c>
      <c r="J644" s="72">
        <v>116.56035229</v>
      </c>
      <c r="K644" s="73">
        <v>-15864.8556045</v>
      </c>
      <c r="L644" s="74">
        <v>0</v>
      </c>
      <c r="M644" s="73">
        <v>0</v>
      </c>
      <c r="N644" s="74">
        <v>0</v>
      </c>
      <c r="O644" s="73">
        <v>0</v>
      </c>
      <c r="P644" s="74">
        <v>1050</v>
      </c>
      <c r="Q644" s="73">
        <v>106523.5143</v>
      </c>
      <c r="R644" s="71" t="s">
        <v>625</v>
      </c>
      <c r="S644" s="71">
        <v>7414000005</v>
      </c>
      <c r="AB644"/>
      <c r="AC644"/>
    </row>
    <row r="645" spans="1:29" x14ac:dyDescent="0.25">
      <c r="A645" t="str">
        <f t="shared" si="10"/>
        <v xml:space="preserve">1037540GOBFED 341123       </v>
      </c>
      <c r="B645" s="71">
        <v>1037540</v>
      </c>
      <c r="C645" s="71" t="s">
        <v>714</v>
      </c>
      <c r="D645" s="71" t="s">
        <v>408</v>
      </c>
      <c r="E645" s="71" t="s">
        <v>623</v>
      </c>
      <c r="F645" s="71" t="s">
        <v>624</v>
      </c>
      <c r="G645" s="74">
        <v>2717</v>
      </c>
      <c r="H645" s="72">
        <v>89.643172000000007</v>
      </c>
      <c r="I645" s="73">
        <v>243560.49832399999</v>
      </c>
      <c r="J645" s="72">
        <v>108.47711815</v>
      </c>
      <c r="K645" s="73">
        <v>-51171.831689550003</v>
      </c>
      <c r="L645" s="74">
        <v>0</v>
      </c>
      <c r="M645" s="73">
        <v>0</v>
      </c>
      <c r="N645" s="74">
        <v>0</v>
      </c>
      <c r="O645" s="73">
        <v>0</v>
      </c>
      <c r="P645" s="74">
        <v>2717</v>
      </c>
      <c r="Q645" s="73">
        <v>243560.49832399999</v>
      </c>
      <c r="R645" s="71" t="s">
        <v>625</v>
      </c>
      <c r="S645" s="71">
        <v>7414000005</v>
      </c>
      <c r="AB645"/>
      <c r="AC645"/>
    </row>
    <row r="646" spans="1:29" x14ac:dyDescent="0.25">
      <c r="A646" t="str">
        <f t="shared" si="10"/>
        <v xml:space="preserve">1037540GOBFED 361120       </v>
      </c>
      <c r="B646" s="71">
        <v>1037540</v>
      </c>
      <c r="C646" s="71" t="s">
        <v>714</v>
      </c>
      <c r="D646" s="71" t="s">
        <v>385</v>
      </c>
      <c r="E646" s="71" t="s">
        <v>623</v>
      </c>
      <c r="F646" s="71" t="s">
        <v>624</v>
      </c>
      <c r="G646" s="74">
        <v>1980</v>
      </c>
      <c r="H646" s="72">
        <v>83.200761</v>
      </c>
      <c r="I646" s="73">
        <v>164737.50678</v>
      </c>
      <c r="J646" s="72">
        <v>92.05256061</v>
      </c>
      <c r="K646" s="73">
        <v>-17526.563227800001</v>
      </c>
      <c r="L646" s="74">
        <v>0</v>
      </c>
      <c r="M646" s="73">
        <v>0</v>
      </c>
      <c r="N646" s="74">
        <v>0</v>
      </c>
      <c r="O646" s="73">
        <v>0</v>
      </c>
      <c r="P646" s="74">
        <v>1980</v>
      </c>
      <c r="Q646" s="73">
        <v>164737.50678</v>
      </c>
      <c r="R646" s="71" t="s">
        <v>625</v>
      </c>
      <c r="S646" s="71">
        <v>7414000005</v>
      </c>
      <c r="AB646"/>
      <c r="AC646"/>
    </row>
    <row r="647" spans="1:29" x14ac:dyDescent="0.25">
      <c r="A647" t="str">
        <f t="shared" ref="A647:A710" si="11">B645&amp;D645</f>
        <v xml:space="preserve">1037540GOBFED 381118       </v>
      </c>
      <c r="B647" s="71">
        <v>1037540</v>
      </c>
      <c r="C647" s="71" t="s">
        <v>714</v>
      </c>
      <c r="D647" s="71" t="s">
        <v>386</v>
      </c>
      <c r="E647" s="71" t="s">
        <v>623</v>
      </c>
      <c r="F647" s="71" t="s">
        <v>624</v>
      </c>
      <c r="G647" s="74">
        <v>2255</v>
      </c>
      <c r="H647" s="72">
        <v>82.159907000000004</v>
      </c>
      <c r="I647" s="73">
        <v>185270.59028500001</v>
      </c>
      <c r="J647" s="72">
        <v>86.420874420000004</v>
      </c>
      <c r="K647" s="73">
        <v>-9608.4815321000005</v>
      </c>
      <c r="L647" s="74">
        <v>0</v>
      </c>
      <c r="M647" s="73">
        <v>0</v>
      </c>
      <c r="N647" s="74">
        <v>0</v>
      </c>
      <c r="O647" s="73">
        <v>0</v>
      </c>
      <c r="P647" s="74">
        <v>2255</v>
      </c>
      <c r="Q647" s="73">
        <v>185270.59028500001</v>
      </c>
      <c r="R647" s="71" t="s">
        <v>625</v>
      </c>
      <c r="S647" s="71">
        <v>7414000005</v>
      </c>
      <c r="AB647"/>
      <c r="AC647"/>
    </row>
    <row r="648" spans="1:29" x14ac:dyDescent="0.25">
      <c r="A648" t="str">
        <f t="shared" si="11"/>
        <v xml:space="preserve">1037540GOBFED 471107       </v>
      </c>
      <c r="B648" s="71">
        <v>1037540</v>
      </c>
      <c r="C648" s="71" t="s">
        <v>714</v>
      </c>
      <c r="D648" s="71" t="s">
        <v>429</v>
      </c>
      <c r="E648" s="71" t="s">
        <v>623</v>
      </c>
      <c r="F648" s="71" t="s">
        <v>624</v>
      </c>
      <c r="G648" s="74">
        <v>11638</v>
      </c>
      <c r="H648" s="72">
        <v>98.007834000000003</v>
      </c>
      <c r="I648" s="73">
        <v>1140615.172092</v>
      </c>
      <c r="J648" s="72">
        <v>89.107030300000005</v>
      </c>
      <c r="K648" s="73">
        <v>103587.5534606</v>
      </c>
      <c r="L648" s="74">
        <v>0</v>
      </c>
      <c r="M648" s="73">
        <v>0</v>
      </c>
      <c r="N648" s="74">
        <v>0</v>
      </c>
      <c r="O648" s="73">
        <v>0</v>
      </c>
      <c r="P648" s="74">
        <v>11638</v>
      </c>
      <c r="Q648" s="73">
        <v>1140615.172092</v>
      </c>
      <c r="R648" s="71" t="s">
        <v>625</v>
      </c>
      <c r="S648" s="71">
        <v>7414000005</v>
      </c>
      <c r="AB648"/>
      <c r="AC648"/>
    </row>
    <row r="649" spans="1:29" x14ac:dyDescent="0.25">
      <c r="A649" t="str">
        <f t="shared" si="11"/>
        <v xml:space="preserve">1037540GOBFED 530731       </v>
      </c>
      <c r="B649" s="71">
        <v>1037540</v>
      </c>
      <c r="C649" s="71" t="s">
        <v>714</v>
      </c>
      <c r="D649" s="71" t="s">
        <v>467</v>
      </c>
      <c r="E649" s="71" t="s">
        <v>623</v>
      </c>
      <c r="F649" s="71" t="s">
        <v>624</v>
      </c>
      <c r="G649" s="74">
        <v>970000</v>
      </c>
      <c r="H649" s="72">
        <v>4.5555430000000001</v>
      </c>
      <c r="I649" s="73">
        <v>4418876.71</v>
      </c>
      <c r="J649" s="72">
        <v>3.1184202474226805</v>
      </c>
      <c r="K649" s="73">
        <v>1394009.07</v>
      </c>
      <c r="L649" s="74">
        <v>0</v>
      </c>
      <c r="M649" s="73">
        <v>0</v>
      </c>
      <c r="N649" s="74">
        <v>0</v>
      </c>
      <c r="O649" s="73">
        <v>0</v>
      </c>
      <c r="P649" s="74">
        <v>970000</v>
      </c>
      <c r="Q649" s="73">
        <v>4418876.71</v>
      </c>
      <c r="R649" s="71" t="s">
        <v>625</v>
      </c>
      <c r="S649" s="71">
        <v>7414000005</v>
      </c>
      <c r="AB649"/>
      <c r="AC649"/>
    </row>
    <row r="650" spans="1:29" x14ac:dyDescent="0.25">
      <c r="A650" t="str">
        <f t="shared" si="11"/>
        <v xml:space="preserve">1037540PEMEX 13-2          </v>
      </c>
      <c r="B650" s="71">
        <v>1037540</v>
      </c>
      <c r="C650" s="71" t="s">
        <v>714</v>
      </c>
      <c r="D650" s="71" t="s">
        <v>391</v>
      </c>
      <c r="E650" s="71" t="s">
        <v>623</v>
      </c>
      <c r="F650" s="71" t="s">
        <v>624</v>
      </c>
      <c r="G650" s="74">
        <v>1078</v>
      </c>
      <c r="H650" s="72">
        <v>775.69178699999998</v>
      </c>
      <c r="I650" s="73">
        <v>836195.74638599996</v>
      </c>
      <c r="J650" s="72">
        <v>749.6274899</v>
      </c>
      <c r="K650" s="73">
        <v>28097.312273799998</v>
      </c>
      <c r="L650" s="74">
        <v>0</v>
      </c>
      <c r="M650" s="73">
        <v>0</v>
      </c>
      <c r="N650" s="74">
        <v>0</v>
      </c>
      <c r="O650" s="73">
        <v>0</v>
      </c>
      <c r="P650" s="74">
        <v>1078</v>
      </c>
      <c r="Q650" s="73">
        <v>836195.74638599996</v>
      </c>
      <c r="R650" s="71" t="s">
        <v>625</v>
      </c>
      <c r="S650" s="71">
        <v>7414000005</v>
      </c>
      <c r="AB650"/>
      <c r="AC650"/>
    </row>
    <row r="651" spans="1:29" x14ac:dyDescent="0.25">
      <c r="A651" t="str">
        <f t="shared" si="11"/>
        <v xml:space="preserve">1037540STER-OP MD          </v>
      </c>
      <c r="B651" s="71">
        <v>1037540</v>
      </c>
      <c r="C651" s="71" t="s">
        <v>714</v>
      </c>
      <c r="D651" s="71" t="s">
        <v>392</v>
      </c>
      <c r="E651" s="71" t="s">
        <v>623</v>
      </c>
      <c r="F651" s="71" t="s">
        <v>624</v>
      </c>
      <c r="G651" s="74">
        <v>710</v>
      </c>
      <c r="H651" s="72">
        <v>747.17843200000004</v>
      </c>
      <c r="I651" s="73">
        <v>530496.68672</v>
      </c>
      <c r="J651" s="72">
        <v>710.45212059845073</v>
      </c>
      <c r="K651" s="73">
        <v>26075.681095100001</v>
      </c>
      <c r="L651" s="74">
        <v>0</v>
      </c>
      <c r="M651" s="73">
        <v>0</v>
      </c>
      <c r="N651" s="74">
        <v>0</v>
      </c>
      <c r="O651" s="73">
        <v>0</v>
      </c>
      <c r="P651" s="74">
        <v>710</v>
      </c>
      <c r="Q651" s="73">
        <v>530496.68672</v>
      </c>
      <c r="R651" s="71" t="s">
        <v>625</v>
      </c>
      <c r="S651" s="71">
        <v>7414000005</v>
      </c>
      <c r="AB651"/>
      <c r="AC651"/>
    </row>
    <row r="652" spans="1:29" x14ac:dyDescent="0.25">
      <c r="A652" t="str">
        <f t="shared" si="11"/>
        <v xml:space="preserve">1037540UDIBONO 251204      </v>
      </c>
      <c r="B652" s="71">
        <v>1037540</v>
      </c>
      <c r="C652" s="71" t="s">
        <v>714</v>
      </c>
      <c r="D652" s="71" t="s">
        <v>393</v>
      </c>
      <c r="E652" s="71" t="s">
        <v>623</v>
      </c>
      <c r="F652" s="71" t="s">
        <v>624</v>
      </c>
      <c r="G652" s="74">
        <v>1548</v>
      </c>
      <c r="H652" s="72">
        <v>765.92388300000005</v>
      </c>
      <c r="I652" s="73">
        <v>1185650.1708839999</v>
      </c>
      <c r="J652" s="72">
        <v>738.25231559785527</v>
      </c>
      <c r="K652" s="73">
        <v>42835.586338519999</v>
      </c>
      <c r="L652" s="74">
        <v>0</v>
      </c>
      <c r="M652" s="73">
        <v>0</v>
      </c>
      <c r="N652" s="74">
        <v>0</v>
      </c>
      <c r="O652" s="73">
        <v>0</v>
      </c>
      <c r="P652" s="74">
        <v>1548</v>
      </c>
      <c r="Q652" s="73">
        <v>1185650.1708839999</v>
      </c>
      <c r="R652" s="71" t="s">
        <v>625</v>
      </c>
      <c r="S652" s="71">
        <v>7414000005</v>
      </c>
      <c r="AB652"/>
      <c r="AC652"/>
    </row>
    <row r="653" spans="1:29" x14ac:dyDescent="0.25">
      <c r="A653" t="str">
        <f t="shared" si="11"/>
        <v xml:space="preserve">1037540UDIBONO 261203      </v>
      </c>
      <c r="B653" s="71">
        <v>1037540</v>
      </c>
      <c r="C653" s="71" t="s">
        <v>714</v>
      </c>
      <c r="D653" s="71" t="s">
        <v>394</v>
      </c>
      <c r="E653" s="71" t="s">
        <v>623</v>
      </c>
      <c r="F653" s="71" t="s">
        <v>624</v>
      </c>
      <c r="G653" s="74">
        <v>910</v>
      </c>
      <c r="H653" s="72">
        <v>684.88915799999995</v>
      </c>
      <c r="I653" s="73">
        <v>623249.13378000003</v>
      </c>
      <c r="J653" s="72">
        <v>689.07145538615384</v>
      </c>
      <c r="K653" s="73">
        <v>-3805.8906213999999</v>
      </c>
      <c r="L653" s="74">
        <v>0</v>
      </c>
      <c r="M653" s="73">
        <v>0</v>
      </c>
      <c r="N653" s="74">
        <v>0</v>
      </c>
      <c r="O653" s="73">
        <v>0</v>
      </c>
      <c r="P653" s="74">
        <v>910</v>
      </c>
      <c r="Q653" s="73">
        <v>623249.13378000003</v>
      </c>
      <c r="R653" s="71" t="s">
        <v>625</v>
      </c>
      <c r="S653" s="71">
        <v>7414000005</v>
      </c>
      <c r="AB653"/>
      <c r="AC653"/>
    </row>
    <row r="654" spans="1:29" x14ac:dyDescent="0.25">
      <c r="A654" t="str">
        <f t="shared" si="11"/>
        <v xml:space="preserve">1037540UDIBONO 281130      </v>
      </c>
      <c r="B654" s="71">
        <v>1037540</v>
      </c>
      <c r="C654" s="71" t="s">
        <v>714</v>
      </c>
      <c r="D654" s="71" t="s">
        <v>395</v>
      </c>
      <c r="E654" s="71" t="s">
        <v>623</v>
      </c>
      <c r="F654" s="71" t="s">
        <v>624</v>
      </c>
      <c r="G654" s="74">
        <v>348</v>
      </c>
      <c r="H654" s="72">
        <v>772.926965</v>
      </c>
      <c r="I654" s="73">
        <v>268978.58382</v>
      </c>
      <c r="J654" s="72">
        <v>623.49165198000003</v>
      </c>
      <c r="K654" s="73">
        <v>52003.488930959997</v>
      </c>
      <c r="L654" s="74">
        <v>0</v>
      </c>
      <c r="M654" s="73">
        <v>0</v>
      </c>
      <c r="N654" s="74">
        <v>0</v>
      </c>
      <c r="O654" s="73">
        <v>0</v>
      </c>
      <c r="P654" s="74">
        <v>348</v>
      </c>
      <c r="Q654" s="73">
        <v>268978.58382</v>
      </c>
      <c r="R654" s="71" t="s">
        <v>625</v>
      </c>
      <c r="S654" s="71">
        <v>7414000005</v>
      </c>
      <c r="AB654"/>
      <c r="AC654"/>
    </row>
    <row r="655" spans="1:29" x14ac:dyDescent="0.25">
      <c r="A655" t="str">
        <f t="shared" si="11"/>
        <v xml:space="preserve">1037540UDIBONO 311127      </v>
      </c>
      <c r="B655" s="71">
        <v>1037540</v>
      </c>
      <c r="C655" s="71" t="s">
        <v>714</v>
      </c>
      <c r="D655" s="71" t="s">
        <v>396</v>
      </c>
      <c r="E655" s="71" t="s">
        <v>623</v>
      </c>
      <c r="F655" s="71" t="s">
        <v>624</v>
      </c>
      <c r="G655" s="74">
        <v>1327</v>
      </c>
      <c r="H655" s="72">
        <v>721.59464000000003</v>
      </c>
      <c r="I655" s="73">
        <v>957556.08727999998</v>
      </c>
      <c r="J655" s="72">
        <v>758.08309179000003</v>
      </c>
      <c r="K655" s="73">
        <v>-48420.17552533</v>
      </c>
      <c r="L655" s="74">
        <v>0</v>
      </c>
      <c r="M655" s="73">
        <v>0</v>
      </c>
      <c r="N655" s="74">
        <v>0</v>
      </c>
      <c r="O655" s="73">
        <v>0</v>
      </c>
      <c r="P655" s="74">
        <v>1327</v>
      </c>
      <c r="Q655" s="73">
        <v>957556.08727999998</v>
      </c>
      <c r="R655" s="71" t="s">
        <v>625</v>
      </c>
      <c r="S655" s="71">
        <v>7414000005</v>
      </c>
      <c r="AB655"/>
      <c r="AC655"/>
    </row>
    <row r="656" spans="1:29" x14ac:dyDescent="0.25">
      <c r="A656" t="str">
        <f t="shared" si="11"/>
        <v xml:space="preserve">1037540UDIBONO 351122      </v>
      </c>
      <c r="B656" s="71">
        <v>1037540</v>
      </c>
      <c r="C656" s="71" t="s">
        <v>714</v>
      </c>
      <c r="D656" s="71" t="s">
        <v>397</v>
      </c>
      <c r="E656" s="71" t="s">
        <v>623</v>
      </c>
      <c r="F656" s="71" t="s">
        <v>624</v>
      </c>
      <c r="G656" s="74">
        <v>383</v>
      </c>
      <c r="H656" s="72">
        <v>635.96311900000001</v>
      </c>
      <c r="I656" s="73">
        <v>243573.87457700001</v>
      </c>
      <c r="J656" s="72">
        <v>647.93802047999998</v>
      </c>
      <c r="K656" s="73">
        <v>-4586.3872668399999</v>
      </c>
      <c r="L656" s="74">
        <v>0</v>
      </c>
      <c r="M656" s="73">
        <v>0</v>
      </c>
      <c r="N656" s="74">
        <v>0</v>
      </c>
      <c r="O656" s="73">
        <v>0</v>
      </c>
      <c r="P656" s="74">
        <v>383</v>
      </c>
      <c r="Q656" s="73">
        <v>243573.87457700001</v>
      </c>
      <c r="R656" s="71" t="s">
        <v>625</v>
      </c>
      <c r="S656" s="71">
        <v>7414000005</v>
      </c>
      <c r="AB656"/>
      <c r="AC656"/>
    </row>
    <row r="657" spans="1:29" x14ac:dyDescent="0.25">
      <c r="A657" t="str">
        <f t="shared" si="11"/>
        <v xml:space="preserve">1037540UDIBONO 401115      </v>
      </c>
      <c r="B657" s="71">
        <v>1037540</v>
      </c>
      <c r="C657" s="71" t="s">
        <v>714</v>
      </c>
      <c r="D657" s="71" t="s">
        <v>398</v>
      </c>
      <c r="E657" s="71" t="s">
        <v>623</v>
      </c>
      <c r="F657" s="71" t="s">
        <v>624</v>
      </c>
      <c r="G657" s="74">
        <v>711</v>
      </c>
      <c r="H657" s="72">
        <v>709.36974099999998</v>
      </c>
      <c r="I657" s="73">
        <v>504361.88585100003</v>
      </c>
      <c r="J657" s="72">
        <v>771.09918425000001</v>
      </c>
      <c r="K657" s="73">
        <v>-43889.634150749996</v>
      </c>
      <c r="L657" s="74">
        <v>0</v>
      </c>
      <c r="M657" s="73">
        <v>0</v>
      </c>
      <c r="N657" s="74">
        <v>0</v>
      </c>
      <c r="O657" s="73">
        <v>0</v>
      </c>
      <c r="P657" s="74">
        <v>711</v>
      </c>
      <c r="Q657" s="73">
        <v>504361.88585100003</v>
      </c>
      <c r="R657" s="71" t="s">
        <v>625</v>
      </c>
      <c r="S657" s="71">
        <v>7414000005</v>
      </c>
      <c r="AB657"/>
      <c r="AC657"/>
    </row>
    <row r="658" spans="1:29" x14ac:dyDescent="0.25">
      <c r="A658" t="str">
        <f t="shared" si="11"/>
        <v xml:space="preserve">1037540UDIBONO 431112      </v>
      </c>
      <c r="B658" s="71">
        <v>1037540</v>
      </c>
      <c r="C658" s="71" t="s">
        <v>714</v>
      </c>
      <c r="D658" s="71" t="s">
        <v>399</v>
      </c>
      <c r="E658" s="71" t="s">
        <v>623</v>
      </c>
      <c r="F658" s="71" t="s">
        <v>624</v>
      </c>
      <c r="G658" s="74">
        <v>2619</v>
      </c>
      <c r="H658" s="72">
        <v>694.41118700000004</v>
      </c>
      <c r="I658" s="73">
        <v>1818662.898753</v>
      </c>
      <c r="J658" s="72">
        <v>727.27319225586098</v>
      </c>
      <c r="K658" s="73">
        <v>-86065.591765100005</v>
      </c>
      <c r="L658" s="74">
        <v>0</v>
      </c>
      <c r="M658" s="73">
        <v>0</v>
      </c>
      <c r="N658" s="74">
        <v>0</v>
      </c>
      <c r="O658" s="73">
        <v>0</v>
      </c>
      <c r="P658" s="74">
        <v>2619</v>
      </c>
      <c r="Q658" s="73">
        <v>1818662.898753</v>
      </c>
      <c r="R658" s="71" t="s">
        <v>625</v>
      </c>
      <c r="S658" s="71">
        <v>7414000005</v>
      </c>
      <c r="AB658"/>
      <c r="AC658"/>
    </row>
    <row r="659" spans="1:29" x14ac:dyDescent="0.25">
      <c r="A659" t="str">
        <f t="shared" si="11"/>
        <v xml:space="preserve">1037540UDIBONO 461108      </v>
      </c>
      <c r="B659" s="71">
        <v>1037923</v>
      </c>
      <c r="C659" s="71" t="s">
        <v>715</v>
      </c>
      <c r="D659" s="71" t="s">
        <v>389</v>
      </c>
      <c r="E659" s="71" t="s">
        <v>623</v>
      </c>
      <c r="F659" s="71" t="s">
        <v>624</v>
      </c>
      <c r="G659" s="74">
        <v>441341</v>
      </c>
      <c r="H659" s="72">
        <v>3.3967719999999999</v>
      </c>
      <c r="I659" s="73">
        <v>1499134.751252</v>
      </c>
      <c r="J659" s="72">
        <v>3.3527301791585193</v>
      </c>
      <c r="K659" s="73">
        <v>19437.461252000001</v>
      </c>
      <c r="L659" s="74">
        <v>0</v>
      </c>
      <c r="M659" s="73">
        <v>0</v>
      </c>
      <c r="N659" s="74">
        <v>0</v>
      </c>
      <c r="O659" s="73">
        <v>0</v>
      </c>
      <c r="P659" s="74">
        <v>441341</v>
      </c>
      <c r="Q659" s="73">
        <v>1499134.751252</v>
      </c>
      <c r="R659" s="71" t="s">
        <v>625</v>
      </c>
      <c r="S659" s="71">
        <v>7414000005</v>
      </c>
      <c r="AB659"/>
      <c r="AC659"/>
    </row>
    <row r="660" spans="1:29" x14ac:dyDescent="0.25">
      <c r="A660" t="str">
        <f t="shared" si="11"/>
        <v xml:space="preserve">1037540UDIBONO 501103      </v>
      </c>
      <c r="B660" s="71">
        <v>1037925</v>
      </c>
      <c r="C660" s="71" t="s">
        <v>716</v>
      </c>
      <c r="D660" s="71" t="s">
        <v>389</v>
      </c>
      <c r="E660" s="71" t="s">
        <v>623</v>
      </c>
      <c r="F660" s="71" t="s">
        <v>624</v>
      </c>
      <c r="G660" s="74">
        <v>450953</v>
      </c>
      <c r="H660" s="72">
        <v>3.3967719999999999</v>
      </c>
      <c r="I660" s="73">
        <v>1531784.5237159999</v>
      </c>
      <c r="J660" s="72">
        <v>3.3518677999702851</v>
      </c>
      <c r="K660" s="73">
        <v>20249.683716</v>
      </c>
      <c r="L660" s="74">
        <v>0</v>
      </c>
      <c r="M660" s="73">
        <v>0</v>
      </c>
      <c r="N660" s="74">
        <v>0</v>
      </c>
      <c r="O660" s="73">
        <v>0</v>
      </c>
      <c r="P660" s="74">
        <v>450953</v>
      </c>
      <c r="Q660" s="73">
        <v>1531784.5237159999</v>
      </c>
      <c r="R660" s="71" t="s">
        <v>625</v>
      </c>
      <c r="S660" s="71">
        <v>7414000005</v>
      </c>
      <c r="AB660"/>
      <c r="AC660"/>
    </row>
    <row r="661" spans="1:29" x14ac:dyDescent="0.25">
      <c r="A661" t="str">
        <f t="shared" si="11"/>
        <v xml:space="preserve">1037923STERGOB ED          </v>
      </c>
      <c r="B661" s="71">
        <v>1038853</v>
      </c>
      <c r="C661" s="71" t="s">
        <v>717</v>
      </c>
      <c r="D661" s="71" t="s">
        <v>431</v>
      </c>
      <c r="E661" s="71" t="s">
        <v>623</v>
      </c>
      <c r="F661" s="71" t="s">
        <v>624</v>
      </c>
      <c r="G661" s="74">
        <v>288953</v>
      </c>
      <c r="H661" s="72">
        <v>3.4005040000000002</v>
      </c>
      <c r="I661" s="73">
        <v>982585.83231199998</v>
      </c>
      <c r="J661" s="72">
        <v>3.3787471664942048</v>
      </c>
      <c r="K661" s="73">
        <v>6286.7023120000003</v>
      </c>
      <c r="L661" s="74">
        <v>0</v>
      </c>
      <c r="M661" s="73">
        <v>0</v>
      </c>
      <c r="N661" s="74">
        <v>0</v>
      </c>
      <c r="O661" s="73">
        <v>0</v>
      </c>
      <c r="P661" s="74">
        <v>288953</v>
      </c>
      <c r="Q661" s="73">
        <v>982585.83231199998</v>
      </c>
      <c r="R661" s="71" t="s">
        <v>625</v>
      </c>
      <c r="S661" s="71">
        <v>7414000005</v>
      </c>
      <c r="AB661"/>
      <c r="AC661"/>
    </row>
    <row r="662" spans="1:29" x14ac:dyDescent="0.25">
      <c r="A662" t="str">
        <f t="shared" si="11"/>
        <v xml:space="preserve">1037925STERGOB ED          </v>
      </c>
      <c r="B662" s="71">
        <v>143510</v>
      </c>
      <c r="C662" s="71" t="s">
        <v>718</v>
      </c>
      <c r="D662" s="71" t="s">
        <v>468</v>
      </c>
      <c r="E662" s="71" t="s">
        <v>623</v>
      </c>
      <c r="F662" s="71" t="s">
        <v>624</v>
      </c>
      <c r="G662" s="74">
        <v>0</v>
      </c>
      <c r="H662" s="72">
        <v>0</v>
      </c>
      <c r="I662" s="73">
        <v>0</v>
      </c>
      <c r="J662" s="72">
        <v>0</v>
      </c>
      <c r="K662" s="73">
        <v>0</v>
      </c>
      <c r="L662" s="74">
        <v>0</v>
      </c>
      <c r="M662" s="73">
        <v>0</v>
      </c>
      <c r="N662" s="74">
        <v>0</v>
      </c>
      <c r="O662" s="73">
        <v>0</v>
      </c>
      <c r="P662" s="74">
        <v>0</v>
      </c>
      <c r="Q662" s="73">
        <v>0</v>
      </c>
      <c r="R662" s="71" t="s">
        <v>625</v>
      </c>
      <c r="S662" s="71">
        <v>7414000005</v>
      </c>
      <c r="AB662"/>
      <c r="AC662"/>
    </row>
    <row r="663" spans="1:29" x14ac:dyDescent="0.25">
      <c r="A663" t="str">
        <f t="shared" si="11"/>
        <v xml:space="preserve">1038853STERGOB B1          </v>
      </c>
      <c r="B663" s="71">
        <v>143510</v>
      </c>
      <c r="C663" s="71" t="s">
        <v>718</v>
      </c>
      <c r="D663" s="71" t="s">
        <v>469</v>
      </c>
      <c r="E663" s="71" t="s">
        <v>623</v>
      </c>
      <c r="F663" s="71" t="s">
        <v>624</v>
      </c>
      <c r="G663" s="74">
        <v>0</v>
      </c>
      <c r="H663" s="72">
        <v>0</v>
      </c>
      <c r="I663" s="73">
        <v>0</v>
      </c>
      <c r="J663" s="72">
        <v>0</v>
      </c>
      <c r="K663" s="73">
        <v>0</v>
      </c>
      <c r="L663" s="74">
        <v>0</v>
      </c>
      <c r="M663" s="73">
        <v>0</v>
      </c>
      <c r="N663" s="74">
        <v>0</v>
      </c>
      <c r="O663" s="73">
        <v>0</v>
      </c>
      <c r="P663" s="74">
        <v>0</v>
      </c>
      <c r="Q663" s="73">
        <v>0</v>
      </c>
      <c r="R663" s="71" t="s">
        <v>625</v>
      </c>
      <c r="S663" s="71">
        <v>7414000005</v>
      </c>
      <c r="AB663"/>
      <c r="AC663"/>
    </row>
    <row r="664" spans="1:29" x14ac:dyDescent="0.25">
      <c r="A664" t="str">
        <f t="shared" si="11"/>
        <v xml:space="preserve">143510BPA182 130919       </v>
      </c>
      <c r="B664" s="71">
        <v>143510</v>
      </c>
      <c r="C664" s="71" t="s">
        <v>718</v>
      </c>
      <c r="D664" s="71" t="s">
        <v>470</v>
      </c>
      <c r="E664" s="71" t="s">
        <v>623</v>
      </c>
      <c r="F664" s="71" t="s">
        <v>624</v>
      </c>
      <c r="G664" s="74">
        <v>0</v>
      </c>
      <c r="H664" s="72">
        <v>0</v>
      </c>
      <c r="I664" s="73">
        <v>0</v>
      </c>
      <c r="J664" s="72">
        <v>0</v>
      </c>
      <c r="K664" s="73">
        <v>0</v>
      </c>
      <c r="L664" s="74">
        <v>0</v>
      </c>
      <c r="M664" s="73">
        <v>0</v>
      </c>
      <c r="N664" s="74">
        <v>0</v>
      </c>
      <c r="O664" s="73">
        <v>0</v>
      </c>
      <c r="P664" s="74">
        <v>0</v>
      </c>
      <c r="Q664" s="73">
        <v>0</v>
      </c>
      <c r="R664" s="71" t="s">
        <v>625</v>
      </c>
      <c r="S664" s="71">
        <v>7414000005</v>
      </c>
      <c r="AB664"/>
      <c r="AC664"/>
    </row>
    <row r="665" spans="1:29" x14ac:dyDescent="0.25">
      <c r="A665" t="str">
        <f t="shared" si="11"/>
        <v xml:space="preserve">143510BPA182 140327       </v>
      </c>
      <c r="B665" s="71">
        <v>147309</v>
      </c>
      <c r="C665" s="71" t="s">
        <v>719</v>
      </c>
      <c r="D665" s="71" t="s">
        <v>552</v>
      </c>
      <c r="E665" s="71" t="s">
        <v>623</v>
      </c>
      <c r="F665" s="71" t="s">
        <v>624</v>
      </c>
      <c r="G665" s="74">
        <v>31790</v>
      </c>
      <c r="H665" s="72">
        <v>100.000484</v>
      </c>
      <c r="I665" s="73">
        <v>3179015.3863599999</v>
      </c>
      <c r="J665" s="72">
        <v>100</v>
      </c>
      <c r="K665" s="73">
        <v>15.38636</v>
      </c>
      <c r="L665" s="74">
        <v>0</v>
      </c>
      <c r="M665" s="73">
        <v>0</v>
      </c>
      <c r="N665" s="74">
        <v>0</v>
      </c>
      <c r="O665" s="73">
        <v>0</v>
      </c>
      <c r="P665" s="74">
        <v>31790</v>
      </c>
      <c r="Q665" s="73">
        <v>3179015.3863599999</v>
      </c>
      <c r="R665" s="71" t="s">
        <v>625</v>
      </c>
      <c r="S665" s="71">
        <v>7414000005</v>
      </c>
      <c r="AB665"/>
      <c r="AC665"/>
    </row>
    <row r="666" spans="1:29" x14ac:dyDescent="0.25">
      <c r="A666" t="str">
        <f t="shared" si="11"/>
        <v xml:space="preserve">143510CETES 131017        </v>
      </c>
      <c r="B666" s="71">
        <v>147309</v>
      </c>
      <c r="C666" s="71" t="s">
        <v>719</v>
      </c>
      <c r="D666" s="71" t="s">
        <v>471</v>
      </c>
      <c r="E666" s="71" t="s">
        <v>623</v>
      </c>
      <c r="F666" s="71" t="s">
        <v>624</v>
      </c>
      <c r="G666" s="74">
        <v>0</v>
      </c>
      <c r="H666" s="72">
        <v>0</v>
      </c>
      <c r="I666" s="73">
        <v>0</v>
      </c>
      <c r="J666" s="72">
        <v>0</v>
      </c>
      <c r="K666" s="73">
        <v>0</v>
      </c>
      <c r="L666" s="74">
        <v>0</v>
      </c>
      <c r="M666" s="73">
        <v>0</v>
      </c>
      <c r="N666" s="74">
        <v>0</v>
      </c>
      <c r="O666" s="73">
        <v>0</v>
      </c>
      <c r="P666" s="74">
        <v>0</v>
      </c>
      <c r="Q666" s="73">
        <v>0</v>
      </c>
      <c r="R666" s="71" t="s">
        <v>625</v>
      </c>
      <c r="S666" s="71">
        <v>7414000005</v>
      </c>
      <c r="AB666"/>
      <c r="AC666"/>
    </row>
    <row r="667" spans="1:29" x14ac:dyDescent="0.25">
      <c r="A667" t="str">
        <f t="shared" si="11"/>
        <v xml:space="preserve">147309BLADEX 24           </v>
      </c>
      <c r="B667" s="71">
        <v>147309</v>
      </c>
      <c r="C667" s="71" t="s">
        <v>719</v>
      </c>
      <c r="D667" s="71" t="s">
        <v>543</v>
      </c>
      <c r="E667" s="71" t="s">
        <v>623</v>
      </c>
      <c r="F667" s="71" t="s">
        <v>624</v>
      </c>
      <c r="G667" s="74">
        <v>1626153</v>
      </c>
      <c r="H667" s="72">
        <v>8.5044190000000004</v>
      </c>
      <c r="I667" s="73">
        <v>13829486.470107</v>
      </c>
      <c r="J667" s="72">
        <v>8.3071887600000007</v>
      </c>
      <c r="K667" s="73">
        <v>320726.54646672</v>
      </c>
      <c r="L667" s="74">
        <v>0</v>
      </c>
      <c r="M667" s="73">
        <v>0</v>
      </c>
      <c r="N667" s="74">
        <v>0</v>
      </c>
      <c r="O667" s="73">
        <v>0</v>
      </c>
      <c r="P667" s="74">
        <v>1626153</v>
      </c>
      <c r="Q667" s="73">
        <v>13829486.470107</v>
      </c>
      <c r="R667" s="71" t="s">
        <v>625</v>
      </c>
      <c r="S667" s="71">
        <v>7414000005</v>
      </c>
      <c r="AB667"/>
      <c r="AC667"/>
    </row>
    <row r="668" spans="1:29" x14ac:dyDescent="0.25">
      <c r="A668" t="str">
        <f t="shared" si="11"/>
        <v xml:space="preserve">147309CETES 230601        </v>
      </c>
      <c r="B668" s="71">
        <v>147309</v>
      </c>
      <c r="C668" s="71" t="s">
        <v>719</v>
      </c>
      <c r="D668" s="71" t="s">
        <v>554</v>
      </c>
      <c r="E668" s="71" t="s">
        <v>623</v>
      </c>
      <c r="F668" s="71" t="s">
        <v>624</v>
      </c>
      <c r="G668" s="74">
        <v>2668910</v>
      </c>
      <c r="H668" s="72">
        <v>8.3813510000000004</v>
      </c>
      <c r="I668" s="73">
        <v>22369071.497409999</v>
      </c>
      <c r="J668" s="72">
        <v>8.2713869767429031</v>
      </c>
      <c r="K668" s="73">
        <v>293484.08131109999</v>
      </c>
      <c r="L668" s="74">
        <v>0</v>
      </c>
      <c r="M668" s="73">
        <v>0</v>
      </c>
      <c r="N668" s="74">
        <v>0</v>
      </c>
      <c r="O668" s="73">
        <v>0</v>
      </c>
      <c r="P668" s="74">
        <v>2668910</v>
      </c>
      <c r="Q668" s="73">
        <v>22369071.497409999</v>
      </c>
      <c r="R668" s="71" t="s">
        <v>625</v>
      </c>
      <c r="S668" s="71">
        <v>7414000005</v>
      </c>
      <c r="AB668"/>
      <c r="AC668"/>
    </row>
    <row r="669" spans="1:29" x14ac:dyDescent="0.25">
      <c r="A669" t="str">
        <f t="shared" si="11"/>
        <v xml:space="preserve">147309CETES 251030        </v>
      </c>
      <c r="B669" s="71">
        <v>147309</v>
      </c>
      <c r="C669" s="71" t="s">
        <v>719</v>
      </c>
      <c r="D669" s="71" t="s">
        <v>613</v>
      </c>
      <c r="E669" s="71" t="s">
        <v>623</v>
      </c>
      <c r="F669" s="71" t="s">
        <v>624</v>
      </c>
      <c r="G669" s="74">
        <v>3337377</v>
      </c>
      <c r="H669" s="72">
        <v>8.2580650000000002</v>
      </c>
      <c r="I669" s="73">
        <v>27560276.195505001</v>
      </c>
      <c r="J669" s="72">
        <v>8.2583871841649987</v>
      </c>
      <c r="K669" s="73">
        <v>-1075.2500220300001</v>
      </c>
      <c r="L669" s="74">
        <v>0</v>
      </c>
      <c r="M669" s="73">
        <v>0</v>
      </c>
      <c r="N669" s="74">
        <v>0</v>
      </c>
      <c r="O669" s="73">
        <v>0</v>
      </c>
      <c r="P669" s="74">
        <v>3337377</v>
      </c>
      <c r="Q669" s="73">
        <v>27560276.195505001</v>
      </c>
      <c r="R669" s="71" t="s">
        <v>625</v>
      </c>
      <c r="S669" s="71">
        <v>7414000005</v>
      </c>
      <c r="AB669"/>
      <c r="AC669"/>
    </row>
    <row r="670" spans="1:29" x14ac:dyDescent="0.25">
      <c r="A670" t="str">
        <f t="shared" si="11"/>
        <v xml:space="preserve">147309CETES 251224        </v>
      </c>
      <c r="B670" s="71">
        <v>147309</v>
      </c>
      <c r="C670" s="71" t="s">
        <v>719</v>
      </c>
      <c r="D670" s="71" t="s">
        <v>366</v>
      </c>
      <c r="E670" s="71" t="s">
        <v>623</v>
      </c>
      <c r="F670" s="71" t="s">
        <v>624</v>
      </c>
      <c r="G670" s="74">
        <v>0</v>
      </c>
      <c r="H670" s="72">
        <v>0</v>
      </c>
      <c r="I670" s="73">
        <v>1098894.58</v>
      </c>
      <c r="J670" s="72">
        <v>0</v>
      </c>
      <c r="K670" s="73">
        <v>0</v>
      </c>
      <c r="L670" s="74">
        <v>0</v>
      </c>
      <c r="M670" s="73">
        <v>0</v>
      </c>
      <c r="N670" s="74">
        <v>0</v>
      </c>
      <c r="O670" s="73">
        <v>0</v>
      </c>
      <c r="P670" s="74">
        <v>0</v>
      </c>
      <c r="Q670" s="73">
        <v>1098894.58</v>
      </c>
      <c r="R670" s="71" t="s">
        <v>625</v>
      </c>
      <c r="S670" s="71">
        <v>7414000005</v>
      </c>
      <c r="AB670"/>
      <c r="AC670"/>
    </row>
    <row r="671" spans="1:29" x14ac:dyDescent="0.25">
      <c r="A671" t="str">
        <f t="shared" si="11"/>
        <v xml:space="preserve">147309CETES 260219        </v>
      </c>
      <c r="B671" s="71">
        <v>147309</v>
      </c>
      <c r="C671" s="71" t="s">
        <v>719</v>
      </c>
      <c r="D671" s="71" t="s">
        <v>375</v>
      </c>
      <c r="E671" s="71" t="s">
        <v>623</v>
      </c>
      <c r="F671" s="71" t="s">
        <v>624</v>
      </c>
      <c r="G671" s="74">
        <v>56480</v>
      </c>
      <c r="H671" s="72">
        <v>98.730349000000004</v>
      </c>
      <c r="I671" s="73">
        <v>5576290.1115199998</v>
      </c>
      <c r="J671" s="72">
        <v>111.89286593999999</v>
      </c>
      <c r="K671" s="73">
        <v>-743418.95677120006</v>
      </c>
      <c r="L671" s="74">
        <v>0</v>
      </c>
      <c r="M671" s="73">
        <v>0</v>
      </c>
      <c r="N671" s="74">
        <v>0</v>
      </c>
      <c r="O671" s="73">
        <v>0</v>
      </c>
      <c r="P671" s="74">
        <v>56480</v>
      </c>
      <c r="Q671" s="73">
        <v>5576290.1115199998</v>
      </c>
      <c r="R671" s="71" t="s">
        <v>625</v>
      </c>
      <c r="S671" s="71">
        <v>7414000005</v>
      </c>
      <c r="AB671"/>
      <c r="AC671"/>
    </row>
    <row r="672" spans="1:29" x14ac:dyDescent="0.25">
      <c r="A672" t="str">
        <f t="shared" si="11"/>
        <v>147309EFECTIVO</v>
      </c>
      <c r="B672" s="71">
        <v>147309</v>
      </c>
      <c r="C672" s="71" t="s">
        <v>719</v>
      </c>
      <c r="D672" s="71" t="s">
        <v>376</v>
      </c>
      <c r="E672" s="71" t="s">
        <v>623</v>
      </c>
      <c r="F672" s="71" t="s">
        <v>624</v>
      </c>
      <c r="G672" s="74">
        <v>213840</v>
      </c>
      <c r="H672" s="72">
        <v>99.247497999999993</v>
      </c>
      <c r="I672" s="73">
        <v>21223084.972320002</v>
      </c>
      <c r="J672" s="72">
        <v>116.96087605337308</v>
      </c>
      <c r="K672" s="73">
        <v>-3787828.7629332999</v>
      </c>
      <c r="L672" s="74">
        <v>0</v>
      </c>
      <c r="M672" s="73">
        <v>0</v>
      </c>
      <c r="N672" s="74">
        <v>0</v>
      </c>
      <c r="O672" s="73">
        <v>0</v>
      </c>
      <c r="P672" s="74">
        <v>213840</v>
      </c>
      <c r="Q672" s="73">
        <v>21223084.972320002</v>
      </c>
      <c r="R672" s="71" t="s">
        <v>625</v>
      </c>
      <c r="S672" s="71">
        <v>7414000005</v>
      </c>
      <c r="AB672"/>
      <c r="AC672"/>
    </row>
    <row r="673" spans="1:29" x14ac:dyDescent="0.25">
      <c r="A673" t="str">
        <f t="shared" si="11"/>
        <v xml:space="preserve">147309GOBFED 240905       </v>
      </c>
      <c r="B673" s="71">
        <v>147309</v>
      </c>
      <c r="C673" s="71" t="s">
        <v>719</v>
      </c>
      <c r="D673" s="71" t="s">
        <v>377</v>
      </c>
      <c r="E673" s="71" t="s">
        <v>623</v>
      </c>
      <c r="F673" s="71" t="s">
        <v>624</v>
      </c>
      <c r="G673" s="74">
        <v>211730</v>
      </c>
      <c r="H673" s="72">
        <v>94.973146999999997</v>
      </c>
      <c r="I673" s="73">
        <v>20108664.414310001</v>
      </c>
      <c r="J673" s="72">
        <v>89.762576393084586</v>
      </c>
      <c r="K673" s="73">
        <v>1103234.1146022</v>
      </c>
      <c r="L673" s="74">
        <v>0</v>
      </c>
      <c r="M673" s="73">
        <v>0</v>
      </c>
      <c r="N673" s="74">
        <v>0</v>
      </c>
      <c r="O673" s="73">
        <v>0</v>
      </c>
      <c r="P673" s="74">
        <v>211730</v>
      </c>
      <c r="Q673" s="73">
        <v>20108664.414310001</v>
      </c>
      <c r="R673" s="71" t="s">
        <v>625</v>
      </c>
      <c r="S673" s="71">
        <v>7414000005</v>
      </c>
      <c r="AB673"/>
      <c r="AC673"/>
    </row>
    <row r="674" spans="1:29" x14ac:dyDescent="0.25">
      <c r="A674" t="str">
        <f t="shared" si="11"/>
        <v xml:space="preserve">147309GOBFED 241205       </v>
      </c>
      <c r="B674" s="71">
        <v>147309</v>
      </c>
      <c r="C674" s="71" t="s">
        <v>719</v>
      </c>
      <c r="D674" s="71" t="s">
        <v>378</v>
      </c>
      <c r="E674" s="71" t="s">
        <v>623</v>
      </c>
      <c r="F674" s="71" t="s">
        <v>624</v>
      </c>
      <c r="G674" s="74">
        <v>400098</v>
      </c>
      <c r="H674" s="72">
        <v>91.911821000000003</v>
      </c>
      <c r="I674" s="73">
        <v>36773735.758458003</v>
      </c>
      <c r="J674" s="72">
        <v>90.839871057283659</v>
      </c>
      <c r="K674" s="73">
        <v>428885.02818092</v>
      </c>
      <c r="L674" s="74">
        <v>0</v>
      </c>
      <c r="M674" s="73">
        <v>0</v>
      </c>
      <c r="N674" s="74">
        <v>0</v>
      </c>
      <c r="O674" s="73">
        <v>0</v>
      </c>
      <c r="P674" s="74">
        <v>400098</v>
      </c>
      <c r="Q674" s="73">
        <v>36773735.758458003</v>
      </c>
      <c r="R674" s="71" t="s">
        <v>625</v>
      </c>
      <c r="S674" s="71">
        <v>7414000005</v>
      </c>
      <c r="AB674"/>
      <c r="AC674"/>
    </row>
    <row r="675" spans="1:29" x14ac:dyDescent="0.25">
      <c r="A675" t="str">
        <f t="shared" si="11"/>
        <v xml:space="preserve">147309GOBFED 250306       </v>
      </c>
      <c r="B675" s="71">
        <v>147309</v>
      </c>
      <c r="C675" s="71" t="s">
        <v>719</v>
      </c>
      <c r="D675" s="71" t="s">
        <v>499</v>
      </c>
      <c r="E675" s="71" t="s">
        <v>623</v>
      </c>
      <c r="F675" s="71" t="s">
        <v>624</v>
      </c>
      <c r="G675" s="74">
        <v>725550</v>
      </c>
      <c r="H675" s="72">
        <v>92.954503000000003</v>
      </c>
      <c r="I675" s="73">
        <v>67443139.651649997</v>
      </c>
      <c r="J675" s="72">
        <v>93.270701028852045</v>
      </c>
      <c r="K675" s="73">
        <v>-229417.47983359999</v>
      </c>
      <c r="L675" s="74">
        <v>0</v>
      </c>
      <c r="M675" s="73">
        <v>0</v>
      </c>
      <c r="N675" s="74">
        <v>0</v>
      </c>
      <c r="O675" s="73">
        <v>0</v>
      </c>
      <c r="P675" s="74">
        <v>725550</v>
      </c>
      <c r="Q675" s="73">
        <v>67443139.651649997</v>
      </c>
      <c r="R675" s="71" t="s">
        <v>625</v>
      </c>
      <c r="S675" s="71">
        <v>7414000005</v>
      </c>
      <c r="AB675"/>
      <c r="AC675"/>
    </row>
    <row r="676" spans="1:29" x14ac:dyDescent="0.25">
      <c r="A676" t="str">
        <f t="shared" si="11"/>
        <v xml:space="preserve">147309GOBFED 260305       </v>
      </c>
      <c r="B676" s="71">
        <v>147309</v>
      </c>
      <c r="C676" s="71" t="s">
        <v>719</v>
      </c>
      <c r="D676" s="71" t="s">
        <v>379</v>
      </c>
      <c r="E676" s="71" t="s">
        <v>623</v>
      </c>
      <c r="F676" s="71" t="s">
        <v>624</v>
      </c>
      <c r="G676" s="74">
        <v>266639</v>
      </c>
      <c r="H676" s="72">
        <v>88.698122999999995</v>
      </c>
      <c r="I676" s="73">
        <v>23650378.818597</v>
      </c>
      <c r="J676" s="72">
        <v>88.298702795140201</v>
      </c>
      <c r="K676" s="73">
        <v>106501.00400361</v>
      </c>
      <c r="L676" s="74">
        <v>0</v>
      </c>
      <c r="M676" s="73">
        <v>0</v>
      </c>
      <c r="N676" s="74">
        <v>0</v>
      </c>
      <c r="O676" s="73">
        <v>0</v>
      </c>
      <c r="P676" s="74">
        <v>266639</v>
      </c>
      <c r="Q676" s="73">
        <v>23650378.818597</v>
      </c>
      <c r="R676" s="71" t="s">
        <v>625</v>
      </c>
      <c r="S676" s="71">
        <v>7414000005</v>
      </c>
      <c r="AB676"/>
      <c r="AC676"/>
    </row>
    <row r="677" spans="1:29" x14ac:dyDescent="0.25">
      <c r="A677" t="str">
        <f t="shared" si="11"/>
        <v xml:space="preserve">147309GOBFED 260903       </v>
      </c>
      <c r="B677" s="71">
        <v>147309</v>
      </c>
      <c r="C677" s="71" t="s">
        <v>719</v>
      </c>
      <c r="D677" s="71" t="s">
        <v>380</v>
      </c>
      <c r="E677" s="71" t="s">
        <v>623</v>
      </c>
      <c r="F677" s="71" t="s">
        <v>624</v>
      </c>
      <c r="G677" s="74">
        <v>260500</v>
      </c>
      <c r="H677" s="72">
        <v>93.314192000000006</v>
      </c>
      <c r="I677" s="73">
        <v>24308347.015999999</v>
      </c>
      <c r="J677" s="72">
        <v>93.347952247940114</v>
      </c>
      <c r="K677" s="73">
        <v>-8794.5445884000001</v>
      </c>
      <c r="L677" s="74">
        <v>0</v>
      </c>
      <c r="M677" s="73">
        <v>0</v>
      </c>
      <c r="N677" s="74">
        <v>0</v>
      </c>
      <c r="O677" s="73">
        <v>0</v>
      </c>
      <c r="P677" s="74">
        <v>260500</v>
      </c>
      <c r="Q677" s="73">
        <v>24308347.015999999</v>
      </c>
      <c r="R677" s="71" t="s">
        <v>625</v>
      </c>
      <c r="S677" s="71">
        <v>7414000005</v>
      </c>
      <c r="AB677"/>
      <c r="AC677"/>
    </row>
    <row r="678" spans="1:29" x14ac:dyDescent="0.25">
      <c r="A678" t="str">
        <f t="shared" si="11"/>
        <v xml:space="preserve">147309GOBFED 270304       </v>
      </c>
      <c r="B678" s="71">
        <v>147309</v>
      </c>
      <c r="C678" s="71" t="s">
        <v>719</v>
      </c>
      <c r="D678" s="71" t="s">
        <v>382</v>
      </c>
      <c r="E678" s="71" t="s">
        <v>623</v>
      </c>
      <c r="F678" s="71" t="s">
        <v>624</v>
      </c>
      <c r="G678" s="74">
        <v>0</v>
      </c>
      <c r="H678" s="72">
        <v>0</v>
      </c>
      <c r="I678" s="73">
        <v>0</v>
      </c>
      <c r="J678" s="72">
        <v>0</v>
      </c>
      <c r="K678" s="73">
        <v>0</v>
      </c>
      <c r="L678" s="74">
        <v>0</v>
      </c>
      <c r="M678" s="73">
        <v>0</v>
      </c>
      <c r="N678" s="74">
        <v>0</v>
      </c>
      <c r="O678" s="73">
        <v>0</v>
      </c>
      <c r="P678" s="74">
        <v>0</v>
      </c>
      <c r="Q678" s="73">
        <v>0</v>
      </c>
      <c r="R678" s="71" t="s">
        <v>625</v>
      </c>
      <c r="S678" s="71">
        <v>7414000005</v>
      </c>
      <c r="AB678"/>
      <c r="AC678"/>
    </row>
    <row r="679" spans="1:29" x14ac:dyDescent="0.25">
      <c r="A679" t="str">
        <f t="shared" si="11"/>
        <v xml:space="preserve">147309GOBFED 270603       </v>
      </c>
      <c r="B679" s="71">
        <v>147309</v>
      </c>
      <c r="C679" s="71" t="s">
        <v>719</v>
      </c>
      <c r="D679" s="71" t="s">
        <v>429</v>
      </c>
      <c r="E679" s="71" t="s">
        <v>623</v>
      </c>
      <c r="F679" s="71" t="s">
        <v>624</v>
      </c>
      <c r="G679" s="74">
        <v>20560</v>
      </c>
      <c r="H679" s="72">
        <v>98.007834000000003</v>
      </c>
      <c r="I679" s="73">
        <v>2015041.0670400001</v>
      </c>
      <c r="J679" s="72">
        <v>93.280048030000003</v>
      </c>
      <c r="K679" s="73">
        <v>97203.279543199998</v>
      </c>
      <c r="L679" s="74">
        <v>0</v>
      </c>
      <c r="M679" s="73">
        <v>0</v>
      </c>
      <c r="N679" s="74">
        <v>0</v>
      </c>
      <c r="O679" s="73">
        <v>0</v>
      </c>
      <c r="P679" s="74">
        <v>20560</v>
      </c>
      <c r="Q679" s="73">
        <v>2015041.0670400001</v>
      </c>
      <c r="R679" s="71" t="s">
        <v>625</v>
      </c>
      <c r="S679" s="71">
        <v>7414000005</v>
      </c>
      <c r="AB679"/>
      <c r="AC679"/>
    </row>
    <row r="680" spans="1:29" x14ac:dyDescent="0.25">
      <c r="A680" t="str">
        <f t="shared" si="11"/>
        <v xml:space="preserve">147309GOBFED 310529       </v>
      </c>
      <c r="B680" s="71">
        <v>147309</v>
      </c>
      <c r="C680" s="71" t="s">
        <v>719</v>
      </c>
      <c r="D680" s="71" t="s">
        <v>437</v>
      </c>
      <c r="E680" s="71" t="s">
        <v>623</v>
      </c>
      <c r="F680" s="71" t="s">
        <v>624</v>
      </c>
      <c r="G680" s="74">
        <v>57960</v>
      </c>
      <c r="H680" s="72">
        <v>100.38890499999999</v>
      </c>
      <c r="I680" s="73">
        <v>5818540.9337999998</v>
      </c>
      <c r="J680" s="72">
        <v>91.398345289999995</v>
      </c>
      <c r="K680" s="73">
        <v>521092.8407916</v>
      </c>
      <c r="L680" s="74">
        <v>0</v>
      </c>
      <c r="M680" s="73">
        <v>0</v>
      </c>
      <c r="N680" s="74">
        <v>0</v>
      </c>
      <c r="O680" s="73">
        <v>0</v>
      </c>
      <c r="P680" s="74">
        <v>57960</v>
      </c>
      <c r="Q680" s="73">
        <v>5818540.9337999998</v>
      </c>
      <c r="R680" s="71" t="s">
        <v>625</v>
      </c>
      <c r="S680" s="71">
        <v>7414000005</v>
      </c>
      <c r="AB680"/>
      <c r="AC680"/>
    </row>
    <row r="681" spans="1:29" x14ac:dyDescent="0.25">
      <c r="A681" t="str">
        <f t="shared" si="11"/>
        <v xml:space="preserve">147309PEMEX 13-2          </v>
      </c>
      <c r="B681" s="71">
        <v>147309</v>
      </c>
      <c r="C681" s="71" t="s">
        <v>719</v>
      </c>
      <c r="D681" s="71" t="s">
        <v>472</v>
      </c>
      <c r="E681" s="71" t="s">
        <v>623</v>
      </c>
      <c r="F681" s="71" t="s">
        <v>624</v>
      </c>
      <c r="G681" s="74">
        <v>11820000</v>
      </c>
      <c r="H681" s="72">
        <v>4.1069599999999999</v>
      </c>
      <c r="I681" s="73">
        <v>48544267.200000003</v>
      </c>
      <c r="J681" s="72">
        <v>3.2688078688663285</v>
      </c>
      <c r="K681" s="73">
        <v>9906958.1899999995</v>
      </c>
      <c r="L681" s="74">
        <v>0</v>
      </c>
      <c r="M681" s="73">
        <v>0</v>
      </c>
      <c r="N681" s="74">
        <v>0</v>
      </c>
      <c r="O681" s="73">
        <v>0</v>
      </c>
      <c r="P681" s="74">
        <v>11820000</v>
      </c>
      <c r="Q681" s="73">
        <v>48544267.200000003</v>
      </c>
      <c r="R681" s="71" t="s">
        <v>625</v>
      </c>
      <c r="S681" s="71">
        <v>7414000005</v>
      </c>
      <c r="AB681"/>
      <c r="AC681"/>
    </row>
    <row r="682" spans="1:29" x14ac:dyDescent="0.25">
      <c r="A682" t="str">
        <f t="shared" si="11"/>
        <v xml:space="preserve">147309PEMEX 19            </v>
      </c>
      <c r="B682" s="71">
        <v>147309</v>
      </c>
      <c r="C682" s="71" t="s">
        <v>719</v>
      </c>
      <c r="D682" s="71" t="s">
        <v>391</v>
      </c>
      <c r="E682" s="71" t="s">
        <v>623</v>
      </c>
      <c r="F682" s="71" t="s">
        <v>624</v>
      </c>
      <c r="G682" s="74">
        <v>50</v>
      </c>
      <c r="H682" s="72">
        <v>775.69178699999998</v>
      </c>
      <c r="I682" s="73">
        <v>38784.589350000002</v>
      </c>
      <c r="J682" s="72">
        <v>770.06763651000006</v>
      </c>
      <c r="K682" s="73">
        <v>281.20752449999998</v>
      </c>
      <c r="L682" s="74">
        <v>0</v>
      </c>
      <c r="M682" s="73">
        <v>0</v>
      </c>
      <c r="N682" s="74">
        <v>0</v>
      </c>
      <c r="O682" s="73">
        <v>0</v>
      </c>
      <c r="P682" s="74">
        <v>50</v>
      </c>
      <c r="Q682" s="73">
        <v>38784.589350000002</v>
      </c>
      <c r="R682" s="71" t="s">
        <v>625</v>
      </c>
      <c r="S682" s="71">
        <v>7414000005</v>
      </c>
      <c r="AB682"/>
      <c r="AC682"/>
    </row>
    <row r="683" spans="1:29" x14ac:dyDescent="0.25">
      <c r="A683" t="str">
        <f t="shared" si="11"/>
        <v xml:space="preserve">147309STER-OP E2          </v>
      </c>
      <c r="B683" s="71">
        <v>147310</v>
      </c>
      <c r="C683" s="71" t="s">
        <v>720</v>
      </c>
      <c r="D683" s="71" t="s">
        <v>552</v>
      </c>
      <c r="E683" s="71" t="s">
        <v>623</v>
      </c>
      <c r="F683" s="71" t="s">
        <v>624</v>
      </c>
      <c r="G683" s="74">
        <v>15230</v>
      </c>
      <c r="H683" s="72">
        <v>100.000484</v>
      </c>
      <c r="I683" s="73">
        <v>1523007.3713199999</v>
      </c>
      <c r="J683" s="72">
        <v>100</v>
      </c>
      <c r="K683" s="73">
        <v>7.3713199999999999</v>
      </c>
      <c r="L683" s="74">
        <v>0</v>
      </c>
      <c r="M683" s="73">
        <v>0</v>
      </c>
      <c r="N683" s="74">
        <v>0</v>
      </c>
      <c r="O683" s="73">
        <v>0</v>
      </c>
      <c r="P683" s="74">
        <v>15230</v>
      </c>
      <c r="Q683" s="73">
        <v>1523007.3713199999</v>
      </c>
      <c r="R683" s="71" t="s">
        <v>625</v>
      </c>
      <c r="S683" s="71">
        <v>7414000005</v>
      </c>
      <c r="AB683"/>
      <c r="AC683"/>
    </row>
    <row r="684" spans="1:29" x14ac:dyDescent="0.25">
      <c r="A684" t="str">
        <f t="shared" si="11"/>
        <v xml:space="preserve">147309UDIBONO 251204      </v>
      </c>
      <c r="B684" s="71">
        <v>147310</v>
      </c>
      <c r="C684" s="71" t="s">
        <v>720</v>
      </c>
      <c r="D684" s="71" t="s">
        <v>471</v>
      </c>
      <c r="E684" s="71" t="s">
        <v>623</v>
      </c>
      <c r="F684" s="71" t="s">
        <v>624</v>
      </c>
      <c r="G684" s="74">
        <v>0</v>
      </c>
      <c r="H684" s="72">
        <v>0</v>
      </c>
      <c r="I684" s="73">
        <v>0</v>
      </c>
      <c r="J684" s="72">
        <v>0</v>
      </c>
      <c r="K684" s="73">
        <v>0</v>
      </c>
      <c r="L684" s="74">
        <v>0</v>
      </c>
      <c r="M684" s="73">
        <v>0</v>
      </c>
      <c r="N684" s="74">
        <v>0</v>
      </c>
      <c r="O684" s="73">
        <v>0</v>
      </c>
      <c r="P684" s="74">
        <v>0</v>
      </c>
      <c r="Q684" s="73">
        <v>0</v>
      </c>
      <c r="R684" s="71" t="s">
        <v>625</v>
      </c>
      <c r="S684" s="71">
        <v>7414000005</v>
      </c>
      <c r="AB684"/>
      <c r="AC684"/>
    </row>
    <row r="685" spans="1:29" x14ac:dyDescent="0.25">
      <c r="A685" t="str">
        <f t="shared" si="11"/>
        <v xml:space="preserve">147310BLADEX 24           </v>
      </c>
      <c r="B685" s="71">
        <v>147310</v>
      </c>
      <c r="C685" s="71" t="s">
        <v>720</v>
      </c>
      <c r="D685" s="71" t="s">
        <v>543</v>
      </c>
      <c r="E685" s="71" t="s">
        <v>623</v>
      </c>
      <c r="F685" s="71" t="s">
        <v>624</v>
      </c>
      <c r="G685" s="74">
        <v>469515</v>
      </c>
      <c r="H685" s="72">
        <v>8.5044190000000004</v>
      </c>
      <c r="I685" s="73">
        <v>3992952.286785</v>
      </c>
      <c r="J685" s="72">
        <v>8.3071887600000007</v>
      </c>
      <c r="K685" s="73">
        <v>92602.556133599996</v>
      </c>
      <c r="L685" s="74">
        <v>0</v>
      </c>
      <c r="M685" s="73">
        <v>0</v>
      </c>
      <c r="N685" s="74">
        <v>0</v>
      </c>
      <c r="O685" s="73">
        <v>0</v>
      </c>
      <c r="P685" s="74">
        <v>469515</v>
      </c>
      <c r="Q685" s="73">
        <v>3992952.286785</v>
      </c>
      <c r="R685" s="71" t="s">
        <v>625</v>
      </c>
      <c r="S685" s="71">
        <v>7414000005</v>
      </c>
      <c r="AB685"/>
      <c r="AC685"/>
    </row>
    <row r="686" spans="1:29" x14ac:dyDescent="0.25">
      <c r="A686" t="str">
        <f t="shared" si="11"/>
        <v xml:space="preserve">147310CETES 230601        </v>
      </c>
      <c r="B686" s="71">
        <v>147310</v>
      </c>
      <c r="C686" s="71" t="s">
        <v>720</v>
      </c>
      <c r="D686" s="71" t="s">
        <v>554</v>
      </c>
      <c r="E686" s="71" t="s">
        <v>623</v>
      </c>
      <c r="F686" s="71" t="s">
        <v>624</v>
      </c>
      <c r="G686" s="74">
        <v>1299030</v>
      </c>
      <c r="H686" s="72">
        <v>8.3813510000000004</v>
      </c>
      <c r="I686" s="73">
        <v>10887626.389529999</v>
      </c>
      <c r="J686" s="72">
        <v>8.2713651095923115</v>
      </c>
      <c r="K686" s="73">
        <v>142874.97121630001</v>
      </c>
      <c r="L686" s="74">
        <v>0</v>
      </c>
      <c r="M686" s="73">
        <v>0</v>
      </c>
      <c r="N686" s="74">
        <v>0</v>
      </c>
      <c r="O686" s="73">
        <v>0</v>
      </c>
      <c r="P686" s="74">
        <v>1299030</v>
      </c>
      <c r="Q686" s="73">
        <v>10887626.389529999</v>
      </c>
      <c r="R686" s="71" t="s">
        <v>625</v>
      </c>
      <c r="S686" s="71">
        <v>7414000005</v>
      </c>
      <c r="AB686"/>
      <c r="AC686"/>
    </row>
    <row r="687" spans="1:29" x14ac:dyDescent="0.25">
      <c r="A687" t="str">
        <f t="shared" si="11"/>
        <v xml:space="preserve">147310CETES 251030        </v>
      </c>
      <c r="B687" s="71">
        <v>147310</v>
      </c>
      <c r="C687" s="71" t="s">
        <v>720</v>
      </c>
      <c r="D687" s="71" t="s">
        <v>613</v>
      </c>
      <c r="E687" s="71" t="s">
        <v>623</v>
      </c>
      <c r="F687" s="71" t="s">
        <v>624</v>
      </c>
      <c r="G687" s="74">
        <v>1627532</v>
      </c>
      <c r="H687" s="72">
        <v>8.2580650000000002</v>
      </c>
      <c r="I687" s="73">
        <v>13440265.04558</v>
      </c>
      <c r="J687" s="72">
        <v>8.2577354955094471</v>
      </c>
      <c r="K687" s="73">
        <v>536.27910252000004</v>
      </c>
      <c r="L687" s="74">
        <v>0</v>
      </c>
      <c r="M687" s="73">
        <v>0</v>
      </c>
      <c r="N687" s="74">
        <v>0</v>
      </c>
      <c r="O687" s="73">
        <v>0</v>
      </c>
      <c r="P687" s="74">
        <v>1627532</v>
      </c>
      <c r="Q687" s="73">
        <v>13440265.04558</v>
      </c>
      <c r="R687" s="71" t="s">
        <v>625</v>
      </c>
      <c r="S687" s="71">
        <v>7414000005</v>
      </c>
      <c r="AB687"/>
      <c r="AC687"/>
    </row>
    <row r="688" spans="1:29" x14ac:dyDescent="0.25">
      <c r="A688" t="str">
        <f t="shared" si="11"/>
        <v xml:space="preserve">147310CETES 251224        </v>
      </c>
      <c r="B688" s="71">
        <v>147310</v>
      </c>
      <c r="C688" s="71" t="s">
        <v>720</v>
      </c>
      <c r="D688" s="71" t="s">
        <v>366</v>
      </c>
      <c r="E688" s="71" t="s">
        <v>623</v>
      </c>
      <c r="F688" s="71" t="s">
        <v>624</v>
      </c>
      <c r="G688" s="74">
        <v>0</v>
      </c>
      <c r="H688" s="72">
        <v>0</v>
      </c>
      <c r="I688" s="73">
        <v>1625075.07</v>
      </c>
      <c r="J688" s="72">
        <v>0</v>
      </c>
      <c r="K688" s="73">
        <v>0</v>
      </c>
      <c r="L688" s="74">
        <v>0</v>
      </c>
      <c r="M688" s="73">
        <v>0</v>
      </c>
      <c r="N688" s="74">
        <v>0</v>
      </c>
      <c r="O688" s="73">
        <v>0</v>
      </c>
      <c r="P688" s="74">
        <v>0</v>
      </c>
      <c r="Q688" s="73">
        <v>1625075.07</v>
      </c>
      <c r="R688" s="71" t="s">
        <v>625</v>
      </c>
      <c r="S688" s="71">
        <v>7414000005</v>
      </c>
      <c r="AB688"/>
      <c r="AC688"/>
    </row>
    <row r="689" spans="1:29" x14ac:dyDescent="0.25">
      <c r="A689" t="str">
        <f t="shared" si="11"/>
        <v xml:space="preserve">147310CETES 260219        </v>
      </c>
      <c r="B689" s="71">
        <v>147310</v>
      </c>
      <c r="C689" s="71" t="s">
        <v>720</v>
      </c>
      <c r="D689" s="71" t="s">
        <v>375</v>
      </c>
      <c r="E689" s="71" t="s">
        <v>623</v>
      </c>
      <c r="F689" s="71" t="s">
        <v>624</v>
      </c>
      <c r="G689" s="74">
        <v>24937</v>
      </c>
      <c r="H689" s="72">
        <v>98.730349000000004</v>
      </c>
      <c r="I689" s="73">
        <v>2462038.7130129999</v>
      </c>
      <c r="J689" s="72">
        <v>111.89286593999999</v>
      </c>
      <c r="K689" s="73">
        <v>-328233.68493277999</v>
      </c>
      <c r="L689" s="74">
        <v>0</v>
      </c>
      <c r="M689" s="73">
        <v>0</v>
      </c>
      <c r="N689" s="74">
        <v>0</v>
      </c>
      <c r="O689" s="73">
        <v>0</v>
      </c>
      <c r="P689" s="74">
        <v>24937</v>
      </c>
      <c r="Q689" s="73">
        <v>2462038.7130129999</v>
      </c>
      <c r="R689" s="71" t="s">
        <v>625</v>
      </c>
      <c r="S689" s="71">
        <v>7414000005</v>
      </c>
      <c r="AB689"/>
      <c r="AC689"/>
    </row>
    <row r="690" spans="1:29" x14ac:dyDescent="0.25">
      <c r="A690" t="str">
        <f t="shared" si="11"/>
        <v>147310EFECTIVO</v>
      </c>
      <c r="B690" s="71">
        <v>147310</v>
      </c>
      <c r="C690" s="71" t="s">
        <v>720</v>
      </c>
      <c r="D690" s="71" t="s">
        <v>376</v>
      </c>
      <c r="E690" s="71" t="s">
        <v>623</v>
      </c>
      <c r="F690" s="71" t="s">
        <v>624</v>
      </c>
      <c r="G690" s="74">
        <v>42820</v>
      </c>
      <c r="H690" s="72">
        <v>99.247497999999993</v>
      </c>
      <c r="I690" s="73">
        <v>4249777.86436</v>
      </c>
      <c r="J690" s="72">
        <v>114.66602873908921</v>
      </c>
      <c r="K690" s="73">
        <v>-660221.48624780006</v>
      </c>
      <c r="L690" s="74">
        <v>0</v>
      </c>
      <c r="M690" s="73">
        <v>0</v>
      </c>
      <c r="N690" s="74">
        <v>0</v>
      </c>
      <c r="O690" s="73">
        <v>0</v>
      </c>
      <c r="P690" s="74">
        <v>42820</v>
      </c>
      <c r="Q690" s="73">
        <v>4249777.86436</v>
      </c>
      <c r="R690" s="71" t="s">
        <v>625</v>
      </c>
      <c r="S690" s="71">
        <v>7414000005</v>
      </c>
      <c r="AB690"/>
      <c r="AC690"/>
    </row>
    <row r="691" spans="1:29" x14ac:dyDescent="0.25">
      <c r="A691" t="str">
        <f t="shared" si="11"/>
        <v xml:space="preserve">147310GOBFED 240905       </v>
      </c>
      <c r="B691" s="71">
        <v>147310</v>
      </c>
      <c r="C691" s="71" t="s">
        <v>720</v>
      </c>
      <c r="D691" s="71" t="s">
        <v>377</v>
      </c>
      <c r="E691" s="71" t="s">
        <v>623</v>
      </c>
      <c r="F691" s="71" t="s">
        <v>624</v>
      </c>
      <c r="G691" s="74">
        <v>112281</v>
      </c>
      <c r="H691" s="72">
        <v>94.973146999999997</v>
      </c>
      <c r="I691" s="73">
        <v>10663679.918307001</v>
      </c>
      <c r="J691" s="72">
        <v>89.76481543271008</v>
      </c>
      <c r="K691" s="73">
        <v>584796.67670687998</v>
      </c>
      <c r="L691" s="74">
        <v>0</v>
      </c>
      <c r="M691" s="73">
        <v>0</v>
      </c>
      <c r="N691" s="74">
        <v>0</v>
      </c>
      <c r="O691" s="73">
        <v>0</v>
      </c>
      <c r="P691" s="74">
        <v>112281</v>
      </c>
      <c r="Q691" s="73">
        <v>10663679.918307001</v>
      </c>
      <c r="R691" s="71" t="s">
        <v>625</v>
      </c>
      <c r="S691" s="71">
        <v>7414000005</v>
      </c>
      <c r="AB691"/>
      <c r="AC691"/>
    </row>
    <row r="692" spans="1:29" x14ac:dyDescent="0.25">
      <c r="A692" t="str">
        <f t="shared" si="11"/>
        <v xml:space="preserve">147310GOBFED 241205       </v>
      </c>
      <c r="B692" s="71">
        <v>147310</v>
      </c>
      <c r="C692" s="71" t="s">
        <v>720</v>
      </c>
      <c r="D692" s="71" t="s">
        <v>378</v>
      </c>
      <c r="E692" s="71" t="s">
        <v>623</v>
      </c>
      <c r="F692" s="71" t="s">
        <v>624</v>
      </c>
      <c r="G692" s="74">
        <v>191488</v>
      </c>
      <c r="H692" s="72">
        <v>91.911821000000003</v>
      </c>
      <c r="I692" s="73">
        <v>17600010.779647999</v>
      </c>
      <c r="J692" s="72">
        <v>90.71152459523563</v>
      </c>
      <c r="K692" s="73">
        <v>229842.35795552001</v>
      </c>
      <c r="L692" s="74">
        <v>0</v>
      </c>
      <c r="M692" s="73">
        <v>0</v>
      </c>
      <c r="N692" s="74">
        <v>0</v>
      </c>
      <c r="O692" s="73">
        <v>0</v>
      </c>
      <c r="P692" s="74">
        <v>191488</v>
      </c>
      <c r="Q692" s="73">
        <v>17600010.779647999</v>
      </c>
      <c r="R692" s="71" t="s">
        <v>625</v>
      </c>
      <c r="S692" s="71">
        <v>7414000005</v>
      </c>
      <c r="AB692"/>
      <c r="AC692"/>
    </row>
    <row r="693" spans="1:29" x14ac:dyDescent="0.25">
      <c r="A693" t="str">
        <f t="shared" si="11"/>
        <v xml:space="preserve">147310GOBFED 250306       </v>
      </c>
      <c r="B693" s="71">
        <v>147310</v>
      </c>
      <c r="C693" s="71" t="s">
        <v>720</v>
      </c>
      <c r="D693" s="71" t="s">
        <v>499</v>
      </c>
      <c r="E693" s="71" t="s">
        <v>623</v>
      </c>
      <c r="F693" s="71" t="s">
        <v>624</v>
      </c>
      <c r="G693" s="74">
        <v>375550</v>
      </c>
      <c r="H693" s="72">
        <v>92.954503000000003</v>
      </c>
      <c r="I693" s="73">
        <v>34909063.60165</v>
      </c>
      <c r="J693" s="72">
        <v>93.271038426409007</v>
      </c>
      <c r="K693" s="73">
        <v>-118874.8793879</v>
      </c>
      <c r="L693" s="74">
        <v>0</v>
      </c>
      <c r="M693" s="73">
        <v>0</v>
      </c>
      <c r="N693" s="74">
        <v>0</v>
      </c>
      <c r="O693" s="73">
        <v>0</v>
      </c>
      <c r="P693" s="74">
        <v>375550</v>
      </c>
      <c r="Q693" s="73">
        <v>34909063.60165</v>
      </c>
      <c r="R693" s="71" t="s">
        <v>625</v>
      </c>
      <c r="S693" s="71">
        <v>7414000005</v>
      </c>
      <c r="AB693"/>
      <c r="AC693"/>
    </row>
    <row r="694" spans="1:29" x14ac:dyDescent="0.25">
      <c r="A694" t="str">
        <f t="shared" si="11"/>
        <v xml:space="preserve">147310GOBFED 260305       </v>
      </c>
      <c r="B694" s="71">
        <v>147310</v>
      </c>
      <c r="C694" s="71" t="s">
        <v>720</v>
      </c>
      <c r="D694" s="71" t="s">
        <v>379</v>
      </c>
      <c r="E694" s="71" t="s">
        <v>623</v>
      </c>
      <c r="F694" s="71" t="s">
        <v>624</v>
      </c>
      <c r="G694" s="74">
        <v>140261</v>
      </c>
      <c r="H694" s="72">
        <v>88.698122999999995</v>
      </c>
      <c r="I694" s="73">
        <v>12440887.430103</v>
      </c>
      <c r="J694" s="72">
        <v>88.298813108870675</v>
      </c>
      <c r="K694" s="73">
        <v>56007.604639689998</v>
      </c>
      <c r="L694" s="74">
        <v>0</v>
      </c>
      <c r="M694" s="73">
        <v>0</v>
      </c>
      <c r="N694" s="74">
        <v>0</v>
      </c>
      <c r="O694" s="73">
        <v>0</v>
      </c>
      <c r="P694" s="74">
        <v>140261</v>
      </c>
      <c r="Q694" s="73">
        <v>12440887.430103</v>
      </c>
      <c r="R694" s="71" t="s">
        <v>625</v>
      </c>
      <c r="S694" s="71">
        <v>7414000005</v>
      </c>
      <c r="AB694"/>
      <c r="AC694"/>
    </row>
    <row r="695" spans="1:29" x14ac:dyDescent="0.25">
      <c r="A695" t="str">
        <f t="shared" si="11"/>
        <v xml:space="preserve">147310GOBFED 260903       </v>
      </c>
      <c r="B695" s="71">
        <v>147310</v>
      </c>
      <c r="C695" s="71" t="s">
        <v>720</v>
      </c>
      <c r="D695" s="71" t="s">
        <v>380</v>
      </c>
      <c r="E695" s="71" t="s">
        <v>623</v>
      </c>
      <c r="F695" s="71" t="s">
        <v>624</v>
      </c>
      <c r="G695" s="74">
        <v>111630</v>
      </c>
      <c r="H695" s="72">
        <v>93.314192000000006</v>
      </c>
      <c r="I695" s="73">
        <v>10416663.25296</v>
      </c>
      <c r="J695" s="72">
        <v>93.354296434451314</v>
      </c>
      <c r="K695" s="73">
        <v>-4476.8580178000002</v>
      </c>
      <c r="L695" s="74">
        <v>0</v>
      </c>
      <c r="M695" s="73">
        <v>0</v>
      </c>
      <c r="N695" s="74">
        <v>0</v>
      </c>
      <c r="O695" s="73">
        <v>0</v>
      </c>
      <c r="P695" s="74">
        <v>111630</v>
      </c>
      <c r="Q695" s="73">
        <v>10416663.25296</v>
      </c>
      <c r="R695" s="71" t="s">
        <v>625</v>
      </c>
      <c r="S695" s="71">
        <v>7414000005</v>
      </c>
      <c r="AB695"/>
      <c r="AC695"/>
    </row>
    <row r="696" spans="1:29" x14ac:dyDescent="0.25">
      <c r="A696" t="str">
        <f t="shared" si="11"/>
        <v xml:space="preserve">147310GOBFED 270304       </v>
      </c>
      <c r="B696" s="71">
        <v>147310</v>
      </c>
      <c r="C696" s="71" t="s">
        <v>720</v>
      </c>
      <c r="D696" s="71" t="s">
        <v>382</v>
      </c>
      <c r="E696" s="71" t="s">
        <v>623</v>
      </c>
      <c r="F696" s="71" t="s">
        <v>624</v>
      </c>
      <c r="G696" s="74">
        <v>0</v>
      </c>
      <c r="H696" s="72">
        <v>0</v>
      </c>
      <c r="I696" s="73">
        <v>0</v>
      </c>
      <c r="J696" s="72">
        <v>0</v>
      </c>
      <c r="K696" s="73">
        <v>0</v>
      </c>
      <c r="L696" s="74">
        <v>0</v>
      </c>
      <c r="M696" s="73">
        <v>0</v>
      </c>
      <c r="N696" s="74">
        <v>0</v>
      </c>
      <c r="O696" s="73">
        <v>0</v>
      </c>
      <c r="P696" s="74">
        <v>0</v>
      </c>
      <c r="Q696" s="73">
        <v>0</v>
      </c>
      <c r="R696" s="71" t="s">
        <v>625</v>
      </c>
      <c r="S696" s="71">
        <v>7414000005</v>
      </c>
      <c r="AB696"/>
      <c r="AC696"/>
    </row>
    <row r="697" spans="1:29" x14ac:dyDescent="0.25">
      <c r="A697" t="str">
        <f t="shared" si="11"/>
        <v xml:space="preserve">147310GOBFED 270603       </v>
      </c>
      <c r="B697" s="71">
        <v>147310</v>
      </c>
      <c r="C697" s="71" t="s">
        <v>720</v>
      </c>
      <c r="D697" s="71" t="s">
        <v>429</v>
      </c>
      <c r="E697" s="71" t="s">
        <v>623</v>
      </c>
      <c r="F697" s="71" t="s">
        <v>624</v>
      </c>
      <c r="G697" s="74">
        <v>9590</v>
      </c>
      <c r="H697" s="72">
        <v>98.007834000000003</v>
      </c>
      <c r="I697" s="73">
        <v>939895.12806000002</v>
      </c>
      <c r="J697" s="72">
        <v>93.280048030000003</v>
      </c>
      <c r="K697" s="73">
        <v>45339.467452299999</v>
      </c>
      <c r="L697" s="74">
        <v>0</v>
      </c>
      <c r="M697" s="73">
        <v>0</v>
      </c>
      <c r="N697" s="74">
        <v>0</v>
      </c>
      <c r="O697" s="73">
        <v>0</v>
      </c>
      <c r="P697" s="74">
        <v>9590</v>
      </c>
      <c r="Q697" s="73">
        <v>939895.12806000002</v>
      </c>
      <c r="R697" s="71" t="s">
        <v>625</v>
      </c>
      <c r="S697" s="71">
        <v>7414000005</v>
      </c>
      <c r="AB697"/>
      <c r="AC697"/>
    </row>
    <row r="698" spans="1:29" x14ac:dyDescent="0.25">
      <c r="A698" t="str">
        <f t="shared" si="11"/>
        <v xml:space="preserve">147310GOBFED 310529       </v>
      </c>
      <c r="B698" s="71">
        <v>147310</v>
      </c>
      <c r="C698" s="71" t="s">
        <v>720</v>
      </c>
      <c r="D698" s="71" t="s">
        <v>437</v>
      </c>
      <c r="E698" s="71" t="s">
        <v>623</v>
      </c>
      <c r="F698" s="71" t="s">
        <v>624</v>
      </c>
      <c r="G698" s="74">
        <v>22830</v>
      </c>
      <c r="H698" s="72">
        <v>100.38890499999999</v>
      </c>
      <c r="I698" s="73">
        <v>2291878.7011500001</v>
      </c>
      <c r="J698" s="72">
        <v>91.398345289999995</v>
      </c>
      <c r="K698" s="73">
        <v>205254.4781793</v>
      </c>
      <c r="L698" s="74">
        <v>0</v>
      </c>
      <c r="M698" s="73">
        <v>0</v>
      </c>
      <c r="N698" s="74">
        <v>0</v>
      </c>
      <c r="O698" s="73">
        <v>0</v>
      </c>
      <c r="P698" s="74">
        <v>22830</v>
      </c>
      <c r="Q698" s="73">
        <v>2291878.7011500001</v>
      </c>
      <c r="R698" s="71" t="s">
        <v>625</v>
      </c>
      <c r="S698" s="71">
        <v>7414000005</v>
      </c>
      <c r="AB698"/>
      <c r="AC698"/>
    </row>
    <row r="699" spans="1:29" x14ac:dyDescent="0.25">
      <c r="A699" t="str">
        <f t="shared" si="11"/>
        <v xml:space="preserve">147310PEMEX 13-2          </v>
      </c>
      <c r="B699" s="71">
        <v>147310</v>
      </c>
      <c r="C699" s="71" t="s">
        <v>720</v>
      </c>
      <c r="D699" s="71" t="s">
        <v>472</v>
      </c>
      <c r="E699" s="71" t="s">
        <v>623</v>
      </c>
      <c r="F699" s="71" t="s">
        <v>624</v>
      </c>
      <c r="G699" s="74">
        <v>5670000</v>
      </c>
      <c r="H699" s="72">
        <v>4.1069599999999999</v>
      </c>
      <c r="I699" s="73">
        <v>23286463.199999999</v>
      </c>
      <c r="J699" s="72">
        <v>3.2025773668430335</v>
      </c>
      <c r="K699" s="73">
        <v>5127849.53</v>
      </c>
      <c r="L699" s="74">
        <v>0</v>
      </c>
      <c r="M699" s="73">
        <v>0</v>
      </c>
      <c r="N699" s="74">
        <v>0</v>
      </c>
      <c r="O699" s="73">
        <v>0</v>
      </c>
      <c r="P699" s="74">
        <v>5670000</v>
      </c>
      <c r="Q699" s="73">
        <v>23286463.199999999</v>
      </c>
      <c r="R699" s="71" t="s">
        <v>625</v>
      </c>
      <c r="S699" s="71">
        <v>7414000005</v>
      </c>
      <c r="AB699"/>
      <c r="AC699"/>
    </row>
    <row r="700" spans="1:29" x14ac:dyDescent="0.25">
      <c r="A700" t="str">
        <f t="shared" si="11"/>
        <v xml:space="preserve">147310PEMEX 19            </v>
      </c>
      <c r="B700" s="71">
        <v>147310</v>
      </c>
      <c r="C700" s="71" t="s">
        <v>720</v>
      </c>
      <c r="D700" s="71" t="s">
        <v>391</v>
      </c>
      <c r="E700" s="71" t="s">
        <v>623</v>
      </c>
      <c r="F700" s="71" t="s">
        <v>624</v>
      </c>
      <c r="G700" s="74">
        <v>4</v>
      </c>
      <c r="H700" s="72">
        <v>775.69178699999998</v>
      </c>
      <c r="I700" s="73">
        <v>3102.7671479999999</v>
      </c>
      <c r="J700" s="72">
        <v>770.06763651000006</v>
      </c>
      <c r="K700" s="73">
        <v>22.49660196</v>
      </c>
      <c r="L700" s="74">
        <v>0</v>
      </c>
      <c r="M700" s="73">
        <v>0</v>
      </c>
      <c r="N700" s="74">
        <v>0</v>
      </c>
      <c r="O700" s="73">
        <v>0</v>
      </c>
      <c r="P700" s="74">
        <v>4</v>
      </c>
      <c r="Q700" s="73">
        <v>3102.7671479999999</v>
      </c>
      <c r="R700" s="71" t="s">
        <v>625</v>
      </c>
      <c r="S700" s="71">
        <v>7414000005</v>
      </c>
      <c r="AB700"/>
      <c r="AC700"/>
    </row>
    <row r="701" spans="1:29" x14ac:dyDescent="0.25">
      <c r="A701" t="str">
        <f t="shared" si="11"/>
        <v xml:space="preserve">147310STER-OP E2          </v>
      </c>
      <c r="B701" s="71">
        <v>147310</v>
      </c>
      <c r="C701" s="71" t="s">
        <v>720</v>
      </c>
      <c r="D701" s="71" t="s">
        <v>392</v>
      </c>
      <c r="E701" s="71" t="s">
        <v>623</v>
      </c>
      <c r="F701" s="71" t="s">
        <v>624</v>
      </c>
      <c r="G701" s="74">
        <v>3</v>
      </c>
      <c r="H701" s="72">
        <v>747.17843200000004</v>
      </c>
      <c r="I701" s="73">
        <v>2241.535296</v>
      </c>
      <c r="J701" s="72">
        <v>730.99471579999999</v>
      </c>
      <c r="K701" s="73">
        <v>48.551148599999998</v>
      </c>
      <c r="L701" s="74">
        <v>0</v>
      </c>
      <c r="M701" s="73">
        <v>0</v>
      </c>
      <c r="N701" s="74">
        <v>0</v>
      </c>
      <c r="O701" s="73">
        <v>0</v>
      </c>
      <c r="P701" s="74">
        <v>3</v>
      </c>
      <c r="Q701" s="73">
        <v>2241.535296</v>
      </c>
      <c r="R701" s="71" t="s">
        <v>625</v>
      </c>
      <c r="S701" s="71">
        <v>7414000005</v>
      </c>
      <c r="AB701"/>
      <c r="AC701"/>
    </row>
    <row r="702" spans="1:29" x14ac:dyDescent="0.25">
      <c r="A702" t="str">
        <f t="shared" si="11"/>
        <v xml:space="preserve">147310UDIBONO 251204      </v>
      </c>
      <c r="B702" s="71">
        <v>147311</v>
      </c>
      <c r="C702" s="71" t="s">
        <v>721</v>
      </c>
      <c r="D702" s="71" t="s">
        <v>552</v>
      </c>
      <c r="E702" s="71" t="s">
        <v>623</v>
      </c>
      <c r="F702" s="71" t="s">
        <v>624</v>
      </c>
      <c r="G702" s="74">
        <v>21230</v>
      </c>
      <c r="H702" s="72">
        <v>100.000484</v>
      </c>
      <c r="I702" s="73">
        <v>2123010.27532</v>
      </c>
      <c r="J702" s="72">
        <v>100</v>
      </c>
      <c r="K702" s="73">
        <v>10.275320000000001</v>
      </c>
      <c r="L702" s="74">
        <v>0</v>
      </c>
      <c r="M702" s="73">
        <v>0</v>
      </c>
      <c r="N702" s="74">
        <v>0</v>
      </c>
      <c r="O702" s="73">
        <v>0</v>
      </c>
      <c r="P702" s="74">
        <v>21230</v>
      </c>
      <c r="Q702" s="73">
        <v>2123010.27532</v>
      </c>
      <c r="R702" s="71" t="s">
        <v>625</v>
      </c>
      <c r="S702" s="71">
        <v>7414000005</v>
      </c>
      <c r="AB702"/>
      <c r="AC702"/>
    </row>
    <row r="703" spans="1:29" x14ac:dyDescent="0.25">
      <c r="A703" t="str">
        <f t="shared" si="11"/>
        <v xml:space="preserve">147310UDIBONO 261203      </v>
      </c>
      <c r="B703" s="71">
        <v>147311</v>
      </c>
      <c r="C703" s="71" t="s">
        <v>721</v>
      </c>
      <c r="D703" s="71" t="s">
        <v>556</v>
      </c>
      <c r="E703" s="71" t="s">
        <v>623</v>
      </c>
      <c r="F703" s="71" t="s">
        <v>624</v>
      </c>
      <c r="G703" s="74">
        <v>1700000</v>
      </c>
      <c r="H703" s="72">
        <v>9.1534650000000006</v>
      </c>
      <c r="I703" s="73">
        <v>15560890.5</v>
      </c>
      <c r="J703" s="72">
        <v>8.9797925000000003</v>
      </c>
      <c r="K703" s="73">
        <v>295243.25</v>
      </c>
      <c r="L703" s="74">
        <v>0</v>
      </c>
      <c r="M703" s="73">
        <v>0</v>
      </c>
      <c r="N703" s="74">
        <v>0</v>
      </c>
      <c r="O703" s="73">
        <v>0</v>
      </c>
      <c r="P703" s="74">
        <v>1700000</v>
      </c>
      <c r="Q703" s="73">
        <v>15560890.5</v>
      </c>
      <c r="R703" s="71" t="s">
        <v>625</v>
      </c>
      <c r="S703" s="71">
        <v>7414000005</v>
      </c>
      <c r="AB703"/>
      <c r="AC703"/>
    </row>
    <row r="704" spans="1:29" x14ac:dyDescent="0.25">
      <c r="A704" t="str">
        <f t="shared" si="11"/>
        <v xml:space="preserve">147311BLADEX 24           </v>
      </c>
      <c r="B704" s="71">
        <v>147311</v>
      </c>
      <c r="C704" s="71" t="s">
        <v>721</v>
      </c>
      <c r="D704" s="71" t="s">
        <v>554</v>
      </c>
      <c r="E704" s="71" t="s">
        <v>623</v>
      </c>
      <c r="F704" s="71" t="s">
        <v>624</v>
      </c>
      <c r="G704" s="74">
        <v>140000</v>
      </c>
      <c r="H704" s="72">
        <v>8.3813510000000004</v>
      </c>
      <c r="I704" s="73">
        <v>1173389.1399999999</v>
      </c>
      <c r="J704" s="72">
        <v>8.2700011300000007</v>
      </c>
      <c r="K704" s="73">
        <v>15588.9818</v>
      </c>
      <c r="L704" s="74">
        <v>0</v>
      </c>
      <c r="M704" s="73">
        <v>0</v>
      </c>
      <c r="N704" s="74">
        <v>0</v>
      </c>
      <c r="O704" s="73">
        <v>0</v>
      </c>
      <c r="P704" s="74">
        <v>140000</v>
      </c>
      <c r="Q704" s="73">
        <v>1173389.1399999999</v>
      </c>
      <c r="R704" s="71" t="s">
        <v>625</v>
      </c>
      <c r="S704" s="71">
        <v>7414000005</v>
      </c>
      <c r="AB704"/>
      <c r="AC704"/>
    </row>
    <row r="705" spans="1:29" x14ac:dyDescent="0.25">
      <c r="A705" t="str">
        <f t="shared" si="11"/>
        <v xml:space="preserve">147311CETES 250206        </v>
      </c>
      <c r="B705" s="71">
        <v>147311</v>
      </c>
      <c r="C705" s="71" t="s">
        <v>721</v>
      </c>
      <c r="D705" s="71" t="s">
        <v>613</v>
      </c>
      <c r="E705" s="71" t="s">
        <v>623</v>
      </c>
      <c r="F705" s="71" t="s">
        <v>624</v>
      </c>
      <c r="G705" s="74">
        <v>206800</v>
      </c>
      <c r="H705" s="72">
        <v>8.2580650000000002</v>
      </c>
      <c r="I705" s="73">
        <v>1707767.8419999999</v>
      </c>
      <c r="J705" s="72">
        <v>8.2115149400000007</v>
      </c>
      <c r="K705" s="73">
        <v>9626.5524079999996</v>
      </c>
      <c r="L705" s="74">
        <v>0</v>
      </c>
      <c r="M705" s="73">
        <v>0</v>
      </c>
      <c r="N705" s="74">
        <v>0</v>
      </c>
      <c r="O705" s="73">
        <v>0</v>
      </c>
      <c r="P705" s="74">
        <v>206800</v>
      </c>
      <c r="Q705" s="73">
        <v>1707767.8419999999</v>
      </c>
      <c r="R705" s="71" t="s">
        <v>625</v>
      </c>
      <c r="S705" s="71">
        <v>7414000005</v>
      </c>
      <c r="AB705"/>
      <c r="AC705"/>
    </row>
    <row r="706" spans="1:29" x14ac:dyDescent="0.25">
      <c r="A706" t="str">
        <f t="shared" si="11"/>
        <v xml:space="preserve">147311CETES 251224        </v>
      </c>
      <c r="B706" s="71">
        <v>147311</v>
      </c>
      <c r="C706" s="71" t="s">
        <v>721</v>
      </c>
      <c r="D706" s="71" t="s">
        <v>424</v>
      </c>
      <c r="E706" s="71" t="s">
        <v>623</v>
      </c>
      <c r="F706" s="71" t="s">
        <v>624</v>
      </c>
      <c r="G706" s="74">
        <v>6160</v>
      </c>
      <c r="H706" s="72">
        <v>93.248425999999995</v>
      </c>
      <c r="I706" s="73">
        <v>574410.30416000006</v>
      </c>
      <c r="J706" s="72">
        <v>97.17965882</v>
      </c>
      <c r="K706" s="73">
        <v>-24216.394171200001</v>
      </c>
      <c r="L706" s="74">
        <v>0</v>
      </c>
      <c r="M706" s="73">
        <v>0</v>
      </c>
      <c r="N706" s="74">
        <v>0</v>
      </c>
      <c r="O706" s="73">
        <v>0</v>
      </c>
      <c r="P706" s="74">
        <v>6160</v>
      </c>
      <c r="Q706" s="73">
        <v>574410.30416000006</v>
      </c>
      <c r="R706" s="71" t="s">
        <v>625</v>
      </c>
      <c r="S706" s="71">
        <v>7414000005</v>
      </c>
      <c r="AB706"/>
      <c r="AC706"/>
    </row>
    <row r="707" spans="1:29" x14ac:dyDescent="0.25">
      <c r="A707" t="str">
        <f t="shared" si="11"/>
        <v xml:space="preserve">147311CETES 260219        </v>
      </c>
      <c r="B707" s="71">
        <v>147311</v>
      </c>
      <c r="C707" s="71" t="s">
        <v>721</v>
      </c>
      <c r="D707" s="71" t="s">
        <v>366</v>
      </c>
      <c r="E707" s="71" t="s">
        <v>623</v>
      </c>
      <c r="F707" s="71" t="s">
        <v>624</v>
      </c>
      <c r="G707" s="74">
        <v>0</v>
      </c>
      <c r="H707" s="72">
        <v>0</v>
      </c>
      <c r="I707" s="73">
        <v>61019763.859999999</v>
      </c>
      <c r="J707" s="72">
        <v>0</v>
      </c>
      <c r="K707" s="73">
        <v>0</v>
      </c>
      <c r="L707" s="74">
        <v>0</v>
      </c>
      <c r="M707" s="73">
        <v>0</v>
      </c>
      <c r="N707" s="74">
        <v>0</v>
      </c>
      <c r="O707" s="73">
        <v>0</v>
      </c>
      <c r="P707" s="74">
        <v>0</v>
      </c>
      <c r="Q707" s="73">
        <v>61019763.859999999</v>
      </c>
      <c r="R707" s="71" t="s">
        <v>625</v>
      </c>
      <c r="S707" s="71">
        <v>7414000005</v>
      </c>
      <c r="AB707"/>
      <c r="AC707"/>
    </row>
    <row r="708" spans="1:29" x14ac:dyDescent="0.25">
      <c r="A708" t="str">
        <f t="shared" si="11"/>
        <v xml:space="preserve">147311CFE 14-2            </v>
      </c>
      <c r="B708" s="71">
        <v>147311</v>
      </c>
      <c r="C708" s="71" t="s">
        <v>721</v>
      </c>
      <c r="D708" s="71" t="s">
        <v>378</v>
      </c>
      <c r="E708" s="71" t="s">
        <v>623</v>
      </c>
      <c r="F708" s="71" t="s">
        <v>624</v>
      </c>
      <c r="G708" s="74">
        <v>10923</v>
      </c>
      <c r="H708" s="72">
        <v>91.911821000000003</v>
      </c>
      <c r="I708" s="73">
        <v>1003952.820783</v>
      </c>
      <c r="J708" s="72">
        <v>99.894493202676003</v>
      </c>
      <c r="K708" s="73">
        <v>-87194.728469830006</v>
      </c>
      <c r="L708" s="74">
        <v>0</v>
      </c>
      <c r="M708" s="73">
        <v>0</v>
      </c>
      <c r="N708" s="74">
        <v>0</v>
      </c>
      <c r="O708" s="73">
        <v>0</v>
      </c>
      <c r="P708" s="74">
        <v>10923</v>
      </c>
      <c r="Q708" s="73">
        <v>1003952.820783</v>
      </c>
      <c r="R708" s="71" t="s">
        <v>625</v>
      </c>
      <c r="S708" s="71">
        <v>7414000005</v>
      </c>
      <c r="AB708"/>
      <c r="AC708"/>
    </row>
    <row r="709" spans="1:29" x14ac:dyDescent="0.25">
      <c r="A709" t="str">
        <f t="shared" si="11"/>
        <v>147311EFECTIVO</v>
      </c>
      <c r="B709" s="71">
        <v>147311</v>
      </c>
      <c r="C709" s="71" t="s">
        <v>721</v>
      </c>
      <c r="D709" s="71" t="s">
        <v>379</v>
      </c>
      <c r="E709" s="71" t="s">
        <v>623</v>
      </c>
      <c r="F709" s="71" t="s">
        <v>624</v>
      </c>
      <c r="G709" s="74">
        <v>51482</v>
      </c>
      <c r="H709" s="72">
        <v>88.698122999999995</v>
      </c>
      <c r="I709" s="73">
        <v>4566356.768286</v>
      </c>
      <c r="J709" s="72">
        <v>88.069429229509538</v>
      </c>
      <c r="K709" s="73">
        <v>32366.41269239</v>
      </c>
      <c r="L709" s="74">
        <v>0</v>
      </c>
      <c r="M709" s="73">
        <v>0</v>
      </c>
      <c r="N709" s="74">
        <v>0</v>
      </c>
      <c r="O709" s="73">
        <v>0</v>
      </c>
      <c r="P709" s="74">
        <v>51482</v>
      </c>
      <c r="Q709" s="73">
        <v>4566356.768286</v>
      </c>
      <c r="R709" s="71" t="s">
        <v>625</v>
      </c>
      <c r="S709" s="71">
        <v>7414000005</v>
      </c>
      <c r="AB709"/>
      <c r="AC709"/>
    </row>
    <row r="710" spans="1:29" x14ac:dyDescent="0.25">
      <c r="A710" t="str">
        <f t="shared" si="11"/>
        <v xml:space="preserve">147311GOBFED 260305       </v>
      </c>
      <c r="B710" s="71">
        <v>147311</v>
      </c>
      <c r="C710" s="71" t="s">
        <v>721</v>
      </c>
      <c r="D710" s="71" t="s">
        <v>380</v>
      </c>
      <c r="E710" s="71" t="s">
        <v>623</v>
      </c>
      <c r="F710" s="71" t="s">
        <v>624</v>
      </c>
      <c r="G710" s="74">
        <v>87876</v>
      </c>
      <c r="H710" s="72">
        <v>93.314192000000006</v>
      </c>
      <c r="I710" s="73">
        <v>8200077.9361920003</v>
      </c>
      <c r="J710" s="72">
        <v>95.62696583153307</v>
      </c>
      <c r="K710" s="73">
        <v>-203237.31321980001</v>
      </c>
      <c r="L710" s="74">
        <v>0</v>
      </c>
      <c r="M710" s="73">
        <v>0</v>
      </c>
      <c r="N710" s="74">
        <v>0</v>
      </c>
      <c r="O710" s="73">
        <v>0</v>
      </c>
      <c r="P710" s="74">
        <v>87876</v>
      </c>
      <c r="Q710" s="73">
        <v>8200077.9361920003</v>
      </c>
      <c r="R710" s="71" t="s">
        <v>625</v>
      </c>
      <c r="S710" s="71">
        <v>7414000005</v>
      </c>
      <c r="AB710"/>
      <c r="AC710"/>
    </row>
    <row r="711" spans="1:29" x14ac:dyDescent="0.25">
      <c r="A711" t="str">
        <f t="shared" ref="A711:A774" si="12">B709&amp;D709</f>
        <v xml:space="preserve">147311GOBFED 270304       </v>
      </c>
      <c r="B711" s="71">
        <v>147311</v>
      </c>
      <c r="C711" s="71" t="s">
        <v>721</v>
      </c>
      <c r="D711" s="71" t="s">
        <v>507</v>
      </c>
      <c r="E711" s="71" t="s">
        <v>623</v>
      </c>
      <c r="F711" s="71" t="s">
        <v>624</v>
      </c>
      <c r="G711" s="74">
        <v>35860</v>
      </c>
      <c r="H711" s="72">
        <v>94.864168000000006</v>
      </c>
      <c r="I711" s="73">
        <v>3401829.0644800002</v>
      </c>
      <c r="J711" s="72">
        <v>96.263034200000007</v>
      </c>
      <c r="K711" s="73">
        <v>-50163.341932000003</v>
      </c>
      <c r="L711" s="74">
        <v>0</v>
      </c>
      <c r="M711" s="73">
        <v>0</v>
      </c>
      <c r="N711" s="74">
        <v>0</v>
      </c>
      <c r="O711" s="73">
        <v>0</v>
      </c>
      <c r="P711" s="74">
        <v>35860</v>
      </c>
      <c r="Q711" s="73">
        <v>3401829.0644800002</v>
      </c>
      <c r="R711" s="71" t="s">
        <v>625</v>
      </c>
      <c r="S711" s="71">
        <v>7414000005</v>
      </c>
      <c r="AB711"/>
      <c r="AC711"/>
    </row>
    <row r="712" spans="1:29" x14ac:dyDescent="0.25">
      <c r="A712" t="str">
        <f t="shared" si="12"/>
        <v xml:space="preserve">147311GOBFED 270603       </v>
      </c>
      <c r="B712" s="71">
        <v>147311</v>
      </c>
      <c r="C712" s="71" t="s">
        <v>721</v>
      </c>
      <c r="D712" s="71" t="s">
        <v>381</v>
      </c>
      <c r="E712" s="71" t="s">
        <v>623</v>
      </c>
      <c r="F712" s="71" t="s">
        <v>624</v>
      </c>
      <c r="G712" s="74">
        <v>151300</v>
      </c>
      <c r="H712" s="72">
        <v>94.870157000000006</v>
      </c>
      <c r="I712" s="73">
        <v>14353854.7541</v>
      </c>
      <c r="J712" s="72">
        <v>97.211223897195637</v>
      </c>
      <c r="K712" s="73">
        <v>-354203.4215457</v>
      </c>
      <c r="L712" s="74">
        <v>0</v>
      </c>
      <c r="M712" s="73">
        <v>0</v>
      </c>
      <c r="N712" s="74">
        <v>0</v>
      </c>
      <c r="O712" s="73">
        <v>0</v>
      </c>
      <c r="P712" s="74">
        <v>151300</v>
      </c>
      <c r="Q712" s="73">
        <v>14353854.7541</v>
      </c>
      <c r="R712" s="71" t="s">
        <v>625</v>
      </c>
      <c r="S712" s="71">
        <v>7414000005</v>
      </c>
      <c r="AB712"/>
      <c r="AC712"/>
    </row>
    <row r="713" spans="1:29" x14ac:dyDescent="0.25">
      <c r="A713" t="str">
        <f t="shared" si="12"/>
        <v xml:space="preserve">147311GOBFED 290301       </v>
      </c>
      <c r="B713" s="71">
        <v>147311</v>
      </c>
      <c r="C713" s="71" t="s">
        <v>721</v>
      </c>
      <c r="D713" s="71" t="s">
        <v>382</v>
      </c>
      <c r="E713" s="71" t="s">
        <v>623</v>
      </c>
      <c r="F713" s="71" t="s">
        <v>624</v>
      </c>
      <c r="G713" s="74">
        <v>199144</v>
      </c>
      <c r="H713" s="72">
        <v>89.489464999999996</v>
      </c>
      <c r="I713" s="73">
        <v>17821290.017960001</v>
      </c>
      <c r="J713" s="72">
        <v>92.85697234501572</v>
      </c>
      <c r="K713" s="73">
        <v>-670618.88271580997</v>
      </c>
      <c r="L713" s="74">
        <v>0</v>
      </c>
      <c r="M713" s="73">
        <v>0</v>
      </c>
      <c r="N713" s="74">
        <v>0</v>
      </c>
      <c r="O713" s="73">
        <v>0</v>
      </c>
      <c r="P713" s="74">
        <v>199144</v>
      </c>
      <c r="Q713" s="73">
        <v>17821290.017960001</v>
      </c>
      <c r="R713" s="71" t="s">
        <v>625</v>
      </c>
      <c r="S713" s="71">
        <v>7414000005</v>
      </c>
      <c r="AB713"/>
      <c r="AC713"/>
    </row>
    <row r="714" spans="1:29" x14ac:dyDescent="0.25">
      <c r="A714" t="str">
        <f t="shared" si="12"/>
        <v xml:space="preserve">147311GOBFED 290531       </v>
      </c>
      <c r="B714" s="71">
        <v>147311</v>
      </c>
      <c r="C714" s="71" t="s">
        <v>721</v>
      </c>
      <c r="D714" s="71" t="s">
        <v>383</v>
      </c>
      <c r="E714" s="71" t="s">
        <v>623</v>
      </c>
      <c r="F714" s="71" t="s">
        <v>624</v>
      </c>
      <c r="G714" s="74">
        <v>144987</v>
      </c>
      <c r="H714" s="72">
        <v>86.197128000000006</v>
      </c>
      <c r="I714" s="73">
        <v>12497462.997336</v>
      </c>
      <c r="J714" s="72">
        <v>91.969042462435738</v>
      </c>
      <c r="K714" s="73">
        <v>-836852.56216516998</v>
      </c>
      <c r="L714" s="74">
        <v>0</v>
      </c>
      <c r="M714" s="73">
        <v>0</v>
      </c>
      <c r="N714" s="74">
        <v>0</v>
      </c>
      <c r="O714" s="73">
        <v>0</v>
      </c>
      <c r="P714" s="74">
        <v>144987</v>
      </c>
      <c r="Q714" s="73">
        <v>12497462.997336</v>
      </c>
      <c r="R714" s="71" t="s">
        <v>625</v>
      </c>
      <c r="S714" s="71">
        <v>7414000005</v>
      </c>
      <c r="AB714"/>
      <c r="AC714"/>
    </row>
    <row r="715" spans="1:29" x14ac:dyDescent="0.25">
      <c r="A715" t="str">
        <f t="shared" si="12"/>
        <v xml:space="preserve">147311GOBFED 310529       </v>
      </c>
      <c r="B715" s="71">
        <v>147311</v>
      </c>
      <c r="C715" s="71" t="s">
        <v>721</v>
      </c>
      <c r="D715" s="71" t="s">
        <v>427</v>
      </c>
      <c r="E715" s="71" t="s">
        <v>623</v>
      </c>
      <c r="F715" s="71" t="s">
        <v>624</v>
      </c>
      <c r="G715" s="74">
        <v>55189</v>
      </c>
      <c r="H715" s="72">
        <v>86.469353999999996</v>
      </c>
      <c r="I715" s="73">
        <v>4772157.1779060001</v>
      </c>
      <c r="J715" s="72">
        <v>89.838096089999993</v>
      </c>
      <c r="K715" s="73">
        <v>-185917.50720501001</v>
      </c>
      <c r="L715" s="74">
        <v>0</v>
      </c>
      <c r="M715" s="73">
        <v>0</v>
      </c>
      <c r="N715" s="74">
        <v>0</v>
      </c>
      <c r="O715" s="73">
        <v>0</v>
      </c>
      <c r="P715" s="74">
        <v>55189</v>
      </c>
      <c r="Q715" s="73">
        <v>4772157.1779060001</v>
      </c>
      <c r="R715" s="71" t="s">
        <v>625</v>
      </c>
      <c r="S715" s="71">
        <v>7414000005</v>
      </c>
      <c r="AB715"/>
      <c r="AC715"/>
    </row>
    <row r="716" spans="1:29" x14ac:dyDescent="0.25">
      <c r="A716" t="str">
        <f t="shared" si="12"/>
        <v xml:space="preserve">147311GOBFED 330526       </v>
      </c>
      <c r="B716" s="71">
        <v>147311</v>
      </c>
      <c r="C716" s="71" t="s">
        <v>721</v>
      </c>
      <c r="D716" s="71" t="s">
        <v>429</v>
      </c>
      <c r="E716" s="71" t="s">
        <v>623</v>
      </c>
      <c r="F716" s="71" t="s">
        <v>624</v>
      </c>
      <c r="G716" s="74">
        <v>11200</v>
      </c>
      <c r="H716" s="72">
        <v>98.007834000000003</v>
      </c>
      <c r="I716" s="73">
        <v>1097687.7408</v>
      </c>
      <c r="J716" s="72">
        <v>92.657762245866067</v>
      </c>
      <c r="K716" s="73">
        <v>59920.803646300003</v>
      </c>
      <c r="L716" s="74">
        <v>0</v>
      </c>
      <c r="M716" s="73">
        <v>0</v>
      </c>
      <c r="N716" s="74">
        <v>0</v>
      </c>
      <c r="O716" s="73">
        <v>0</v>
      </c>
      <c r="P716" s="74">
        <v>11200</v>
      </c>
      <c r="Q716" s="73">
        <v>1097687.7408</v>
      </c>
      <c r="R716" s="71" t="s">
        <v>625</v>
      </c>
      <c r="S716" s="71">
        <v>7414000005</v>
      </c>
      <c r="AB716"/>
      <c r="AC716"/>
    </row>
    <row r="717" spans="1:29" x14ac:dyDescent="0.25">
      <c r="A717" t="str">
        <f t="shared" si="12"/>
        <v xml:space="preserve">147311GOBFED 341123       </v>
      </c>
      <c r="B717" s="71">
        <v>147311</v>
      </c>
      <c r="C717" s="71" t="s">
        <v>721</v>
      </c>
      <c r="D717" s="71" t="s">
        <v>437</v>
      </c>
      <c r="E717" s="71" t="s">
        <v>623</v>
      </c>
      <c r="F717" s="71" t="s">
        <v>624</v>
      </c>
      <c r="G717" s="74">
        <v>5690</v>
      </c>
      <c r="H717" s="72">
        <v>100.38890499999999</v>
      </c>
      <c r="I717" s="73">
        <v>571212.86945</v>
      </c>
      <c r="J717" s="72">
        <v>91.398345289999995</v>
      </c>
      <c r="K717" s="73">
        <v>51156.284749899998</v>
      </c>
      <c r="L717" s="74">
        <v>0</v>
      </c>
      <c r="M717" s="73">
        <v>0</v>
      </c>
      <c r="N717" s="74">
        <v>0</v>
      </c>
      <c r="O717" s="73">
        <v>0</v>
      </c>
      <c r="P717" s="74">
        <v>5690</v>
      </c>
      <c r="Q717" s="73">
        <v>571212.86945</v>
      </c>
      <c r="R717" s="71" t="s">
        <v>625</v>
      </c>
      <c r="S717" s="71">
        <v>7414000005</v>
      </c>
      <c r="AB717"/>
      <c r="AC717"/>
    </row>
    <row r="718" spans="1:29" x14ac:dyDescent="0.25">
      <c r="A718" t="str">
        <f t="shared" si="12"/>
        <v xml:space="preserve">147311PEMEX 13-2          </v>
      </c>
      <c r="B718" s="71">
        <v>147311</v>
      </c>
      <c r="C718" s="71" t="s">
        <v>721</v>
      </c>
      <c r="D718" s="71" t="s">
        <v>459</v>
      </c>
      <c r="E718" s="71" t="s">
        <v>623</v>
      </c>
      <c r="F718" s="71" t="s">
        <v>624</v>
      </c>
      <c r="G718" s="74">
        <v>13600000</v>
      </c>
      <c r="H718" s="72">
        <v>4.5848760000000004</v>
      </c>
      <c r="I718" s="73">
        <v>62354313.600000001</v>
      </c>
      <c r="J718" s="72">
        <v>3.4178773522058825</v>
      </c>
      <c r="K718" s="73">
        <v>15871181.609999999</v>
      </c>
      <c r="L718" s="74">
        <v>0</v>
      </c>
      <c r="M718" s="73">
        <v>0</v>
      </c>
      <c r="N718" s="74">
        <v>0</v>
      </c>
      <c r="O718" s="73">
        <v>0</v>
      </c>
      <c r="P718" s="74">
        <v>13600000</v>
      </c>
      <c r="Q718" s="73">
        <v>62354313.600000001</v>
      </c>
      <c r="R718" s="71" t="s">
        <v>625</v>
      </c>
      <c r="S718" s="71">
        <v>7414000005</v>
      </c>
      <c r="AB718"/>
      <c r="AC718"/>
    </row>
    <row r="719" spans="1:29" x14ac:dyDescent="0.25">
      <c r="A719" t="str">
        <f t="shared" si="12"/>
        <v xml:space="preserve">147311PEMEX 19            </v>
      </c>
      <c r="B719" s="71">
        <v>147311</v>
      </c>
      <c r="C719" s="71" t="s">
        <v>721</v>
      </c>
      <c r="D719" s="71" t="s">
        <v>391</v>
      </c>
      <c r="E719" s="71" t="s">
        <v>623</v>
      </c>
      <c r="F719" s="71" t="s">
        <v>624</v>
      </c>
      <c r="G719" s="74">
        <v>331</v>
      </c>
      <c r="H719" s="72">
        <v>775.69178699999998</v>
      </c>
      <c r="I719" s="73">
        <v>256753.981497</v>
      </c>
      <c r="J719" s="72">
        <v>766.69784126000002</v>
      </c>
      <c r="K719" s="73">
        <v>2976.9960399400002</v>
      </c>
      <c r="L719" s="74">
        <v>0</v>
      </c>
      <c r="M719" s="73">
        <v>0</v>
      </c>
      <c r="N719" s="74">
        <v>0</v>
      </c>
      <c r="O719" s="73">
        <v>0</v>
      </c>
      <c r="P719" s="74">
        <v>331</v>
      </c>
      <c r="Q719" s="73">
        <v>256753.981497</v>
      </c>
      <c r="R719" s="71" t="s">
        <v>625</v>
      </c>
      <c r="S719" s="71">
        <v>7414000005</v>
      </c>
      <c r="AB719"/>
      <c r="AC719"/>
    </row>
    <row r="720" spans="1:29" x14ac:dyDescent="0.25">
      <c r="A720" t="str">
        <f t="shared" si="12"/>
        <v xml:space="preserve">147311STER-OP ED          </v>
      </c>
      <c r="B720" s="71">
        <v>147311</v>
      </c>
      <c r="C720" s="71" t="s">
        <v>721</v>
      </c>
      <c r="D720" s="71" t="s">
        <v>393</v>
      </c>
      <c r="E720" s="71" t="s">
        <v>623</v>
      </c>
      <c r="F720" s="71" t="s">
        <v>624</v>
      </c>
      <c r="G720" s="74">
        <v>5</v>
      </c>
      <c r="H720" s="72">
        <v>765.92388300000005</v>
      </c>
      <c r="I720" s="73">
        <v>3829.6194150000001</v>
      </c>
      <c r="J720" s="72">
        <v>762.50221063000004</v>
      </c>
      <c r="K720" s="73">
        <v>17.108361850000001</v>
      </c>
      <c r="L720" s="74">
        <v>0</v>
      </c>
      <c r="M720" s="73">
        <v>0</v>
      </c>
      <c r="N720" s="74">
        <v>0</v>
      </c>
      <c r="O720" s="73">
        <v>0</v>
      </c>
      <c r="P720" s="74">
        <v>5</v>
      </c>
      <c r="Q720" s="73">
        <v>3829.6194150000001</v>
      </c>
      <c r="R720" s="71" t="s">
        <v>625</v>
      </c>
      <c r="S720" s="71">
        <v>7414000005</v>
      </c>
      <c r="AB720"/>
      <c r="AC720"/>
    </row>
    <row r="721" spans="1:29" x14ac:dyDescent="0.25">
      <c r="A721" t="str">
        <f t="shared" si="12"/>
        <v xml:space="preserve">147311UDIBONO 251204      </v>
      </c>
      <c r="B721" s="71">
        <v>147311</v>
      </c>
      <c r="C721" s="71" t="s">
        <v>721</v>
      </c>
      <c r="D721" s="71" t="s">
        <v>394</v>
      </c>
      <c r="E721" s="71" t="s">
        <v>623</v>
      </c>
      <c r="F721" s="71" t="s">
        <v>624</v>
      </c>
      <c r="G721" s="74">
        <v>1770</v>
      </c>
      <c r="H721" s="72">
        <v>684.88915799999995</v>
      </c>
      <c r="I721" s="73">
        <v>1212253.80966</v>
      </c>
      <c r="J721" s="72">
        <v>700.97292315000004</v>
      </c>
      <c r="K721" s="73">
        <v>-28468.264315500001</v>
      </c>
      <c r="L721" s="74">
        <v>0</v>
      </c>
      <c r="M721" s="73">
        <v>0</v>
      </c>
      <c r="N721" s="74">
        <v>0</v>
      </c>
      <c r="O721" s="73">
        <v>0</v>
      </c>
      <c r="P721" s="74">
        <v>1770</v>
      </c>
      <c r="Q721" s="73">
        <v>1212253.80966</v>
      </c>
      <c r="R721" s="71" t="s">
        <v>625</v>
      </c>
      <c r="S721" s="71">
        <v>7414000005</v>
      </c>
      <c r="AB721"/>
      <c r="AC721"/>
    </row>
    <row r="722" spans="1:29" x14ac:dyDescent="0.25">
      <c r="A722" t="str">
        <f t="shared" si="12"/>
        <v xml:space="preserve">147311UDIBONO 281130      </v>
      </c>
      <c r="B722" s="71">
        <v>147312</v>
      </c>
      <c r="C722" s="71" t="s">
        <v>722</v>
      </c>
      <c r="D722" s="71" t="s">
        <v>552</v>
      </c>
      <c r="E722" s="71" t="s">
        <v>623</v>
      </c>
      <c r="F722" s="71" t="s">
        <v>624</v>
      </c>
      <c r="G722" s="74">
        <v>3880</v>
      </c>
      <c r="H722" s="72">
        <v>100.000484</v>
      </c>
      <c r="I722" s="73">
        <v>388001.87792</v>
      </c>
      <c r="J722" s="72">
        <v>100</v>
      </c>
      <c r="K722" s="73">
        <v>1.87792</v>
      </c>
      <c r="L722" s="74">
        <v>0</v>
      </c>
      <c r="M722" s="73">
        <v>0</v>
      </c>
      <c r="N722" s="74">
        <v>0</v>
      </c>
      <c r="O722" s="73">
        <v>0</v>
      </c>
      <c r="P722" s="74">
        <v>3880</v>
      </c>
      <c r="Q722" s="73">
        <v>388001.87792</v>
      </c>
      <c r="R722" s="71" t="s">
        <v>625</v>
      </c>
      <c r="S722" s="71">
        <v>7414000005</v>
      </c>
      <c r="AB722"/>
      <c r="AC722"/>
    </row>
    <row r="723" spans="1:29" x14ac:dyDescent="0.25">
      <c r="A723" t="str">
        <f t="shared" si="12"/>
        <v xml:space="preserve">147311UDIBONO 311127      </v>
      </c>
      <c r="B723" s="71">
        <v>147312</v>
      </c>
      <c r="C723" s="71" t="s">
        <v>722</v>
      </c>
      <c r="D723" s="71" t="s">
        <v>556</v>
      </c>
      <c r="E723" s="71" t="s">
        <v>623</v>
      </c>
      <c r="F723" s="71" t="s">
        <v>624</v>
      </c>
      <c r="G723" s="74">
        <v>300000</v>
      </c>
      <c r="H723" s="72">
        <v>9.1534650000000006</v>
      </c>
      <c r="I723" s="73">
        <v>2746039.5</v>
      </c>
      <c r="J723" s="72">
        <v>8.9797925000000003</v>
      </c>
      <c r="K723" s="73">
        <v>52101.75</v>
      </c>
      <c r="L723" s="74">
        <v>0</v>
      </c>
      <c r="M723" s="73">
        <v>0</v>
      </c>
      <c r="N723" s="74">
        <v>0</v>
      </c>
      <c r="O723" s="73">
        <v>0</v>
      </c>
      <c r="P723" s="74">
        <v>300000</v>
      </c>
      <c r="Q723" s="73">
        <v>2746039.5</v>
      </c>
      <c r="R723" s="71" t="s">
        <v>625</v>
      </c>
      <c r="S723" s="71">
        <v>7414000005</v>
      </c>
      <c r="AB723"/>
      <c r="AC723"/>
    </row>
    <row r="724" spans="1:29" x14ac:dyDescent="0.25">
      <c r="A724" t="str">
        <f t="shared" si="12"/>
        <v xml:space="preserve">147312BLADEX 24           </v>
      </c>
      <c r="B724" s="71">
        <v>147312</v>
      </c>
      <c r="C724" s="71" t="s">
        <v>722</v>
      </c>
      <c r="D724" s="71" t="s">
        <v>554</v>
      </c>
      <c r="E724" s="71" t="s">
        <v>623</v>
      </c>
      <c r="F724" s="71" t="s">
        <v>624</v>
      </c>
      <c r="G724" s="74">
        <v>25000</v>
      </c>
      <c r="H724" s="72">
        <v>8.3813510000000004</v>
      </c>
      <c r="I724" s="73">
        <v>209533.77499999999</v>
      </c>
      <c r="J724" s="72">
        <v>8.2700011300000007</v>
      </c>
      <c r="K724" s="73">
        <v>2783.7467499999998</v>
      </c>
      <c r="L724" s="74">
        <v>0</v>
      </c>
      <c r="M724" s="73">
        <v>0</v>
      </c>
      <c r="N724" s="74">
        <v>0</v>
      </c>
      <c r="O724" s="73">
        <v>0</v>
      </c>
      <c r="P724" s="74">
        <v>25000</v>
      </c>
      <c r="Q724" s="73">
        <v>209533.77499999999</v>
      </c>
      <c r="R724" s="71" t="s">
        <v>625</v>
      </c>
      <c r="S724" s="71">
        <v>7414000005</v>
      </c>
      <c r="AB724"/>
      <c r="AC724"/>
    </row>
    <row r="725" spans="1:29" x14ac:dyDescent="0.25">
      <c r="A725" t="str">
        <f t="shared" si="12"/>
        <v xml:space="preserve">147312CETES 250206        </v>
      </c>
      <c r="B725" s="71">
        <v>147312</v>
      </c>
      <c r="C725" s="71" t="s">
        <v>722</v>
      </c>
      <c r="D725" s="71" t="s">
        <v>613</v>
      </c>
      <c r="E725" s="71" t="s">
        <v>623</v>
      </c>
      <c r="F725" s="71" t="s">
        <v>624</v>
      </c>
      <c r="G725" s="74">
        <v>37900</v>
      </c>
      <c r="H725" s="72">
        <v>8.2580650000000002</v>
      </c>
      <c r="I725" s="73">
        <v>312980.66350000002</v>
      </c>
      <c r="J725" s="72">
        <v>8.2115149400000007</v>
      </c>
      <c r="K725" s="73">
        <v>1764.2472740000001</v>
      </c>
      <c r="L725" s="74">
        <v>0</v>
      </c>
      <c r="M725" s="73">
        <v>0</v>
      </c>
      <c r="N725" s="74">
        <v>0</v>
      </c>
      <c r="O725" s="73">
        <v>0</v>
      </c>
      <c r="P725" s="74">
        <v>37900</v>
      </c>
      <c r="Q725" s="73">
        <v>312980.66350000002</v>
      </c>
      <c r="R725" s="71" t="s">
        <v>625</v>
      </c>
      <c r="S725" s="71">
        <v>7414000005</v>
      </c>
      <c r="AB725"/>
      <c r="AC725"/>
    </row>
    <row r="726" spans="1:29" x14ac:dyDescent="0.25">
      <c r="A726" t="str">
        <f t="shared" si="12"/>
        <v xml:space="preserve">147312CETES 251224        </v>
      </c>
      <c r="B726" s="71">
        <v>147312</v>
      </c>
      <c r="C726" s="71" t="s">
        <v>722</v>
      </c>
      <c r="D726" s="71" t="s">
        <v>424</v>
      </c>
      <c r="E726" s="71" t="s">
        <v>623</v>
      </c>
      <c r="F726" s="71" t="s">
        <v>624</v>
      </c>
      <c r="G726" s="74">
        <v>940</v>
      </c>
      <c r="H726" s="72">
        <v>93.248425999999995</v>
      </c>
      <c r="I726" s="73">
        <v>87653.520439999993</v>
      </c>
      <c r="J726" s="72">
        <v>97.17965882</v>
      </c>
      <c r="K726" s="73">
        <v>-3695.3588507999998</v>
      </c>
      <c r="L726" s="74">
        <v>0</v>
      </c>
      <c r="M726" s="73">
        <v>0</v>
      </c>
      <c r="N726" s="74">
        <v>0</v>
      </c>
      <c r="O726" s="73">
        <v>0</v>
      </c>
      <c r="P726" s="74">
        <v>940</v>
      </c>
      <c r="Q726" s="73">
        <v>87653.520439999993</v>
      </c>
      <c r="R726" s="71" t="s">
        <v>625</v>
      </c>
      <c r="S726" s="71">
        <v>7414000005</v>
      </c>
      <c r="AB726"/>
      <c r="AC726"/>
    </row>
    <row r="727" spans="1:29" x14ac:dyDescent="0.25">
      <c r="A727" t="str">
        <f t="shared" si="12"/>
        <v xml:space="preserve">147312CETES 260219        </v>
      </c>
      <c r="B727" s="71">
        <v>147312</v>
      </c>
      <c r="C727" s="71" t="s">
        <v>722</v>
      </c>
      <c r="D727" s="71" t="s">
        <v>366</v>
      </c>
      <c r="E727" s="71" t="s">
        <v>623</v>
      </c>
      <c r="F727" s="71" t="s">
        <v>624</v>
      </c>
      <c r="G727" s="74">
        <v>0</v>
      </c>
      <c r="H727" s="72">
        <v>0</v>
      </c>
      <c r="I727" s="73">
        <v>9580196.5500000007</v>
      </c>
      <c r="J727" s="72">
        <v>0</v>
      </c>
      <c r="K727" s="73">
        <v>0</v>
      </c>
      <c r="L727" s="74">
        <v>0</v>
      </c>
      <c r="M727" s="73">
        <v>0</v>
      </c>
      <c r="N727" s="74">
        <v>0</v>
      </c>
      <c r="O727" s="73">
        <v>0</v>
      </c>
      <c r="P727" s="74">
        <v>0</v>
      </c>
      <c r="Q727" s="73">
        <v>9580196.5500000007</v>
      </c>
      <c r="R727" s="71" t="s">
        <v>625</v>
      </c>
      <c r="S727" s="71">
        <v>7414000005</v>
      </c>
      <c r="AB727"/>
      <c r="AC727"/>
    </row>
    <row r="728" spans="1:29" x14ac:dyDescent="0.25">
      <c r="A728" t="str">
        <f t="shared" si="12"/>
        <v xml:space="preserve">147312CFE 14-2            </v>
      </c>
      <c r="B728" s="71">
        <v>147312</v>
      </c>
      <c r="C728" s="71" t="s">
        <v>722</v>
      </c>
      <c r="D728" s="71" t="s">
        <v>378</v>
      </c>
      <c r="E728" s="71" t="s">
        <v>623</v>
      </c>
      <c r="F728" s="71" t="s">
        <v>624</v>
      </c>
      <c r="G728" s="74">
        <v>2160</v>
      </c>
      <c r="H728" s="72">
        <v>91.911821000000003</v>
      </c>
      <c r="I728" s="73">
        <v>198529.53336</v>
      </c>
      <c r="J728" s="72">
        <v>100.6372491099074</v>
      </c>
      <c r="K728" s="73">
        <v>-18846.924717400001</v>
      </c>
      <c r="L728" s="74">
        <v>0</v>
      </c>
      <c r="M728" s="73">
        <v>0</v>
      </c>
      <c r="N728" s="74">
        <v>0</v>
      </c>
      <c r="O728" s="73">
        <v>0</v>
      </c>
      <c r="P728" s="74">
        <v>2160</v>
      </c>
      <c r="Q728" s="73">
        <v>198529.53336</v>
      </c>
      <c r="R728" s="71" t="s">
        <v>625</v>
      </c>
      <c r="S728" s="71">
        <v>7414000005</v>
      </c>
      <c r="AB728"/>
      <c r="AC728"/>
    </row>
    <row r="729" spans="1:29" x14ac:dyDescent="0.25">
      <c r="A729" t="str">
        <f t="shared" si="12"/>
        <v>147312EFECTIVO</v>
      </c>
      <c r="B729" s="71">
        <v>147312</v>
      </c>
      <c r="C729" s="71" t="s">
        <v>722</v>
      </c>
      <c r="D729" s="71" t="s">
        <v>379</v>
      </c>
      <c r="E729" s="71" t="s">
        <v>623</v>
      </c>
      <c r="F729" s="71" t="s">
        <v>624</v>
      </c>
      <c r="G729" s="74">
        <v>7849</v>
      </c>
      <c r="H729" s="72">
        <v>88.698122999999995</v>
      </c>
      <c r="I729" s="73">
        <v>696191.56742700003</v>
      </c>
      <c r="J729" s="72">
        <v>88.50604674849663</v>
      </c>
      <c r="K729" s="73">
        <v>1507.60649805</v>
      </c>
      <c r="L729" s="74">
        <v>0</v>
      </c>
      <c r="M729" s="73">
        <v>0</v>
      </c>
      <c r="N729" s="74">
        <v>0</v>
      </c>
      <c r="O729" s="73">
        <v>0</v>
      </c>
      <c r="P729" s="74">
        <v>7849</v>
      </c>
      <c r="Q729" s="73">
        <v>696191.56742700003</v>
      </c>
      <c r="R729" s="71" t="s">
        <v>625</v>
      </c>
      <c r="S729" s="71">
        <v>7414000005</v>
      </c>
      <c r="AB729"/>
      <c r="AC729"/>
    </row>
    <row r="730" spans="1:29" x14ac:dyDescent="0.25">
      <c r="A730" t="str">
        <f t="shared" si="12"/>
        <v xml:space="preserve">147312GOBFED 260305       </v>
      </c>
      <c r="B730" s="71">
        <v>147312</v>
      </c>
      <c r="C730" s="71" t="s">
        <v>722</v>
      </c>
      <c r="D730" s="71" t="s">
        <v>380</v>
      </c>
      <c r="E730" s="71" t="s">
        <v>623</v>
      </c>
      <c r="F730" s="71" t="s">
        <v>624</v>
      </c>
      <c r="G730" s="74">
        <v>20165</v>
      </c>
      <c r="H730" s="72">
        <v>93.314192000000006</v>
      </c>
      <c r="I730" s="73">
        <v>1881680.6816799999</v>
      </c>
      <c r="J730" s="72">
        <v>95.199862288507319</v>
      </c>
      <c r="K730" s="73">
        <v>-38024.541367749996</v>
      </c>
      <c r="L730" s="74">
        <v>0</v>
      </c>
      <c r="M730" s="73">
        <v>0</v>
      </c>
      <c r="N730" s="74">
        <v>0</v>
      </c>
      <c r="O730" s="73">
        <v>0</v>
      </c>
      <c r="P730" s="74">
        <v>20165</v>
      </c>
      <c r="Q730" s="73">
        <v>1881680.6816799999</v>
      </c>
      <c r="R730" s="71" t="s">
        <v>625</v>
      </c>
      <c r="S730" s="71">
        <v>7414000005</v>
      </c>
      <c r="AB730"/>
      <c r="AC730"/>
    </row>
    <row r="731" spans="1:29" x14ac:dyDescent="0.25">
      <c r="A731" t="str">
        <f t="shared" si="12"/>
        <v xml:space="preserve">147312GOBFED 270304       </v>
      </c>
      <c r="B731" s="71">
        <v>147312</v>
      </c>
      <c r="C731" s="71" t="s">
        <v>722</v>
      </c>
      <c r="D731" s="71" t="s">
        <v>507</v>
      </c>
      <c r="E731" s="71" t="s">
        <v>623</v>
      </c>
      <c r="F731" s="71" t="s">
        <v>624</v>
      </c>
      <c r="G731" s="74">
        <v>5590</v>
      </c>
      <c r="H731" s="72">
        <v>94.864168000000006</v>
      </c>
      <c r="I731" s="73">
        <v>530290.69912</v>
      </c>
      <c r="J731" s="72">
        <v>96.263034200000007</v>
      </c>
      <c r="K731" s="73">
        <v>-7819.6620579999999</v>
      </c>
      <c r="L731" s="74">
        <v>0</v>
      </c>
      <c r="M731" s="73">
        <v>0</v>
      </c>
      <c r="N731" s="74">
        <v>0</v>
      </c>
      <c r="O731" s="73">
        <v>0</v>
      </c>
      <c r="P731" s="74">
        <v>5590</v>
      </c>
      <c r="Q731" s="73">
        <v>530290.69912</v>
      </c>
      <c r="R731" s="71" t="s">
        <v>625</v>
      </c>
      <c r="S731" s="71">
        <v>7414000005</v>
      </c>
      <c r="AB731"/>
      <c r="AC731"/>
    </row>
    <row r="732" spans="1:29" x14ac:dyDescent="0.25">
      <c r="A732" t="str">
        <f t="shared" si="12"/>
        <v xml:space="preserve">147312GOBFED 270603       </v>
      </c>
      <c r="B732" s="71">
        <v>147312</v>
      </c>
      <c r="C732" s="71" t="s">
        <v>722</v>
      </c>
      <c r="D732" s="71" t="s">
        <v>381</v>
      </c>
      <c r="E732" s="71" t="s">
        <v>623</v>
      </c>
      <c r="F732" s="71" t="s">
        <v>624</v>
      </c>
      <c r="G732" s="74">
        <v>26794</v>
      </c>
      <c r="H732" s="72">
        <v>94.870157000000006</v>
      </c>
      <c r="I732" s="73">
        <v>2541950.9866579999</v>
      </c>
      <c r="J732" s="72">
        <v>97.14097609622975</v>
      </c>
      <c r="K732" s="73">
        <v>-60844.326864379997</v>
      </c>
      <c r="L732" s="74">
        <v>0</v>
      </c>
      <c r="M732" s="73">
        <v>0</v>
      </c>
      <c r="N732" s="74">
        <v>0</v>
      </c>
      <c r="O732" s="73">
        <v>0</v>
      </c>
      <c r="P732" s="74">
        <v>26794</v>
      </c>
      <c r="Q732" s="73">
        <v>2541950.9866579999</v>
      </c>
      <c r="R732" s="71" t="s">
        <v>625</v>
      </c>
      <c r="S732" s="71">
        <v>7414000005</v>
      </c>
      <c r="AB732"/>
      <c r="AC732"/>
    </row>
    <row r="733" spans="1:29" x14ac:dyDescent="0.25">
      <c r="A733" t="str">
        <f t="shared" si="12"/>
        <v xml:space="preserve">147312GOBFED 290301       </v>
      </c>
      <c r="B733" s="71">
        <v>147312</v>
      </c>
      <c r="C733" s="71" t="s">
        <v>722</v>
      </c>
      <c r="D733" s="71" t="s">
        <v>382</v>
      </c>
      <c r="E733" s="71" t="s">
        <v>623</v>
      </c>
      <c r="F733" s="71" t="s">
        <v>624</v>
      </c>
      <c r="G733" s="74">
        <v>36807</v>
      </c>
      <c r="H733" s="72">
        <v>89.489464999999996</v>
      </c>
      <c r="I733" s="73">
        <v>3293838.7382550002</v>
      </c>
      <c r="J733" s="72">
        <v>93.004981382727465</v>
      </c>
      <c r="K733" s="73">
        <v>-129395.61149905001</v>
      </c>
      <c r="L733" s="74">
        <v>0</v>
      </c>
      <c r="M733" s="73">
        <v>0</v>
      </c>
      <c r="N733" s="74">
        <v>0</v>
      </c>
      <c r="O733" s="73">
        <v>0</v>
      </c>
      <c r="P733" s="74">
        <v>36807</v>
      </c>
      <c r="Q733" s="73">
        <v>3293838.7382550002</v>
      </c>
      <c r="R733" s="71" t="s">
        <v>625</v>
      </c>
      <c r="S733" s="71">
        <v>7414000005</v>
      </c>
      <c r="T733" s="19"/>
      <c r="AB733"/>
      <c r="AC733"/>
    </row>
    <row r="734" spans="1:29" x14ac:dyDescent="0.25">
      <c r="A734" t="str">
        <f t="shared" si="12"/>
        <v xml:space="preserve">147312GOBFED 290531       </v>
      </c>
      <c r="B734" s="71">
        <v>147312</v>
      </c>
      <c r="C734" s="71" t="s">
        <v>722</v>
      </c>
      <c r="D734" s="71" t="s">
        <v>383</v>
      </c>
      <c r="E734" s="71" t="s">
        <v>623</v>
      </c>
      <c r="F734" s="71" t="s">
        <v>624</v>
      </c>
      <c r="G734" s="74">
        <v>27601</v>
      </c>
      <c r="H734" s="72">
        <v>86.197128000000006</v>
      </c>
      <c r="I734" s="73">
        <v>2379126.9299280001</v>
      </c>
      <c r="J734" s="72">
        <v>91.976921222622735</v>
      </c>
      <c r="K734" s="73">
        <v>-159528.07273761</v>
      </c>
      <c r="L734" s="74">
        <v>0</v>
      </c>
      <c r="M734" s="73">
        <v>0</v>
      </c>
      <c r="N734" s="74">
        <v>0</v>
      </c>
      <c r="O734" s="73">
        <v>0</v>
      </c>
      <c r="P734" s="74">
        <v>27601</v>
      </c>
      <c r="Q734" s="73">
        <v>2379126.9299280001</v>
      </c>
      <c r="R734" s="71" t="s">
        <v>625</v>
      </c>
      <c r="S734" s="71">
        <v>7414000005</v>
      </c>
      <c r="T734" s="23"/>
      <c r="AB734"/>
      <c r="AC734"/>
    </row>
    <row r="735" spans="1:29" x14ac:dyDescent="0.25">
      <c r="A735" t="str">
        <f t="shared" si="12"/>
        <v xml:space="preserve">147312GOBFED 310529       </v>
      </c>
      <c r="B735" s="71">
        <v>147312</v>
      </c>
      <c r="C735" s="71" t="s">
        <v>722</v>
      </c>
      <c r="D735" s="71" t="s">
        <v>427</v>
      </c>
      <c r="E735" s="71" t="s">
        <v>623</v>
      </c>
      <c r="F735" s="71" t="s">
        <v>624</v>
      </c>
      <c r="G735" s="74">
        <v>7712</v>
      </c>
      <c r="H735" s="72">
        <v>86.469353999999996</v>
      </c>
      <c r="I735" s="73">
        <v>666851.65804799995</v>
      </c>
      <c r="J735" s="72">
        <v>89.838096089999993</v>
      </c>
      <c r="K735" s="73">
        <v>-25979.73899808</v>
      </c>
      <c r="L735" s="74">
        <v>0</v>
      </c>
      <c r="M735" s="73">
        <v>0</v>
      </c>
      <c r="N735" s="74">
        <v>0</v>
      </c>
      <c r="O735" s="73">
        <v>0</v>
      </c>
      <c r="P735" s="74">
        <v>7712</v>
      </c>
      <c r="Q735" s="73">
        <v>666851.65804799995</v>
      </c>
      <c r="R735" s="71" t="s">
        <v>625</v>
      </c>
      <c r="S735" s="71">
        <v>7414000005</v>
      </c>
      <c r="AB735"/>
      <c r="AC735"/>
    </row>
    <row r="736" spans="1:29" x14ac:dyDescent="0.25">
      <c r="A736" t="str">
        <f t="shared" si="12"/>
        <v xml:space="preserve">147312GOBFED 330526       </v>
      </c>
      <c r="B736" s="71">
        <v>147312</v>
      </c>
      <c r="C736" s="71" t="s">
        <v>722</v>
      </c>
      <c r="D736" s="71" t="s">
        <v>429</v>
      </c>
      <c r="E736" s="71" t="s">
        <v>623</v>
      </c>
      <c r="F736" s="71" t="s">
        <v>624</v>
      </c>
      <c r="G736" s="74">
        <v>2220</v>
      </c>
      <c r="H736" s="72">
        <v>98.007834000000003</v>
      </c>
      <c r="I736" s="73">
        <v>217577.39147999999</v>
      </c>
      <c r="J736" s="72">
        <v>92.65759825148649</v>
      </c>
      <c r="K736" s="73">
        <v>11877.523361699999</v>
      </c>
      <c r="L736" s="74">
        <v>0</v>
      </c>
      <c r="M736" s="73">
        <v>0</v>
      </c>
      <c r="N736" s="74">
        <v>0</v>
      </c>
      <c r="O736" s="73">
        <v>0</v>
      </c>
      <c r="P736" s="74">
        <v>2220</v>
      </c>
      <c r="Q736" s="73">
        <v>217577.39147999999</v>
      </c>
      <c r="R736" s="71" t="s">
        <v>625</v>
      </c>
      <c r="S736" s="71">
        <v>7414000005</v>
      </c>
      <c r="AB736"/>
      <c r="AC736"/>
    </row>
    <row r="737" spans="1:29" x14ac:dyDescent="0.25">
      <c r="A737" t="str">
        <f t="shared" si="12"/>
        <v xml:space="preserve">147312GOBFED 341123       </v>
      </c>
      <c r="B737" s="71">
        <v>147312</v>
      </c>
      <c r="C737" s="71" t="s">
        <v>722</v>
      </c>
      <c r="D737" s="71" t="s">
        <v>437</v>
      </c>
      <c r="E737" s="71" t="s">
        <v>623</v>
      </c>
      <c r="F737" s="71" t="s">
        <v>624</v>
      </c>
      <c r="G737" s="74">
        <v>860</v>
      </c>
      <c r="H737" s="72">
        <v>100.38890499999999</v>
      </c>
      <c r="I737" s="73">
        <v>86334.458299999998</v>
      </c>
      <c r="J737" s="72">
        <v>91.398345289999995</v>
      </c>
      <c r="K737" s="73">
        <v>7731.8813505999997</v>
      </c>
      <c r="L737" s="74">
        <v>0</v>
      </c>
      <c r="M737" s="73">
        <v>0</v>
      </c>
      <c r="N737" s="74">
        <v>0</v>
      </c>
      <c r="O737" s="73">
        <v>0</v>
      </c>
      <c r="P737" s="74">
        <v>860</v>
      </c>
      <c r="Q737" s="73">
        <v>86334.458299999998</v>
      </c>
      <c r="R737" s="71" t="s">
        <v>625</v>
      </c>
      <c r="S737" s="71">
        <v>7414000005</v>
      </c>
      <c r="T737" s="19"/>
      <c r="AB737"/>
      <c r="AC737"/>
    </row>
    <row r="738" spans="1:29" x14ac:dyDescent="0.25">
      <c r="A738" t="str">
        <f t="shared" si="12"/>
        <v xml:space="preserve">147312PEMEX 13-2          </v>
      </c>
      <c r="B738" s="71">
        <v>147312</v>
      </c>
      <c r="C738" s="71" t="s">
        <v>722</v>
      </c>
      <c r="D738" s="71" t="s">
        <v>459</v>
      </c>
      <c r="E738" s="71" t="s">
        <v>623</v>
      </c>
      <c r="F738" s="71" t="s">
        <v>624</v>
      </c>
      <c r="G738" s="74">
        <v>2330000</v>
      </c>
      <c r="H738" s="72">
        <v>4.5848760000000004</v>
      </c>
      <c r="I738" s="73">
        <v>10682761.08</v>
      </c>
      <c r="J738" s="72">
        <v>3.4693629484978539</v>
      </c>
      <c r="K738" s="73">
        <v>2599145.41</v>
      </c>
      <c r="L738" s="74">
        <v>0</v>
      </c>
      <c r="M738" s="73">
        <v>0</v>
      </c>
      <c r="N738" s="74">
        <v>0</v>
      </c>
      <c r="O738" s="73">
        <v>0</v>
      </c>
      <c r="P738" s="74">
        <v>2330000</v>
      </c>
      <c r="Q738" s="73">
        <v>10682761.08</v>
      </c>
      <c r="R738" s="71" t="s">
        <v>625</v>
      </c>
      <c r="S738" s="71">
        <v>7414000005</v>
      </c>
      <c r="T738" s="19"/>
      <c r="AB738"/>
      <c r="AC738"/>
    </row>
    <row r="739" spans="1:29" x14ac:dyDescent="0.25">
      <c r="A739" t="str">
        <f t="shared" si="12"/>
        <v xml:space="preserve">147312PEMEX 19            </v>
      </c>
      <c r="B739" s="71">
        <v>147312</v>
      </c>
      <c r="C739" s="71" t="s">
        <v>722</v>
      </c>
      <c r="D739" s="71" t="s">
        <v>391</v>
      </c>
      <c r="E739" s="71" t="s">
        <v>623</v>
      </c>
      <c r="F739" s="71" t="s">
        <v>624</v>
      </c>
      <c r="G739" s="74">
        <v>26</v>
      </c>
      <c r="H739" s="72">
        <v>775.69178699999998</v>
      </c>
      <c r="I739" s="73">
        <v>20167.986462000001</v>
      </c>
      <c r="J739" s="72">
        <v>766.69784126000002</v>
      </c>
      <c r="K739" s="73">
        <v>233.84258924</v>
      </c>
      <c r="L739" s="74">
        <v>0</v>
      </c>
      <c r="M739" s="73">
        <v>0</v>
      </c>
      <c r="N739" s="74">
        <v>0</v>
      </c>
      <c r="O739" s="73">
        <v>0</v>
      </c>
      <c r="P739" s="74">
        <v>26</v>
      </c>
      <c r="Q739" s="73">
        <v>20167.986462000001</v>
      </c>
      <c r="R739" s="71" t="s">
        <v>625</v>
      </c>
      <c r="S739" s="71">
        <v>7414000005</v>
      </c>
      <c r="T739" s="19"/>
      <c r="AB739"/>
      <c r="AC739"/>
    </row>
    <row r="740" spans="1:29" x14ac:dyDescent="0.25">
      <c r="A740" t="str">
        <f t="shared" si="12"/>
        <v xml:space="preserve">147312STER-OP ED          </v>
      </c>
      <c r="B740" s="71">
        <v>147312</v>
      </c>
      <c r="C740" s="71" t="s">
        <v>722</v>
      </c>
      <c r="D740" s="71" t="s">
        <v>393</v>
      </c>
      <c r="E740" s="71" t="s">
        <v>623</v>
      </c>
      <c r="F740" s="71" t="s">
        <v>624</v>
      </c>
      <c r="G740" s="74">
        <v>9</v>
      </c>
      <c r="H740" s="72">
        <v>765.92388300000005</v>
      </c>
      <c r="I740" s="73">
        <v>6893.3149469999998</v>
      </c>
      <c r="J740" s="72">
        <v>762.50221063000004</v>
      </c>
      <c r="K740" s="73">
        <v>30.79505133</v>
      </c>
      <c r="L740" s="74">
        <v>0</v>
      </c>
      <c r="M740" s="73">
        <v>0</v>
      </c>
      <c r="N740" s="74">
        <v>0</v>
      </c>
      <c r="O740" s="73">
        <v>0</v>
      </c>
      <c r="P740" s="74">
        <v>9</v>
      </c>
      <c r="Q740" s="73">
        <v>6893.3149469999998</v>
      </c>
      <c r="R740" s="71" t="s">
        <v>625</v>
      </c>
      <c r="S740" s="71">
        <v>7414000005</v>
      </c>
      <c r="T740" s="19"/>
      <c r="AB740"/>
      <c r="AC740"/>
    </row>
    <row r="741" spans="1:29" x14ac:dyDescent="0.25">
      <c r="A741" t="str">
        <f t="shared" si="12"/>
        <v xml:space="preserve">147312UDIBONO 251204      </v>
      </c>
      <c r="B741" s="71">
        <v>147312</v>
      </c>
      <c r="C741" s="71" t="s">
        <v>722</v>
      </c>
      <c r="D741" s="71" t="s">
        <v>394</v>
      </c>
      <c r="E741" s="71" t="s">
        <v>623</v>
      </c>
      <c r="F741" s="71" t="s">
        <v>624</v>
      </c>
      <c r="G741" s="74">
        <v>320</v>
      </c>
      <c r="H741" s="72">
        <v>684.88915799999995</v>
      </c>
      <c r="I741" s="73">
        <v>219164.53056000001</v>
      </c>
      <c r="J741" s="72">
        <v>700.97292315000004</v>
      </c>
      <c r="K741" s="73">
        <v>-5146.8048479999998</v>
      </c>
      <c r="L741" s="74">
        <v>0</v>
      </c>
      <c r="M741" s="73">
        <v>0</v>
      </c>
      <c r="N741" s="74">
        <v>0</v>
      </c>
      <c r="O741" s="73">
        <v>0</v>
      </c>
      <c r="P741" s="74">
        <v>320</v>
      </c>
      <c r="Q741" s="73">
        <v>219164.53056000001</v>
      </c>
      <c r="R741" s="71" t="s">
        <v>625</v>
      </c>
      <c r="S741" s="71">
        <v>7414000005</v>
      </c>
      <c r="AB741"/>
      <c r="AC741"/>
    </row>
    <row r="742" spans="1:29" x14ac:dyDescent="0.25">
      <c r="A742" t="str">
        <f t="shared" si="12"/>
        <v xml:space="preserve">147312UDIBONO 281130      </v>
      </c>
      <c r="B742" s="71">
        <v>147313</v>
      </c>
      <c r="C742" s="71" t="s">
        <v>723</v>
      </c>
      <c r="D742" s="71" t="s">
        <v>552</v>
      </c>
      <c r="E742" s="71" t="s">
        <v>623</v>
      </c>
      <c r="F742" s="71" t="s">
        <v>624</v>
      </c>
      <c r="G742" s="74">
        <v>2820</v>
      </c>
      <c r="H742" s="72">
        <v>100.000484</v>
      </c>
      <c r="I742" s="73">
        <v>282001.36488000001</v>
      </c>
      <c r="J742" s="72">
        <v>100</v>
      </c>
      <c r="K742" s="73">
        <v>1.3648800000000001</v>
      </c>
      <c r="L742" s="74">
        <v>0</v>
      </c>
      <c r="M742" s="73">
        <v>0</v>
      </c>
      <c r="N742" s="74">
        <v>0</v>
      </c>
      <c r="O742" s="73">
        <v>0</v>
      </c>
      <c r="P742" s="74">
        <v>2820</v>
      </c>
      <c r="Q742" s="73">
        <v>282001.36488000001</v>
      </c>
      <c r="R742" s="71" t="s">
        <v>625</v>
      </c>
      <c r="S742" s="71">
        <v>7414000005</v>
      </c>
      <c r="AB742"/>
      <c r="AC742"/>
    </row>
    <row r="743" spans="1:29" x14ac:dyDescent="0.25">
      <c r="A743" t="str">
        <f t="shared" si="12"/>
        <v xml:space="preserve">147312UDIBONO 311127      </v>
      </c>
      <c r="B743" s="71">
        <v>147313</v>
      </c>
      <c r="C743" s="71" t="s">
        <v>723</v>
      </c>
      <c r="D743" s="71" t="s">
        <v>471</v>
      </c>
      <c r="E743" s="71" t="s">
        <v>623</v>
      </c>
      <c r="F743" s="71" t="s">
        <v>624</v>
      </c>
      <c r="G743" s="74">
        <v>0</v>
      </c>
      <c r="H743" s="72">
        <v>0</v>
      </c>
      <c r="I743" s="73">
        <v>0</v>
      </c>
      <c r="J743" s="72">
        <v>0</v>
      </c>
      <c r="K743" s="73">
        <v>0</v>
      </c>
      <c r="L743" s="74">
        <v>0</v>
      </c>
      <c r="M743" s="73">
        <v>0</v>
      </c>
      <c r="N743" s="74">
        <v>0</v>
      </c>
      <c r="O743" s="73">
        <v>0</v>
      </c>
      <c r="P743" s="74">
        <v>0</v>
      </c>
      <c r="Q743" s="73">
        <v>0</v>
      </c>
      <c r="R743" s="71" t="s">
        <v>625</v>
      </c>
      <c r="S743" s="71">
        <v>7414000005</v>
      </c>
      <c r="T743" s="19"/>
      <c r="AB743"/>
      <c r="AC743"/>
    </row>
    <row r="744" spans="1:29" x14ac:dyDescent="0.25">
      <c r="A744" t="str">
        <f t="shared" si="12"/>
        <v xml:space="preserve">147313BLADEX 24           </v>
      </c>
      <c r="B744" s="71">
        <v>147313</v>
      </c>
      <c r="C744" s="71" t="s">
        <v>723</v>
      </c>
      <c r="D744" s="71" t="s">
        <v>543</v>
      </c>
      <c r="E744" s="71" t="s">
        <v>623</v>
      </c>
      <c r="F744" s="71" t="s">
        <v>624</v>
      </c>
      <c r="G744" s="74">
        <v>171975</v>
      </c>
      <c r="H744" s="72">
        <v>8.5044190000000004</v>
      </c>
      <c r="I744" s="73">
        <v>1462547.457525</v>
      </c>
      <c r="J744" s="72">
        <v>8.3071887600000007</v>
      </c>
      <c r="K744" s="73">
        <v>33918.670524000001</v>
      </c>
      <c r="L744" s="74">
        <v>0</v>
      </c>
      <c r="M744" s="73">
        <v>0</v>
      </c>
      <c r="N744" s="74">
        <v>0</v>
      </c>
      <c r="O744" s="73">
        <v>0</v>
      </c>
      <c r="P744" s="74">
        <v>171975</v>
      </c>
      <c r="Q744" s="73">
        <v>1462547.457525</v>
      </c>
      <c r="R744" s="71" t="s">
        <v>625</v>
      </c>
      <c r="S744" s="71">
        <v>7414000005</v>
      </c>
      <c r="T744" s="19"/>
      <c r="AB744"/>
      <c r="AC744"/>
    </row>
    <row r="745" spans="1:29" x14ac:dyDescent="0.25">
      <c r="A745" t="str">
        <f t="shared" si="12"/>
        <v xml:space="preserve">147313CETES 230601        </v>
      </c>
      <c r="B745" s="71">
        <v>147313</v>
      </c>
      <c r="C745" s="71" t="s">
        <v>723</v>
      </c>
      <c r="D745" s="71" t="s">
        <v>554</v>
      </c>
      <c r="E745" s="71" t="s">
        <v>623</v>
      </c>
      <c r="F745" s="71" t="s">
        <v>624</v>
      </c>
      <c r="G745" s="74">
        <v>237940</v>
      </c>
      <c r="H745" s="72">
        <v>8.3813510000000004</v>
      </c>
      <c r="I745" s="73">
        <v>1994258.6569399999</v>
      </c>
      <c r="J745" s="72">
        <v>8.2713784227645633</v>
      </c>
      <c r="K745" s="73">
        <v>26166.875027400001</v>
      </c>
      <c r="L745" s="74">
        <v>0</v>
      </c>
      <c r="M745" s="73">
        <v>0</v>
      </c>
      <c r="N745" s="74">
        <v>0</v>
      </c>
      <c r="O745" s="73">
        <v>0</v>
      </c>
      <c r="P745" s="74">
        <v>237940</v>
      </c>
      <c r="Q745" s="73">
        <v>1994258.6569399999</v>
      </c>
      <c r="R745" s="71" t="s">
        <v>625</v>
      </c>
      <c r="S745" s="71">
        <v>7414000005</v>
      </c>
      <c r="T745" s="19"/>
      <c r="AB745"/>
      <c r="AC745"/>
    </row>
    <row r="746" spans="1:29" x14ac:dyDescent="0.25">
      <c r="A746" t="str">
        <f t="shared" si="12"/>
        <v xml:space="preserve">147313CETES 251030        </v>
      </c>
      <c r="B746" s="71">
        <v>147313</v>
      </c>
      <c r="C746" s="71" t="s">
        <v>723</v>
      </c>
      <c r="D746" s="71" t="s">
        <v>613</v>
      </c>
      <c r="E746" s="71" t="s">
        <v>623</v>
      </c>
      <c r="F746" s="71" t="s">
        <v>624</v>
      </c>
      <c r="G746" s="74">
        <v>133000</v>
      </c>
      <c r="H746" s="72">
        <v>8.2580650000000002</v>
      </c>
      <c r="I746" s="73">
        <v>1098322.645</v>
      </c>
      <c r="J746" s="72">
        <v>8.2405797294736836</v>
      </c>
      <c r="K746" s="73">
        <v>2325.5409800000002</v>
      </c>
      <c r="L746" s="74">
        <v>0</v>
      </c>
      <c r="M746" s="73">
        <v>0</v>
      </c>
      <c r="N746" s="74">
        <v>0</v>
      </c>
      <c r="O746" s="73">
        <v>0</v>
      </c>
      <c r="P746" s="74">
        <v>133000</v>
      </c>
      <c r="Q746" s="73">
        <v>1098322.645</v>
      </c>
      <c r="R746" s="71" t="s">
        <v>625</v>
      </c>
      <c r="S746" s="71">
        <v>7414000005</v>
      </c>
      <c r="T746" s="19"/>
      <c r="AB746"/>
      <c r="AC746"/>
    </row>
    <row r="747" spans="1:29" x14ac:dyDescent="0.25">
      <c r="A747" t="str">
        <f t="shared" si="12"/>
        <v xml:space="preserve">147313CETES 251224        </v>
      </c>
      <c r="B747" s="71">
        <v>147313</v>
      </c>
      <c r="C747" s="71" t="s">
        <v>723</v>
      </c>
      <c r="D747" s="71" t="s">
        <v>366</v>
      </c>
      <c r="E747" s="71" t="s">
        <v>623</v>
      </c>
      <c r="F747" s="71" t="s">
        <v>624</v>
      </c>
      <c r="G747" s="74">
        <v>0</v>
      </c>
      <c r="H747" s="72">
        <v>0</v>
      </c>
      <c r="I747" s="73">
        <v>488325.78</v>
      </c>
      <c r="J747" s="72">
        <v>0</v>
      </c>
      <c r="K747" s="73">
        <v>0</v>
      </c>
      <c r="L747" s="74">
        <v>0</v>
      </c>
      <c r="M747" s="73">
        <v>0</v>
      </c>
      <c r="N747" s="74">
        <v>0</v>
      </c>
      <c r="O747" s="73">
        <v>0</v>
      </c>
      <c r="P747" s="74">
        <v>0</v>
      </c>
      <c r="Q747" s="73">
        <v>488325.78</v>
      </c>
      <c r="R747" s="71" t="s">
        <v>625</v>
      </c>
      <c r="S747" s="71">
        <v>7414000005</v>
      </c>
      <c r="AB747"/>
      <c r="AC747"/>
    </row>
    <row r="748" spans="1:29" x14ac:dyDescent="0.25">
      <c r="A748" t="str">
        <f t="shared" si="12"/>
        <v xml:space="preserve">147313CETES 260219        </v>
      </c>
      <c r="B748" s="71">
        <v>147313</v>
      </c>
      <c r="C748" s="71" t="s">
        <v>723</v>
      </c>
      <c r="D748" s="71" t="s">
        <v>375</v>
      </c>
      <c r="E748" s="71" t="s">
        <v>623</v>
      </c>
      <c r="F748" s="71" t="s">
        <v>624</v>
      </c>
      <c r="G748" s="74">
        <v>2736</v>
      </c>
      <c r="H748" s="72">
        <v>98.730349000000004</v>
      </c>
      <c r="I748" s="73">
        <v>270126.234864</v>
      </c>
      <c r="J748" s="72">
        <v>111.89286593999999</v>
      </c>
      <c r="K748" s="73">
        <v>-36012.646347839996</v>
      </c>
      <c r="L748" s="74">
        <v>0</v>
      </c>
      <c r="M748" s="73">
        <v>0</v>
      </c>
      <c r="N748" s="74">
        <v>0</v>
      </c>
      <c r="O748" s="73">
        <v>0</v>
      </c>
      <c r="P748" s="74">
        <v>2736</v>
      </c>
      <c r="Q748" s="73">
        <v>270126.234864</v>
      </c>
      <c r="R748" s="71" t="s">
        <v>625</v>
      </c>
      <c r="S748" s="71">
        <v>7414000005</v>
      </c>
      <c r="AB748"/>
      <c r="AC748"/>
    </row>
    <row r="749" spans="1:29" x14ac:dyDescent="0.25">
      <c r="A749" t="str">
        <f t="shared" si="12"/>
        <v>147313EFECTIVO</v>
      </c>
      <c r="B749" s="71">
        <v>147313</v>
      </c>
      <c r="C749" s="71" t="s">
        <v>723</v>
      </c>
      <c r="D749" s="71" t="s">
        <v>376</v>
      </c>
      <c r="E749" s="71" t="s">
        <v>623</v>
      </c>
      <c r="F749" s="71" t="s">
        <v>624</v>
      </c>
      <c r="G749" s="74">
        <v>17830</v>
      </c>
      <c r="H749" s="72">
        <v>99.247497999999993</v>
      </c>
      <c r="I749" s="73">
        <v>1769582.88934</v>
      </c>
      <c r="J749" s="72">
        <v>116.71045514946719</v>
      </c>
      <c r="K749" s="73">
        <v>-311364.525975</v>
      </c>
      <c r="L749" s="74">
        <v>0</v>
      </c>
      <c r="M749" s="73">
        <v>0</v>
      </c>
      <c r="N749" s="74">
        <v>0</v>
      </c>
      <c r="O749" s="73">
        <v>0</v>
      </c>
      <c r="P749" s="74">
        <v>17830</v>
      </c>
      <c r="Q749" s="73">
        <v>1769582.88934</v>
      </c>
      <c r="R749" s="71" t="s">
        <v>625</v>
      </c>
      <c r="S749" s="71">
        <v>7414000005</v>
      </c>
      <c r="T749" s="19"/>
      <c r="AB749"/>
      <c r="AC749"/>
    </row>
    <row r="750" spans="1:29" x14ac:dyDescent="0.25">
      <c r="A750" t="str">
        <f t="shared" si="12"/>
        <v xml:space="preserve">147313GOBFED 240905       </v>
      </c>
      <c r="B750" s="71">
        <v>147313</v>
      </c>
      <c r="C750" s="71" t="s">
        <v>723</v>
      </c>
      <c r="D750" s="71" t="s">
        <v>377</v>
      </c>
      <c r="E750" s="71" t="s">
        <v>623</v>
      </c>
      <c r="F750" s="71" t="s">
        <v>624</v>
      </c>
      <c r="G750" s="74">
        <v>7071</v>
      </c>
      <c r="H750" s="72">
        <v>94.973146999999997</v>
      </c>
      <c r="I750" s="73">
        <v>671555.12243700004</v>
      </c>
      <c r="J750" s="72">
        <v>90.560310748128984</v>
      </c>
      <c r="K750" s="73">
        <v>31203.165136979998</v>
      </c>
      <c r="L750" s="74">
        <v>0</v>
      </c>
      <c r="M750" s="73">
        <v>0</v>
      </c>
      <c r="N750" s="74">
        <v>0</v>
      </c>
      <c r="O750" s="73">
        <v>0</v>
      </c>
      <c r="P750" s="74">
        <v>7071</v>
      </c>
      <c r="Q750" s="73">
        <v>671555.12243700004</v>
      </c>
      <c r="R750" s="71" t="s">
        <v>625</v>
      </c>
      <c r="S750" s="71">
        <v>7414000005</v>
      </c>
      <c r="AB750"/>
      <c r="AC750"/>
    </row>
    <row r="751" spans="1:29" x14ac:dyDescent="0.25">
      <c r="A751" t="str">
        <f t="shared" si="12"/>
        <v xml:space="preserve">147313GOBFED 241205       </v>
      </c>
      <c r="B751" s="71">
        <v>147313</v>
      </c>
      <c r="C751" s="71" t="s">
        <v>723</v>
      </c>
      <c r="D751" s="71" t="s">
        <v>378</v>
      </c>
      <c r="E751" s="71" t="s">
        <v>623</v>
      </c>
      <c r="F751" s="71" t="s">
        <v>624</v>
      </c>
      <c r="G751" s="74">
        <v>37048</v>
      </c>
      <c r="H751" s="72">
        <v>91.911821000000003</v>
      </c>
      <c r="I751" s="73">
        <v>3405149.1444080002</v>
      </c>
      <c r="J751" s="72">
        <v>90.749888678419353</v>
      </c>
      <c r="K751" s="73">
        <v>43047.268649919999</v>
      </c>
      <c r="L751" s="74">
        <v>0</v>
      </c>
      <c r="M751" s="73">
        <v>0</v>
      </c>
      <c r="N751" s="74">
        <v>0</v>
      </c>
      <c r="O751" s="73">
        <v>0</v>
      </c>
      <c r="P751" s="74">
        <v>37048</v>
      </c>
      <c r="Q751" s="73">
        <v>3405149.1444080002</v>
      </c>
      <c r="R751" s="71" t="s">
        <v>625</v>
      </c>
      <c r="S751" s="71">
        <v>7414000005</v>
      </c>
      <c r="AB751"/>
      <c r="AC751"/>
    </row>
    <row r="752" spans="1:29" x14ac:dyDescent="0.25">
      <c r="A752" t="str">
        <f t="shared" si="12"/>
        <v xml:space="preserve">147313GOBFED 250306       </v>
      </c>
      <c r="B752" s="71">
        <v>147313</v>
      </c>
      <c r="C752" s="71" t="s">
        <v>723</v>
      </c>
      <c r="D752" s="71" t="s">
        <v>499</v>
      </c>
      <c r="E752" s="71" t="s">
        <v>623</v>
      </c>
      <c r="F752" s="71" t="s">
        <v>624</v>
      </c>
      <c r="G752" s="74">
        <v>69530</v>
      </c>
      <c r="H752" s="72">
        <v>92.954503000000003</v>
      </c>
      <c r="I752" s="73">
        <v>6463126.5935899997</v>
      </c>
      <c r="J752" s="72">
        <v>93.271311902296844</v>
      </c>
      <c r="K752" s="73">
        <v>-22027.722976699999</v>
      </c>
      <c r="L752" s="74">
        <v>0</v>
      </c>
      <c r="M752" s="73">
        <v>0</v>
      </c>
      <c r="N752" s="74">
        <v>0</v>
      </c>
      <c r="O752" s="73">
        <v>0</v>
      </c>
      <c r="P752" s="74">
        <v>69530</v>
      </c>
      <c r="Q752" s="73">
        <v>6463126.5935899997</v>
      </c>
      <c r="R752" s="71" t="s">
        <v>625</v>
      </c>
      <c r="S752" s="71">
        <v>7414000005</v>
      </c>
      <c r="AB752"/>
      <c r="AC752"/>
    </row>
    <row r="753" spans="1:29" x14ac:dyDescent="0.25">
      <c r="A753" t="str">
        <f t="shared" si="12"/>
        <v xml:space="preserve">147313GOBFED 260305       </v>
      </c>
      <c r="B753" s="71">
        <v>147313</v>
      </c>
      <c r="C753" s="71" t="s">
        <v>723</v>
      </c>
      <c r="D753" s="71" t="s">
        <v>379</v>
      </c>
      <c r="E753" s="71" t="s">
        <v>623</v>
      </c>
      <c r="F753" s="71" t="s">
        <v>624</v>
      </c>
      <c r="G753" s="74">
        <v>26275</v>
      </c>
      <c r="H753" s="72">
        <v>88.698122999999995</v>
      </c>
      <c r="I753" s="73">
        <v>2330543.1818249999</v>
      </c>
      <c r="J753" s="72">
        <v>88.29884983774501</v>
      </c>
      <c r="K753" s="73">
        <v>10490.90233825</v>
      </c>
      <c r="L753" s="74">
        <v>0</v>
      </c>
      <c r="M753" s="73">
        <v>0</v>
      </c>
      <c r="N753" s="74">
        <v>0</v>
      </c>
      <c r="O753" s="73">
        <v>0</v>
      </c>
      <c r="P753" s="74">
        <v>26275</v>
      </c>
      <c r="Q753" s="73">
        <v>2330543.1818249999</v>
      </c>
      <c r="R753" s="71" t="s">
        <v>625</v>
      </c>
      <c r="S753" s="71">
        <v>7414000005</v>
      </c>
      <c r="T753" s="19"/>
      <c r="AB753"/>
      <c r="AC753"/>
    </row>
    <row r="754" spans="1:29" x14ac:dyDescent="0.25">
      <c r="A754" t="str">
        <f t="shared" si="12"/>
        <v xml:space="preserve">147313GOBFED 260903       </v>
      </c>
      <c r="B754" s="71">
        <v>147313</v>
      </c>
      <c r="C754" s="71" t="s">
        <v>723</v>
      </c>
      <c r="D754" s="71" t="s">
        <v>380</v>
      </c>
      <c r="E754" s="71" t="s">
        <v>623</v>
      </c>
      <c r="F754" s="71" t="s">
        <v>624</v>
      </c>
      <c r="G754" s="74">
        <v>23960</v>
      </c>
      <c r="H754" s="72">
        <v>93.314192000000006</v>
      </c>
      <c r="I754" s="73">
        <v>2235808.0403200001</v>
      </c>
      <c r="J754" s="72">
        <v>93.347298033418198</v>
      </c>
      <c r="K754" s="73">
        <v>-793.22056069999996</v>
      </c>
      <c r="L754" s="74">
        <v>0</v>
      </c>
      <c r="M754" s="73">
        <v>0</v>
      </c>
      <c r="N754" s="74">
        <v>0</v>
      </c>
      <c r="O754" s="73">
        <v>0</v>
      </c>
      <c r="P754" s="74">
        <v>23960</v>
      </c>
      <c r="Q754" s="73">
        <v>2235808.0403200001</v>
      </c>
      <c r="R754" s="71" t="s">
        <v>625</v>
      </c>
      <c r="S754" s="71">
        <v>7414000005</v>
      </c>
      <c r="AB754"/>
      <c r="AC754"/>
    </row>
    <row r="755" spans="1:29" x14ac:dyDescent="0.25">
      <c r="A755" t="str">
        <f t="shared" si="12"/>
        <v xml:space="preserve">147313GOBFED 270304       </v>
      </c>
      <c r="B755" s="71">
        <v>147313</v>
      </c>
      <c r="C755" s="71" t="s">
        <v>723</v>
      </c>
      <c r="D755" s="71" t="s">
        <v>382</v>
      </c>
      <c r="E755" s="71" t="s">
        <v>623</v>
      </c>
      <c r="F755" s="71" t="s">
        <v>624</v>
      </c>
      <c r="G755" s="74">
        <v>0</v>
      </c>
      <c r="H755" s="72">
        <v>0</v>
      </c>
      <c r="I755" s="73">
        <v>0</v>
      </c>
      <c r="J755" s="72">
        <v>0</v>
      </c>
      <c r="K755" s="73">
        <v>0</v>
      </c>
      <c r="L755" s="74">
        <v>0</v>
      </c>
      <c r="M755" s="73">
        <v>0</v>
      </c>
      <c r="N755" s="74">
        <v>0</v>
      </c>
      <c r="O755" s="73">
        <v>0</v>
      </c>
      <c r="P755" s="74">
        <v>0</v>
      </c>
      <c r="Q755" s="73">
        <v>0</v>
      </c>
      <c r="R755" s="71" t="s">
        <v>625</v>
      </c>
      <c r="S755" s="71">
        <v>7414000005</v>
      </c>
      <c r="AB755"/>
      <c r="AC755"/>
    </row>
    <row r="756" spans="1:29" x14ac:dyDescent="0.25">
      <c r="A756" t="str">
        <f t="shared" si="12"/>
        <v xml:space="preserve">147313GOBFED 270603       </v>
      </c>
      <c r="B756" s="71">
        <v>147313</v>
      </c>
      <c r="C756" s="71" t="s">
        <v>723</v>
      </c>
      <c r="D756" s="71" t="s">
        <v>429</v>
      </c>
      <c r="E756" s="71" t="s">
        <v>623</v>
      </c>
      <c r="F756" s="71" t="s">
        <v>624</v>
      </c>
      <c r="G756" s="74">
        <v>1530</v>
      </c>
      <c r="H756" s="72">
        <v>98.007834000000003</v>
      </c>
      <c r="I756" s="73">
        <v>149951.98602000001</v>
      </c>
      <c r="J756" s="72">
        <v>93.280048030000003</v>
      </c>
      <c r="K756" s="73">
        <v>7233.5125341000003</v>
      </c>
      <c r="L756" s="74">
        <v>0</v>
      </c>
      <c r="M756" s="73">
        <v>0</v>
      </c>
      <c r="N756" s="74">
        <v>0</v>
      </c>
      <c r="O756" s="73">
        <v>0</v>
      </c>
      <c r="P756" s="74">
        <v>1530</v>
      </c>
      <c r="Q756" s="73">
        <v>149951.98602000001</v>
      </c>
      <c r="R756" s="71" t="s">
        <v>625</v>
      </c>
      <c r="S756" s="71">
        <v>7414000005</v>
      </c>
      <c r="AB756"/>
      <c r="AC756"/>
    </row>
    <row r="757" spans="1:29" x14ac:dyDescent="0.25">
      <c r="A757" t="str">
        <f t="shared" si="12"/>
        <v xml:space="preserve">147313GOBFED 310529       </v>
      </c>
      <c r="B757" s="71">
        <v>147313</v>
      </c>
      <c r="C757" s="71" t="s">
        <v>723</v>
      </c>
      <c r="D757" s="71" t="s">
        <v>437</v>
      </c>
      <c r="E757" s="71" t="s">
        <v>623</v>
      </c>
      <c r="F757" s="71" t="s">
        <v>624</v>
      </c>
      <c r="G757" s="74">
        <v>6200</v>
      </c>
      <c r="H757" s="72">
        <v>100.38890499999999</v>
      </c>
      <c r="I757" s="73">
        <v>622411.21100000001</v>
      </c>
      <c r="J757" s="72">
        <v>91.398345289999995</v>
      </c>
      <c r="K757" s="73">
        <v>55741.470201999997</v>
      </c>
      <c r="L757" s="74">
        <v>0</v>
      </c>
      <c r="M757" s="73">
        <v>0</v>
      </c>
      <c r="N757" s="74">
        <v>0</v>
      </c>
      <c r="O757" s="73">
        <v>0</v>
      </c>
      <c r="P757" s="74">
        <v>6200</v>
      </c>
      <c r="Q757" s="73">
        <v>622411.21100000001</v>
      </c>
      <c r="R757" s="71" t="s">
        <v>625</v>
      </c>
      <c r="S757" s="71">
        <v>7414000005</v>
      </c>
      <c r="T757" s="19"/>
      <c r="X757" s="20"/>
      <c r="AB757"/>
      <c r="AC757"/>
    </row>
    <row r="758" spans="1:29" x14ac:dyDescent="0.25">
      <c r="A758" t="str">
        <f t="shared" si="12"/>
        <v xml:space="preserve">147313PEMEX 13-2          </v>
      </c>
      <c r="B758" s="71">
        <v>147313</v>
      </c>
      <c r="C758" s="71" t="s">
        <v>723</v>
      </c>
      <c r="D758" s="71" t="s">
        <v>472</v>
      </c>
      <c r="E758" s="71" t="s">
        <v>623</v>
      </c>
      <c r="F758" s="71" t="s">
        <v>624</v>
      </c>
      <c r="G758" s="74">
        <v>1050000</v>
      </c>
      <c r="H758" s="72">
        <v>4.1069599999999999</v>
      </c>
      <c r="I758" s="73">
        <v>4312308</v>
      </c>
      <c r="J758" s="72">
        <v>3.1698389523809523</v>
      </c>
      <c r="K758" s="73">
        <v>983977.1</v>
      </c>
      <c r="L758" s="74">
        <v>0</v>
      </c>
      <c r="M758" s="73">
        <v>0</v>
      </c>
      <c r="N758" s="74">
        <v>0</v>
      </c>
      <c r="O758" s="73">
        <v>0</v>
      </c>
      <c r="P758" s="74">
        <v>1050000</v>
      </c>
      <c r="Q758" s="73">
        <v>4312308</v>
      </c>
      <c r="R758" s="71" t="s">
        <v>625</v>
      </c>
      <c r="S758" s="71">
        <v>7414000005</v>
      </c>
      <c r="X758" s="20"/>
      <c r="AB758"/>
      <c r="AC758"/>
    </row>
    <row r="759" spans="1:29" x14ac:dyDescent="0.25">
      <c r="A759" t="str">
        <f t="shared" si="12"/>
        <v xml:space="preserve">147313PEMEX 19            </v>
      </c>
      <c r="B759" s="71">
        <v>147313</v>
      </c>
      <c r="C759" s="71" t="s">
        <v>723</v>
      </c>
      <c r="D759" s="71" t="s">
        <v>392</v>
      </c>
      <c r="E759" s="71" t="s">
        <v>623</v>
      </c>
      <c r="F759" s="71" t="s">
        <v>624</v>
      </c>
      <c r="G759" s="74">
        <v>3</v>
      </c>
      <c r="H759" s="72">
        <v>747.17843200000004</v>
      </c>
      <c r="I759" s="73">
        <v>2241.535296</v>
      </c>
      <c r="J759" s="72">
        <v>730.99471579999999</v>
      </c>
      <c r="K759" s="73">
        <v>48.551148599999998</v>
      </c>
      <c r="L759" s="74">
        <v>0</v>
      </c>
      <c r="M759" s="73">
        <v>0</v>
      </c>
      <c r="N759" s="74">
        <v>0</v>
      </c>
      <c r="O759" s="73">
        <v>0</v>
      </c>
      <c r="P759" s="74">
        <v>3</v>
      </c>
      <c r="Q759" s="73">
        <v>2241.535296</v>
      </c>
      <c r="R759" s="71" t="s">
        <v>625</v>
      </c>
      <c r="S759" s="71">
        <v>7414000005</v>
      </c>
      <c r="T759" s="19"/>
      <c r="AB759"/>
      <c r="AC759"/>
    </row>
    <row r="760" spans="1:29" x14ac:dyDescent="0.25">
      <c r="A760" t="str">
        <f t="shared" si="12"/>
        <v xml:space="preserve">147313STER-OP E2          </v>
      </c>
      <c r="B760" s="71">
        <v>147314</v>
      </c>
      <c r="C760" s="71" t="s">
        <v>724</v>
      </c>
      <c r="D760" s="71" t="s">
        <v>552</v>
      </c>
      <c r="E760" s="71" t="s">
        <v>623</v>
      </c>
      <c r="F760" s="71" t="s">
        <v>624</v>
      </c>
      <c r="G760" s="74">
        <v>147110</v>
      </c>
      <c r="H760" s="72">
        <v>100.000484</v>
      </c>
      <c r="I760" s="73">
        <v>14711071.201239999</v>
      </c>
      <c r="J760" s="72">
        <v>100</v>
      </c>
      <c r="K760" s="73">
        <v>71.201239999999999</v>
      </c>
      <c r="L760" s="74">
        <v>0</v>
      </c>
      <c r="M760" s="73">
        <v>0</v>
      </c>
      <c r="N760" s="74">
        <v>0</v>
      </c>
      <c r="O760" s="73">
        <v>0</v>
      </c>
      <c r="P760" s="74">
        <v>147110</v>
      </c>
      <c r="Q760" s="73">
        <v>14711071.201239999</v>
      </c>
      <c r="R760" s="71" t="s">
        <v>625</v>
      </c>
      <c r="S760" s="71">
        <v>7414000005</v>
      </c>
      <c r="T760" s="19"/>
      <c r="AB760"/>
      <c r="AC760"/>
    </row>
    <row r="761" spans="1:29" x14ac:dyDescent="0.25">
      <c r="A761" t="str">
        <f t="shared" si="12"/>
        <v xml:space="preserve">147313UDIBONO 261203      </v>
      </c>
      <c r="B761" s="71">
        <v>147314</v>
      </c>
      <c r="C761" s="71" t="s">
        <v>724</v>
      </c>
      <c r="D761" s="71" t="s">
        <v>471</v>
      </c>
      <c r="E761" s="71" t="s">
        <v>623</v>
      </c>
      <c r="F761" s="71" t="s">
        <v>624</v>
      </c>
      <c r="G761" s="74">
        <v>0</v>
      </c>
      <c r="H761" s="72">
        <v>0</v>
      </c>
      <c r="I761" s="73">
        <v>0</v>
      </c>
      <c r="J761" s="72">
        <v>0</v>
      </c>
      <c r="K761" s="73">
        <v>0</v>
      </c>
      <c r="L761" s="74">
        <v>0</v>
      </c>
      <c r="M761" s="73">
        <v>0</v>
      </c>
      <c r="N761" s="74">
        <v>0</v>
      </c>
      <c r="O761" s="73">
        <v>0</v>
      </c>
      <c r="P761" s="74">
        <v>0</v>
      </c>
      <c r="Q761" s="73">
        <v>0</v>
      </c>
      <c r="R761" s="71" t="s">
        <v>625</v>
      </c>
      <c r="S761" s="71">
        <v>7414000005</v>
      </c>
      <c r="AB761"/>
      <c r="AC761"/>
    </row>
    <row r="762" spans="1:29" x14ac:dyDescent="0.25">
      <c r="A762" t="str">
        <f t="shared" si="12"/>
        <v xml:space="preserve">147314BLADEX 24           </v>
      </c>
      <c r="B762" s="71">
        <v>147314</v>
      </c>
      <c r="C762" s="71" t="s">
        <v>724</v>
      </c>
      <c r="D762" s="71" t="s">
        <v>543</v>
      </c>
      <c r="E762" s="71" t="s">
        <v>623</v>
      </c>
      <c r="F762" s="71" t="s">
        <v>624</v>
      </c>
      <c r="G762" s="74">
        <v>5348712</v>
      </c>
      <c r="H762" s="72">
        <v>8.5044190000000004</v>
      </c>
      <c r="I762" s="73">
        <v>45487687.958328001</v>
      </c>
      <c r="J762" s="72">
        <v>8.3071887600000007</v>
      </c>
      <c r="K762" s="73">
        <v>1054927.75145088</v>
      </c>
      <c r="L762" s="74">
        <v>0</v>
      </c>
      <c r="M762" s="73">
        <v>0</v>
      </c>
      <c r="N762" s="74">
        <v>0</v>
      </c>
      <c r="O762" s="73">
        <v>0</v>
      </c>
      <c r="P762" s="74">
        <v>5348712</v>
      </c>
      <c r="Q762" s="73">
        <v>45487687.958328001</v>
      </c>
      <c r="R762" s="71" t="s">
        <v>625</v>
      </c>
      <c r="S762" s="71">
        <v>7414000005</v>
      </c>
      <c r="AB762"/>
      <c r="AC762"/>
    </row>
    <row r="763" spans="1:29" x14ac:dyDescent="0.25">
      <c r="A763" t="str">
        <f t="shared" si="12"/>
        <v xml:space="preserve">147314CETES 230601        </v>
      </c>
      <c r="B763" s="71">
        <v>147314</v>
      </c>
      <c r="C763" s="71" t="s">
        <v>724</v>
      </c>
      <c r="D763" s="71" t="s">
        <v>554</v>
      </c>
      <c r="E763" s="71" t="s">
        <v>623</v>
      </c>
      <c r="F763" s="71" t="s">
        <v>624</v>
      </c>
      <c r="G763" s="74">
        <v>9698110</v>
      </c>
      <c r="H763" s="72">
        <v>8.3813510000000004</v>
      </c>
      <c r="I763" s="73">
        <v>81283263.946610004</v>
      </c>
      <c r="J763" s="72">
        <v>8.2717659885242494</v>
      </c>
      <c r="K763" s="73">
        <v>1062767.4956431</v>
      </c>
      <c r="L763" s="74">
        <v>0</v>
      </c>
      <c r="M763" s="73">
        <v>0</v>
      </c>
      <c r="N763" s="74">
        <v>0</v>
      </c>
      <c r="O763" s="73">
        <v>0</v>
      </c>
      <c r="P763" s="74">
        <v>9698110</v>
      </c>
      <c r="Q763" s="73">
        <v>81283263.946610004</v>
      </c>
      <c r="R763" s="71" t="s">
        <v>625</v>
      </c>
      <c r="S763" s="71">
        <v>7414000005</v>
      </c>
      <c r="T763" s="19"/>
      <c r="AB763"/>
      <c r="AC763"/>
    </row>
    <row r="764" spans="1:29" x14ac:dyDescent="0.25">
      <c r="A764" t="str">
        <f t="shared" si="12"/>
        <v xml:space="preserve">147314CETES 251030        </v>
      </c>
      <c r="B764" s="71">
        <v>147314</v>
      </c>
      <c r="C764" s="71" t="s">
        <v>724</v>
      </c>
      <c r="D764" s="71" t="s">
        <v>613</v>
      </c>
      <c r="E764" s="71" t="s">
        <v>623</v>
      </c>
      <c r="F764" s="71" t="s">
        <v>624</v>
      </c>
      <c r="G764" s="74">
        <v>19087857</v>
      </c>
      <c r="H764" s="72">
        <v>8.2580650000000002</v>
      </c>
      <c r="I764" s="73">
        <v>157628763.81670499</v>
      </c>
      <c r="J764" s="72">
        <v>8.2567570035609155</v>
      </c>
      <c r="K764" s="73">
        <v>24966.848985770001</v>
      </c>
      <c r="L764" s="74">
        <v>0</v>
      </c>
      <c r="M764" s="73">
        <v>0</v>
      </c>
      <c r="N764" s="74">
        <v>0</v>
      </c>
      <c r="O764" s="73">
        <v>0</v>
      </c>
      <c r="P764" s="74">
        <v>19087857</v>
      </c>
      <c r="Q764" s="73">
        <v>157628763.81670499</v>
      </c>
      <c r="R764" s="71" t="s">
        <v>625</v>
      </c>
      <c r="S764" s="71">
        <v>7414000005</v>
      </c>
      <c r="T764" s="19"/>
      <c r="AB764"/>
      <c r="AC764"/>
    </row>
    <row r="765" spans="1:29" x14ac:dyDescent="0.25">
      <c r="A765" t="str">
        <f t="shared" si="12"/>
        <v xml:space="preserve">147314CETES 251224        </v>
      </c>
      <c r="B765" s="71">
        <v>147314</v>
      </c>
      <c r="C765" s="71" t="s">
        <v>724</v>
      </c>
      <c r="D765" s="71" t="s">
        <v>366</v>
      </c>
      <c r="E765" s="71" t="s">
        <v>623</v>
      </c>
      <c r="F765" s="71" t="s">
        <v>624</v>
      </c>
      <c r="G765" s="74">
        <v>0</v>
      </c>
      <c r="H765" s="72">
        <v>0</v>
      </c>
      <c r="I765" s="73">
        <v>6899159.6799999997</v>
      </c>
      <c r="J765" s="72">
        <v>0</v>
      </c>
      <c r="K765" s="73">
        <v>0</v>
      </c>
      <c r="L765" s="74">
        <v>0</v>
      </c>
      <c r="M765" s="73">
        <v>0</v>
      </c>
      <c r="N765" s="74">
        <v>0</v>
      </c>
      <c r="O765" s="73">
        <v>0</v>
      </c>
      <c r="P765" s="74">
        <v>0</v>
      </c>
      <c r="Q765" s="73">
        <v>6899159.6799999997</v>
      </c>
      <c r="R765" s="71" t="s">
        <v>625</v>
      </c>
      <c r="S765" s="71">
        <v>7414000005</v>
      </c>
      <c r="AB765"/>
      <c r="AC765"/>
    </row>
    <row r="766" spans="1:29" x14ac:dyDescent="0.25">
      <c r="A766" t="str">
        <f t="shared" si="12"/>
        <v xml:space="preserve">147314CETES 260219        </v>
      </c>
      <c r="B766" s="71">
        <v>147314</v>
      </c>
      <c r="C766" s="71" t="s">
        <v>724</v>
      </c>
      <c r="D766" s="71" t="s">
        <v>375</v>
      </c>
      <c r="E766" s="71" t="s">
        <v>623</v>
      </c>
      <c r="F766" s="71" t="s">
        <v>624</v>
      </c>
      <c r="G766" s="74">
        <v>186808</v>
      </c>
      <c r="H766" s="72">
        <v>98.730349000000004</v>
      </c>
      <c r="I766" s="73">
        <v>18443619.035992</v>
      </c>
      <c r="J766" s="72">
        <v>111.89286593999999</v>
      </c>
      <c r="K766" s="73">
        <v>-2458863.4645275199</v>
      </c>
      <c r="L766" s="74">
        <v>0</v>
      </c>
      <c r="M766" s="73">
        <v>0</v>
      </c>
      <c r="N766" s="74">
        <v>0</v>
      </c>
      <c r="O766" s="73">
        <v>0</v>
      </c>
      <c r="P766" s="74">
        <v>186808</v>
      </c>
      <c r="Q766" s="73">
        <v>18443619.035992</v>
      </c>
      <c r="R766" s="71" t="s">
        <v>625</v>
      </c>
      <c r="S766" s="71">
        <v>7414000005</v>
      </c>
      <c r="T766" s="19"/>
      <c r="AB766"/>
      <c r="AC766"/>
    </row>
    <row r="767" spans="1:29" x14ac:dyDescent="0.25">
      <c r="A767" t="str">
        <f t="shared" si="12"/>
        <v>147314EFECTIVO</v>
      </c>
      <c r="B767" s="71">
        <v>147314</v>
      </c>
      <c r="C767" s="71" t="s">
        <v>724</v>
      </c>
      <c r="D767" s="71" t="s">
        <v>376</v>
      </c>
      <c r="E767" s="71" t="s">
        <v>623</v>
      </c>
      <c r="F767" s="71" t="s">
        <v>624</v>
      </c>
      <c r="G767" s="74">
        <v>1036770</v>
      </c>
      <c r="H767" s="72">
        <v>99.247497999999993</v>
      </c>
      <c r="I767" s="73">
        <v>102896828.50146</v>
      </c>
      <c r="J767" s="72">
        <v>116.92795819391871</v>
      </c>
      <c r="K767" s="73">
        <v>-18330570.715249099</v>
      </c>
      <c r="L767" s="74">
        <v>0</v>
      </c>
      <c r="M767" s="73">
        <v>0</v>
      </c>
      <c r="N767" s="74">
        <v>0</v>
      </c>
      <c r="O767" s="73">
        <v>0</v>
      </c>
      <c r="P767" s="74">
        <v>1036770</v>
      </c>
      <c r="Q767" s="73">
        <v>102896828.50146</v>
      </c>
      <c r="R767" s="71" t="s">
        <v>625</v>
      </c>
      <c r="S767" s="71">
        <v>7414000005</v>
      </c>
      <c r="AB767"/>
      <c r="AC767"/>
    </row>
    <row r="768" spans="1:29" x14ac:dyDescent="0.25">
      <c r="A768" t="str">
        <f t="shared" si="12"/>
        <v xml:space="preserve">147314GOBFED 240905       </v>
      </c>
      <c r="B768" s="71">
        <v>147314</v>
      </c>
      <c r="C768" s="71" t="s">
        <v>724</v>
      </c>
      <c r="D768" s="71" t="s">
        <v>377</v>
      </c>
      <c r="E768" s="71" t="s">
        <v>623</v>
      </c>
      <c r="F768" s="71" t="s">
        <v>624</v>
      </c>
      <c r="G768" s="74">
        <v>1004142</v>
      </c>
      <c r="H768" s="72">
        <v>94.973146999999997</v>
      </c>
      <c r="I768" s="73">
        <v>95366525.774874002</v>
      </c>
      <c r="J768" s="72">
        <v>90.042079336113034</v>
      </c>
      <c r="K768" s="73">
        <v>4951492.1461507799</v>
      </c>
      <c r="L768" s="74">
        <v>0</v>
      </c>
      <c r="M768" s="73">
        <v>0</v>
      </c>
      <c r="N768" s="74">
        <v>0</v>
      </c>
      <c r="O768" s="73">
        <v>0</v>
      </c>
      <c r="P768" s="74">
        <v>1004142</v>
      </c>
      <c r="Q768" s="73">
        <v>95366525.774874002</v>
      </c>
      <c r="R768" s="71" t="s">
        <v>625</v>
      </c>
      <c r="S768" s="71">
        <v>7414000005</v>
      </c>
      <c r="AB768"/>
      <c r="AC768"/>
    </row>
    <row r="769" spans="1:29" x14ac:dyDescent="0.25">
      <c r="A769" t="str">
        <f t="shared" si="12"/>
        <v xml:space="preserve">147314GOBFED 241205       </v>
      </c>
      <c r="B769" s="71">
        <v>147314</v>
      </c>
      <c r="C769" s="71" t="s">
        <v>724</v>
      </c>
      <c r="D769" s="71" t="s">
        <v>378</v>
      </c>
      <c r="E769" s="71" t="s">
        <v>623</v>
      </c>
      <c r="F769" s="71" t="s">
        <v>624</v>
      </c>
      <c r="G769" s="74">
        <v>1855916</v>
      </c>
      <c r="H769" s="72">
        <v>91.911821000000003</v>
      </c>
      <c r="I769" s="73">
        <v>170580619.183036</v>
      </c>
      <c r="J769" s="72">
        <v>90.841685154635201</v>
      </c>
      <c r="K769" s="73">
        <v>1986082.2375860601</v>
      </c>
      <c r="L769" s="74">
        <v>0</v>
      </c>
      <c r="M769" s="73">
        <v>0</v>
      </c>
      <c r="N769" s="74">
        <v>0</v>
      </c>
      <c r="O769" s="73">
        <v>0</v>
      </c>
      <c r="P769" s="74">
        <v>1855916</v>
      </c>
      <c r="Q769" s="73">
        <v>170580619.183036</v>
      </c>
      <c r="R769" s="71" t="s">
        <v>625</v>
      </c>
      <c r="S769" s="71">
        <v>7414000005</v>
      </c>
      <c r="AB769"/>
      <c r="AC769"/>
    </row>
    <row r="770" spans="1:29" x14ac:dyDescent="0.25">
      <c r="A770" t="str">
        <f t="shared" si="12"/>
        <v xml:space="preserve">147314GOBFED 250306       </v>
      </c>
      <c r="B770" s="71">
        <v>147314</v>
      </c>
      <c r="C770" s="71" t="s">
        <v>724</v>
      </c>
      <c r="D770" s="71" t="s">
        <v>499</v>
      </c>
      <c r="E770" s="71" t="s">
        <v>623</v>
      </c>
      <c r="F770" s="71" t="s">
        <v>624</v>
      </c>
      <c r="G770" s="74">
        <v>3388950</v>
      </c>
      <c r="H770" s="72">
        <v>92.954503000000003</v>
      </c>
      <c r="I770" s="73">
        <v>315018162.94185001</v>
      </c>
      <c r="J770" s="72">
        <v>93.270700291316459</v>
      </c>
      <c r="K770" s="73">
        <v>-1071576.8104069</v>
      </c>
      <c r="L770" s="74">
        <v>0</v>
      </c>
      <c r="M770" s="73">
        <v>0</v>
      </c>
      <c r="N770" s="74">
        <v>0</v>
      </c>
      <c r="O770" s="73">
        <v>0</v>
      </c>
      <c r="P770" s="74">
        <v>3388950</v>
      </c>
      <c r="Q770" s="73">
        <v>315018162.94185001</v>
      </c>
      <c r="R770" s="71" t="s">
        <v>625</v>
      </c>
      <c r="S770" s="71">
        <v>7414000005</v>
      </c>
      <c r="AB770"/>
      <c r="AC770"/>
    </row>
    <row r="771" spans="1:29" x14ac:dyDescent="0.25">
      <c r="A771" t="str">
        <f t="shared" si="12"/>
        <v xml:space="preserve">147314GOBFED 260305       </v>
      </c>
      <c r="B771" s="71">
        <v>147314</v>
      </c>
      <c r="C771" s="71" t="s">
        <v>724</v>
      </c>
      <c r="D771" s="71" t="s">
        <v>379</v>
      </c>
      <c r="E771" s="71" t="s">
        <v>623</v>
      </c>
      <c r="F771" s="71" t="s">
        <v>624</v>
      </c>
      <c r="G771" s="74">
        <v>1246014</v>
      </c>
      <c r="H771" s="72">
        <v>88.698122999999995</v>
      </c>
      <c r="I771" s="73">
        <v>110519103.03172199</v>
      </c>
      <c r="J771" s="72">
        <v>88.298692396428891</v>
      </c>
      <c r="K771" s="73">
        <v>497696.12407805998</v>
      </c>
      <c r="L771" s="74">
        <v>0</v>
      </c>
      <c r="M771" s="73">
        <v>0</v>
      </c>
      <c r="N771" s="74">
        <v>0</v>
      </c>
      <c r="O771" s="73">
        <v>0</v>
      </c>
      <c r="P771" s="74">
        <v>1246014</v>
      </c>
      <c r="Q771" s="73">
        <v>110519103.03172199</v>
      </c>
      <c r="R771" s="71" t="s">
        <v>625</v>
      </c>
      <c r="S771" s="71">
        <v>7414000005</v>
      </c>
      <c r="AB771"/>
      <c r="AC771"/>
    </row>
    <row r="772" spans="1:29" x14ac:dyDescent="0.25">
      <c r="A772" t="str">
        <f t="shared" si="12"/>
        <v xml:space="preserve">147314GOBFED 260903       </v>
      </c>
      <c r="B772" s="71">
        <v>147314</v>
      </c>
      <c r="C772" s="71" t="s">
        <v>724</v>
      </c>
      <c r="D772" s="71" t="s">
        <v>380</v>
      </c>
      <c r="E772" s="71" t="s">
        <v>623</v>
      </c>
      <c r="F772" s="71" t="s">
        <v>624</v>
      </c>
      <c r="G772" s="74">
        <v>1252910</v>
      </c>
      <c r="H772" s="72">
        <v>93.314192000000006</v>
      </c>
      <c r="I772" s="73">
        <v>116914284.29872</v>
      </c>
      <c r="J772" s="72">
        <v>93.346762706102666</v>
      </c>
      <c r="K772" s="73">
        <v>-40808.1633831</v>
      </c>
      <c r="L772" s="74">
        <v>0</v>
      </c>
      <c r="M772" s="73">
        <v>0</v>
      </c>
      <c r="N772" s="74">
        <v>0</v>
      </c>
      <c r="O772" s="73">
        <v>0</v>
      </c>
      <c r="P772" s="74">
        <v>1252910</v>
      </c>
      <c r="Q772" s="73">
        <v>116914284.29872</v>
      </c>
      <c r="R772" s="71" t="s">
        <v>625</v>
      </c>
      <c r="S772" s="71">
        <v>7414000005</v>
      </c>
      <c r="AB772"/>
      <c r="AC772"/>
    </row>
    <row r="773" spans="1:29" x14ac:dyDescent="0.25">
      <c r="A773" t="str">
        <f t="shared" si="12"/>
        <v xml:space="preserve">147314GOBFED 270304       </v>
      </c>
      <c r="B773" s="71">
        <v>147314</v>
      </c>
      <c r="C773" s="71" t="s">
        <v>724</v>
      </c>
      <c r="D773" s="71" t="s">
        <v>382</v>
      </c>
      <c r="E773" s="71" t="s">
        <v>623</v>
      </c>
      <c r="F773" s="71" t="s">
        <v>624</v>
      </c>
      <c r="G773" s="74">
        <v>0</v>
      </c>
      <c r="H773" s="72">
        <v>0</v>
      </c>
      <c r="I773" s="73">
        <v>0</v>
      </c>
      <c r="J773" s="72">
        <v>0</v>
      </c>
      <c r="K773" s="73">
        <v>0</v>
      </c>
      <c r="L773" s="74">
        <v>0</v>
      </c>
      <c r="M773" s="73">
        <v>0</v>
      </c>
      <c r="N773" s="74">
        <v>0</v>
      </c>
      <c r="O773" s="73">
        <v>0</v>
      </c>
      <c r="P773" s="74">
        <v>0</v>
      </c>
      <c r="Q773" s="73">
        <v>0</v>
      </c>
      <c r="R773" s="71" t="s">
        <v>625</v>
      </c>
      <c r="S773" s="71">
        <v>7414000005</v>
      </c>
      <c r="T773" s="19"/>
      <c r="AB773"/>
      <c r="AC773"/>
    </row>
    <row r="774" spans="1:29" x14ac:dyDescent="0.25">
      <c r="A774" t="str">
        <f t="shared" si="12"/>
        <v xml:space="preserve">147314GOBFED 270603       </v>
      </c>
      <c r="B774" s="71">
        <v>147314</v>
      </c>
      <c r="C774" s="71" t="s">
        <v>724</v>
      </c>
      <c r="D774" s="71" t="s">
        <v>429</v>
      </c>
      <c r="E774" s="71" t="s">
        <v>623</v>
      </c>
      <c r="F774" s="71" t="s">
        <v>624</v>
      </c>
      <c r="G774" s="74">
        <v>70103</v>
      </c>
      <c r="H774" s="72">
        <v>98.007834000000003</v>
      </c>
      <c r="I774" s="73">
        <v>6870643.1869019996</v>
      </c>
      <c r="J774" s="72">
        <v>93.280048030000003</v>
      </c>
      <c r="K774" s="73">
        <v>331431.97985490999</v>
      </c>
      <c r="L774" s="74">
        <v>0</v>
      </c>
      <c r="M774" s="73">
        <v>0</v>
      </c>
      <c r="N774" s="74">
        <v>0</v>
      </c>
      <c r="O774" s="73">
        <v>0</v>
      </c>
      <c r="P774" s="74">
        <v>70103</v>
      </c>
      <c r="Q774" s="73">
        <v>6870643.1869019996</v>
      </c>
      <c r="R774" s="71" t="s">
        <v>625</v>
      </c>
      <c r="S774" s="71">
        <v>7414000005</v>
      </c>
      <c r="AB774"/>
      <c r="AC774"/>
    </row>
    <row r="775" spans="1:29" x14ac:dyDescent="0.25">
      <c r="A775" t="str">
        <f t="shared" ref="A775:A838" si="13">B773&amp;D773</f>
        <v xml:space="preserve">147314GOBFED 310529       </v>
      </c>
      <c r="B775" s="71">
        <v>147314</v>
      </c>
      <c r="C775" s="71" t="s">
        <v>724</v>
      </c>
      <c r="D775" s="71" t="s">
        <v>437</v>
      </c>
      <c r="E775" s="71" t="s">
        <v>623</v>
      </c>
      <c r="F775" s="71" t="s">
        <v>624</v>
      </c>
      <c r="G775" s="74">
        <v>291840</v>
      </c>
      <c r="H775" s="72">
        <v>100.38890499999999</v>
      </c>
      <c r="I775" s="73">
        <v>29297498.0352</v>
      </c>
      <c r="J775" s="72">
        <v>91.398345289999995</v>
      </c>
      <c r="K775" s="73">
        <v>2623804.9457664001</v>
      </c>
      <c r="L775" s="74">
        <v>0</v>
      </c>
      <c r="M775" s="73">
        <v>0</v>
      </c>
      <c r="N775" s="74">
        <v>0</v>
      </c>
      <c r="O775" s="73">
        <v>0</v>
      </c>
      <c r="P775" s="74">
        <v>291840</v>
      </c>
      <c r="Q775" s="73">
        <v>29297498.0352</v>
      </c>
      <c r="R775" s="71" t="s">
        <v>625</v>
      </c>
      <c r="S775" s="71">
        <v>7414000005</v>
      </c>
      <c r="AB775"/>
      <c r="AC775"/>
    </row>
    <row r="776" spans="1:29" x14ac:dyDescent="0.25">
      <c r="A776" t="str">
        <f t="shared" si="13"/>
        <v xml:space="preserve">147314PEMEX 13-2          </v>
      </c>
      <c r="B776" s="71">
        <v>147314</v>
      </c>
      <c r="C776" s="71" t="s">
        <v>724</v>
      </c>
      <c r="D776" s="71" t="s">
        <v>472</v>
      </c>
      <c r="E776" s="71" t="s">
        <v>623</v>
      </c>
      <c r="F776" s="71" t="s">
        <v>624</v>
      </c>
      <c r="G776" s="74">
        <v>54700000</v>
      </c>
      <c r="H776" s="72">
        <v>4.1069599999999999</v>
      </c>
      <c r="I776" s="73">
        <v>224650712</v>
      </c>
      <c r="J776" s="72">
        <v>3.2472985290676415</v>
      </c>
      <c r="K776" s="73">
        <v>47023482.460000001</v>
      </c>
      <c r="L776" s="74">
        <v>0</v>
      </c>
      <c r="M776" s="73">
        <v>0</v>
      </c>
      <c r="N776" s="74">
        <v>0</v>
      </c>
      <c r="O776" s="73">
        <v>0</v>
      </c>
      <c r="P776" s="74">
        <v>54700000</v>
      </c>
      <c r="Q776" s="73">
        <v>224650712</v>
      </c>
      <c r="R776" s="71" t="s">
        <v>625</v>
      </c>
      <c r="S776" s="71">
        <v>7414000005</v>
      </c>
      <c r="AB776"/>
      <c r="AC776"/>
    </row>
    <row r="777" spans="1:29" x14ac:dyDescent="0.25">
      <c r="A777" t="str">
        <f t="shared" si="13"/>
        <v xml:space="preserve">147314PEMEX 19            </v>
      </c>
      <c r="B777" s="71">
        <v>147314</v>
      </c>
      <c r="C777" s="71" t="s">
        <v>724</v>
      </c>
      <c r="D777" s="71" t="s">
        <v>391</v>
      </c>
      <c r="E777" s="71" t="s">
        <v>623</v>
      </c>
      <c r="F777" s="71" t="s">
        <v>624</v>
      </c>
      <c r="G777" s="74">
        <v>90</v>
      </c>
      <c r="H777" s="72">
        <v>775.69178699999998</v>
      </c>
      <c r="I777" s="73">
        <v>69812.260829999999</v>
      </c>
      <c r="J777" s="72">
        <v>770.06763651000006</v>
      </c>
      <c r="K777" s="73">
        <v>506.17354410000002</v>
      </c>
      <c r="L777" s="74">
        <v>0</v>
      </c>
      <c r="M777" s="73">
        <v>0</v>
      </c>
      <c r="N777" s="74">
        <v>0</v>
      </c>
      <c r="O777" s="73">
        <v>0</v>
      </c>
      <c r="P777" s="74">
        <v>90</v>
      </c>
      <c r="Q777" s="73">
        <v>69812.260829999999</v>
      </c>
      <c r="R777" s="71" t="s">
        <v>625</v>
      </c>
      <c r="S777" s="71">
        <v>7414000005</v>
      </c>
      <c r="AB777"/>
      <c r="AC777"/>
    </row>
    <row r="778" spans="1:29" x14ac:dyDescent="0.25">
      <c r="A778" t="str">
        <f t="shared" si="13"/>
        <v xml:space="preserve">147314STER-OP E2          </v>
      </c>
      <c r="B778" s="71">
        <v>147314</v>
      </c>
      <c r="C778" s="71" t="s">
        <v>724</v>
      </c>
      <c r="D778" s="71" t="s">
        <v>392</v>
      </c>
      <c r="E778" s="71" t="s">
        <v>623</v>
      </c>
      <c r="F778" s="71" t="s">
        <v>624</v>
      </c>
      <c r="G778" s="74">
        <v>564</v>
      </c>
      <c r="H778" s="72">
        <v>747.17843200000004</v>
      </c>
      <c r="I778" s="73">
        <v>421408.635648</v>
      </c>
      <c r="J778" s="72">
        <v>730.99471579999999</v>
      </c>
      <c r="K778" s="73">
        <v>9127.6159368000008</v>
      </c>
      <c r="L778" s="74">
        <v>0</v>
      </c>
      <c r="M778" s="73">
        <v>0</v>
      </c>
      <c r="N778" s="74">
        <v>0</v>
      </c>
      <c r="O778" s="73">
        <v>0</v>
      </c>
      <c r="P778" s="74">
        <v>564</v>
      </c>
      <c r="Q778" s="73">
        <v>421408.635648</v>
      </c>
      <c r="R778" s="71" t="s">
        <v>625</v>
      </c>
      <c r="S778" s="71">
        <v>7414000005</v>
      </c>
      <c r="AB778"/>
      <c r="AC778"/>
    </row>
    <row r="779" spans="1:29" x14ac:dyDescent="0.25">
      <c r="A779" t="str">
        <f t="shared" si="13"/>
        <v xml:space="preserve">147314UDIBONO 251204      </v>
      </c>
      <c r="B779" s="71">
        <v>147491</v>
      </c>
      <c r="C779" s="71" t="s">
        <v>725</v>
      </c>
      <c r="D779" s="71" t="s">
        <v>412</v>
      </c>
      <c r="E779" s="71" t="s">
        <v>623</v>
      </c>
      <c r="F779" s="71" t="s">
        <v>624</v>
      </c>
      <c r="G779" s="74">
        <v>510092</v>
      </c>
      <c r="H779" s="72">
        <v>3.137273</v>
      </c>
      <c r="I779" s="73">
        <v>1600297.8591159999</v>
      </c>
      <c r="J779" s="72">
        <v>3.0779330003215106</v>
      </c>
      <c r="K779" s="73">
        <v>30268.859116</v>
      </c>
      <c r="L779" s="74">
        <v>0</v>
      </c>
      <c r="M779" s="73">
        <v>0</v>
      </c>
      <c r="N779" s="74">
        <v>0</v>
      </c>
      <c r="O779" s="73">
        <v>0</v>
      </c>
      <c r="P779" s="74">
        <v>510092</v>
      </c>
      <c r="Q779" s="73">
        <v>1600297.8591159999</v>
      </c>
      <c r="R779" s="71" t="s">
        <v>625</v>
      </c>
      <c r="S779" s="71">
        <v>7414000005</v>
      </c>
      <c r="AB779"/>
      <c r="AC779"/>
    </row>
    <row r="780" spans="1:29" x14ac:dyDescent="0.25">
      <c r="A780" t="str">
        <f t="shared" si="13"/>
        <v xml:space="preserve">147314UDIBONO 261203      </v>
      </c>
      <c r="B780" s="71">
        <v>147492</v>
      </c>
      <c r="C780" s="71" t="s">
        <v>726</v>
      </c>
      <c r="D780" s="71" t="s">
        <v>474</v>
      </c>
      <c r="E780" s="71" t="s">
        <v>727</v>
      </c>
      <c r="F780" s="71" t="s">
        <v>624</v>
      </c>
      <c r="G780" s="74">
        <v>0</v>
      </c>
      <c r="H780" s="72">
        <v>0</v>
      </c>
      <c r="I780" s="73">
        <v>0</v>
      </c>
      <c r="J780" s="72">
        <v>0</v>
      </c>
      <c r="K780" s="73">
        <v>0</v>
      </c>
      <c r="L780" s="74">
        <v>0</v>
      </c>
      <c r="M780" s="73">
        <v>0</v>
      </c>
      <c r="N780" s="74">
        <v>0</v>
      </c>
      <c r="O780" s="73">
        <v>0</v>
      </c>
      <c r="P780" s="74">
        <v>0</v>
      </c>
      <c r="Q780" s="73">
        <v>0</v>
      </c>
      <c r="R780" s="71" t="s">
        <v>625</v>
      </c>
      <c r="S780" s="71">
        <v>7414000005</v>
      </c>
      <c r="AB780"/>
      <c r="AC780"/>
    </row>
    <row r="781" spans="1:29" x14ac:dyDescent="0.25">
      <c r="A781" t="str">
        <f t="shared" si="13"/>
        <v xml:space="preserve">147491STERGOB B0          </v>
      </c>
      <c r="B781" s="71">
        <v>147492</v>
      </c>
      <c r="C781" s="71" t="s">
        <v>726</v>
      </c>
      <c r="D781" s="71" t="s">
        <v>412</v>
      </c>
      <c r="E781" s="71" t="s">
        <v>623</v>
      </c>
      <c r="F781" s="71" t="s">
        <v>624</v>
      </c>
      <c r="G781" s="74">
        <v>196371</v>
      </c>
      <c r="H781" s="72">
        <v>3.137273</v>
      </c>
      <c r="I781" s="73">
        <v>616069.43628300005</v>
      </c>
      <c r="J781" s="72">
        <v>2.6586447082308489</v>
      </c>
      <c r="K781" s="73">
        <v>93988.716283000002</v>
      </c>
      <c r="L781" s="74">
        <v>0</v>
      </c>
      <c r="M781" s="73">
        <v>0</v>
      </c>
      <c r="N781" s="74">
        <v>0</v>
      </c>
      <c r="O781" s="73">
        <v>0</v>
      </c>
      <c r="P781" s="74">
        <v>196371</v>
      </c>
      <c r="Q781" s="73">
        <v>616069.43628300005</v>
      </c>
      <c r="R781" s="71" t="s">
        <v>625</v>
      </c>
      <c r="S781" s="71">
        <v>7414000005</v>
      </c>
      <c r="AB781"/>
      <c r="AC781"/>
    </row>
    <row r="782" spans="1:29" x14ac:dyDescent="0.25">
      <c r="A782" t="str">
        <f t="shared" si="13"/>
        <v xml:space="preserve">147492CASITA *            </v>
      </c>
      <c r="B782" s="71">
        <v>147492</v>
      </c>
      <c r="C782" s="71" t="s">
        <v>726</v>
      </c>
      <c r="D782" s="71" t="s">
        <v>475</v>
      </c>
      <c r="E782" s="71" t="s">
        <v>623</v>
      </c>
      <c r="F782" s="71" t="s">
        <v>624</v>
      </c>
      <c r="G782" s="74">
        <v>10703021</v>
      </c>
      <c r="H782" s="72">
        <v>3.906444</v>
      </c>
      <c r="I782" s="73">
        <v>41810752.167323999</v>
      </c>
      <c r="J782" s="72">
        <v>2.4130519775678287</v>
      </c>
      <c r="K782" s="73">
        <v>15983806.177324001</v>
      </c>
      <c r="L782" s="74">
        <v>0</v>
      </c>
      <c r="M782" s="73">
        <v>0</v>
      </c>
      <c r="N782" s="74">
        <v>0</v>
      </c>
      <c r="O782" s="73">
        <v>0</v>
      </c>
      <c r="P782" s="74">
        <v>10703021</v>
      </c>
      <c r="Q782" s="73">
        <v>41810752.167323999</v>
      </c>
      <c r="R782" s="71" t="s">
        <v>625</v>
      </c>
      <c r="S782" s="71">
        <v>7414000005</v>
      </c>
      <c r="AB782"/>
      <c r="AC782"/>
    </row>
    <row r="783" spans="1:29" x14ac:dyDescent="0.25">
      <c r="A783" t="str">
        <f t="shared" si="13"/>
        <v xml:space="preserve">147492STERGOB B0          </v>
      </c>
      <c r="B783" s="71">
        <v>152965</v>
      </c>
      <c r="C783" s="71" t="s">
        <v>728</v>
      </c>
      <c r="D783" s="71" t="s">
        <v>557</v>
      </c>
      <c r="E783" s="71" t="s">
        <v>623</v>
      </c>
      <c r="F783" s="71" t="s">
        <v>624</v>
      </c>
      <c r="G783" s="74">
        <v>7091577</v>
      </c>
      <c r="H783" s="72">
        <v>3.0168970000000002</v>
      </c>
      <c r="I783" s="73">
        <v>21394557.376568999</v>
      </c>
      <c r="J783" s="72">
        <v>2.9636489316833194</v>
      </c>
      <c r="K783" s="73">
        <v>377612.77656899998</v>
      </c>
      <c r="L783" s="74">
        <v>0</v>
      </c>
      <c r="M783" s="73">
        <v>0</v>
      </c>
      <c r="N783" s="74">
        <v>0</v>
      </c>
      <c r="O783" s="73">
        <v>0</v>
      </c>
      <c r="P783" s="74">
        <v>7091577</v>
      </c>
      <c r="Q783" s="73">
        <v>21394557.376568999</v>
      </c>
      <c r="R783" s="71" t="s">
        <v>625</v>
      </c>
      <c r="S783" s="71">
        <v>7414000005</v>
      </c>
      <c r="AB783"/>
      <c r="AC783"/>
    </row>
    <row r="784" spans="1:29" x14ac:dyDescent="0.25">
      <c r="A784" t="str">
        <f t="shared" si="13"/>
        <v xml:space="preserve">147492STRGOB2 B2          </v>
      </c>
      <c r="B784" s="71">
        <v>152971</v>
      </c>
      <c r="C784" s="71" t="s">
        <v>729</v>
      </c>
      <c r="D784" s="71" t="s">
        <v>470</v>
      </c>
      <c r="E784" s="71" t="s">
        <v>623</v>
      </c>
      <c r="F784" s="71" t="s">
        <v>624</v>
      </c>
      <c r="G784" s="74">
        <v>0</v>
      </c>
      <c r="H784" s="72">
        <v>0</v>
      </c>
      <c r="I784" s="73">
        <v>0</v>
      </c>
      <c r="J784" s="72">
        <v>0</v>
      </c>
      <c r="K784" s="73">
        <v>0</v>
      </c>
      <c r="L784" s="74">
        <v>0</v>
      </c>
      <c r="M784" s="73">
        <v>0</v>
      </c>
      <c r="N784" s="74">
        <v>0</v>
      </c>
      <c r="O784" s="73">
        <v>0</v>
      </c>
      <c r="P784" s="74">
        <v>0</v>
      </c>
      <c r="Q784" s="73">
        <v>0</v>
      </c>
      <c r="R784" s="71" t="s">
        <v>625</v>
      </c>
      <c r="S784" s="71">
        <v>7414000005</v>
      </c>
      <c r="AB784"/>
      <c r="AC784"/>
    </row>
    <row r="785" spans="1:29" x14ac:dyDescent="0.25">
      <c r="A785" t="str">
        <f t="shared" si="13"/>
        <v xml:space="preserve">152965STERGOB C2          </v>
      </c>
      <c r="B785" s="71">
        <v>152971</v>
      </c>
      <c r="C785" s="71" t="s">
        <v>729</v>
      </c>
      <c r="D785" s="71" t="s">
        <v>363</v>
      </c>
      <c r="E785" s="71" t="s">
        <v>623</v>
      </c>
      <c r="F785" s="71" t="s">
        <v>624</v>
      </c>
      <c r="G785" s="74">
        <v>146155</v>
      </c>
      <c r="H785" s="72">
        <v>9.4935880000000008</v>
      </c>
      <c r="I785" s="73">
        <v>1387535.35414</v>
      </c>
      <c r="J785" s="72">
        <v>8.4405498100000003</v>
      </c>
      <c r="K785" s="73">
        <v>153906.79665944999</v>
      </c>
      <c r="L785" s="74">
        <v>0</v>
      </c>
      <c r="M785" s="73">
        <v>0</v>
      </c>
      <c r="N785" s="74">
        <v>0</v>
      </c>
      <c r="O785" s="73">
        <v>0</v>
      </c>
      <c r="P785" s="74">
        <v>146155</v>
      </c>
      <c r="Q785" s="73">
        <v>1387535.35414</v>
      </c>
      <c r="R785" s="71" t="s">
        <v>625</v>
      </c>
      <c r="S785" s="71">
        <v>7414000005</v>
      </c>
      <c r="AB785"/>
      <c r="AC785"/>
    </row>
    <row r="786" spans="1:29" x14ac:dyDescent="0.25">
      <c r="A786" t="str">
        <f t="shared" si="13"/>
        <v xml:space="preserve">152971CETES 131017        </v>
      </c>
      <c r="B786" s="71">
        <v>152971</v>
      </c>
      <c r="C786" s="71" t="s">
        <v>729</v>
      </c>
      <c r="D786" s="71" t="s">
        <v>409</v>
      </c>
      <c r="E786" s="71" t="s">
        <v>623</v>
      </c>
      <c r="F786" s="71" t="s">
        <v>624</v>
      </c>
      <c r="G786" s="74">
        <v>199060</v>
      </c>
      <c r="H786" s="72">
        <v>9.3381629999999998</v>
      </c>
      <c r="I786" s="73">
        <v>1858854.7267799999</v>
      </c>
      <c r="J786" s="72">
        <v>8.3307969100000001</v>
      </c>
      <c r="K786" s="73">
        <v>200526.29387540001</v>
      </c>
      <c r="L786" s="74">
        <v>0</v>
      </c>
      <c r="M786" s="73">
        <v>0</v>
      </c>
      <c r="N786" s="74">
        <v>0</v>
      </c>
      <c r="O786" s="73">
        <v>0</v>
      </c>
      <c r="P786" s="74">
        <v>199060</v>
      </c>
      <c r="Q786" s="73">
        <v>1858854.7267799999</v>
      </c>
      <c r="R786" s="71" t="s">
        <v>625</v>
      </c>
      <c r="S786" s="71">
        <v>7414000005</v>
      </c>
      <c r="AB786"/>
      <c r="AC786"/>
    </row>
    <row r="787" spans="1:29" x14ac:dyDescent="0.25">
      <c r="A787" t="str">
        <f t="shared" si="13"/>
        <v xml:space="preserve">152971CETES 241003        </v>
      </c>
      <c r="B787" s="71">
        <v>152971</v>
      </c>
      <c r="C787" s="71" t="s">
        <v>729</v>
      </c>
      <c r="D787" s="71" t="s">
        <v>364</v>
      </c>
      <c r="E787" s="71" t="s">
        <v>623</v>
      </c>
      <c r="F787" s="71" t="s">
        <v>624</v>
      </c>
      <c r="G787" s="74">
        <v>249960</v>
      </c>
      <c r="H787" s="72">
        <v>9.190137</v>
      </c>
      <c r="I787" s="73">
        <v>2297166.6445200001</v>
      </c>
      <c r="J787" s="72">
        <v>8.2167929437954079</v>
      </c>
      <c r="K787" s="73">
        <v>243297.0802889</v>
      </c>
      <c r="L787" s="74">
        <v>0</v>
      </c>
      <c r="M787" s="73">
        <v>0</v>
      </c>
      <c r="N787" s="74">
        <v>0</v>
      </c>
      <c r="O787" s="73">
        <v>0</v>
      </c>
      <c r="P787" s="74">
        <v>249960</v>
      </c>
      <c r="Q787" s="73">
        <v>2297166.6445200001</v>
      </c>
      <c r="R787" s="71" t="s">
        <v>625</v>
      </c>
      <c r="S787" s="71">
        <v>7414000005</v>
      </c>
      <c r="AB787"/>
      <c r="AC787"/>
    </row>
    <row r="788" spans="1:29" x14ac:dyDescent="0.25">
      <c r="A788" t="str">
        <f t="shared" si="13"/>
        <v xml:space="preserve">152971CETES 241128        </v>
      </c>
      <c r="B788" s="71">
        <v>152971</v>
      </c>
      <c r="C788" s="71" t="s">
        <v>729</v>
      </c>
      <c r="D788" s="71" t="s">
        <v>554</v>
      </c>
      <c r="E788" s="71" t="s">
        <v>623</v>
      </c>
      <c r="F788" s="71" t="s">
        <v>624</v>
      </c>
      <c r="G788" s="74">
        <v>69270</v>
      </c>
      <c r="H788" s="72">
        <v>8.3813510000000004</v>
      </c>
      <c r="I788" s="73">
        <v>580576.18377</v>
      </c>
      <c r="J788" s="72">
        <v>8.2700011300000007</v>
      </c>
      <c r="K788" s="73">
        <v>7713.2054949000003</v>
      </c>
      <c r="L788" s="74">
        <v>0</v>
      </c>
      <c r="M788" s="73">
        <v>0</v>
      </c>
      <c r="N788" s="74">
        <v>0</v>
      </c>
      <c r="O788" s="73">
        <v>0</v>
      </c>
      <c r="P788" s="74">
        <v>69270</v>
      </c>
      <c r="Q788" s="73">
        <v>580576.18377</v>
      </c>
      <c r="R788" s="71" t="s">
        <v>625</v>
      </c>
      <c r="S788" s="71">
        <v>7414000005</v>
      </c>
      <c r="AB788"/>
      <c r="AC788"/>
    </row>
    <row r="789" spans="1:29" x14ac:dyDescent="0.25">
      <c r="A789" t="str">
        <f t="shared" si="13"/>
        <v xml:space="preserve">152971CETES 250123        </v>
      </c>
      <c r="B789" s="71">
        <v>152971</v>
      </c>
      <c r="C789" s="71" t="s">
        <v>729</v>
      </c>
      <c r="D789" s="71" t="s">
        <v>613</v>
      </c>
      <c r="E789" s="71" t="s">
        <v>623</v>
      </c>
      <c r="F789" s="71" t="s">
        <v>624</v>
      </c>
      <c r="G789" s="74">
        <v>141260</v>
      </c>
      <c r="H789" s="72">
        <v>8.2580650000000002</v>
      </c>
      <c r="I789" s="73">
        <v>1166534.2619</v>
      </c>
      <c r="J789" s="72">
        <v>8.2501711100000001</v>
      </c>
      <c r="K789" s="73">
        <v>1115.0909013999999</v>
      </c>
      <c r="L789" s="74">
        <v>0</v>
      </c>
      <c r="M789" s="73">
        <v>0</v>
      </c>
      <c r="N789" s="74">
        <v>0</v>
      </c>
      <c r="O789" s="73">
        <v>0</v>
      </c>
      <c r="P789" s="74">
        <v>141260</v>
      </c>
      <c r="Q789" s="73">
        <v>1166534.2619</v>
      </c>
      <c r="R789" s="71" t="s">
        <v>625</v>
      </c>
      <c r="S789" s="71">
        <v>7414000005</v>
      </c>
      <c r="AB789"/>
      <c r="AC789"/>
    </row>
    <row r="790" spans="1:29" x14ac:dyDescent="0.25">
      <c r="A790" t="str">
        <f t="shared" si="13"/>
        <v xml:space="preserve">152971CETES 251224        </v>
      </c>
      <c r="B790" s="71">
        <v>152971</v>
      </c>
      <c r="C790" s="71" t="s">
        <v>729</v>
      </c>
      <c r="D790" s="71" t="s">
        <v>375</v>
      </c>
      <c r="E790" s="71" t="s">
        <v>623</v>
      </c>
      <c r="F790" s="71" t="s">
        <v>624</v>
      </c>
      <c r="G790" s="74">
        <v>5490</v>
      </c>
      <c r="H790" s="72">
        <v>98.730349000000004</v>
      </c>
      <c r="I790" s="73">
        <v>542029.61601</v>
      </c>
      <c r="J790" s="72">
        <v>104.80973730295082</v>
      </c>
      <c r="K790" s="73">
        <v>-33375.841783199998</v>
      </c>
      <c r="L790" s="74">
        <v>0</v>
      </c>
      <c r="M790" s="73">
        <v>0</v>
      </c>
      <c r="N790" s="74">
        <v>0</v>
      </c>
      <c r="O790" s="73">
        <v>0</v>
      </c>
      <c r="P790" s="74">
        <v>5490</v>
      </c>
      <c r="Q790" s="73">
        <v>542029.61601</v>
      </c>
      <c r="R790" s="71" t="s">
        <v>625</v>
      </c>
      <c r="S790" s="71">
        <v>7414000005</v>
      </c>
      <c r="AB790"/>
      <c r="AC790"/>
    </row>
    <row r="791" spans="1:29" x14ac:dyDescent="0.25">
      <c r="A791" t="str">
        <f t="shared" si="13"/>
        <v xml:space="preserve">152971CETES 260219        </v>
      </c>
      <c r="B791" s="71">
        <v>152971</v>
      </c>
      <c r="C791" s="71" t="s">
        <v>729</v>
      </c>
      <c r="D791" s="71" t="s">
        <v>376</v>
      </c>
      <c r="E791" s="71" t="s">
        <v>623</v>
      </c>
      <c r="F791" s="71" t="s">
        <v>624</v>
      </c>
      <c r="G791" s="74">
        <v>9056</v>
      </c>
      <c r="H791" s="72">
        <v>99.247497999999993</v>
      </c>
      <c r="I791" s="73">
        <v>898785.34188800002</v>
      </c>
      <c r="J791" s="72">
        <v>104.57350258092093</v>
      </c>
      <c r="K791" s="73">
        <v>-48232.297484820003</v>
      </c>
      <c r="L791" s="74">
        <v>0</v>
      </c>
      <c r="M791" s="73">
        <v>0</v>
      </c>
      <c r="N791" s="74">
        <v>0</v>
      </c>
      <c r="O791" s="73">
        <v>0</v>
      </c>
      <c r="P791" s="74">
        <v>9056</v>
      </c>
      <c r="Q791" s="73">
        <v>898785.34188800002</v>
      </c>
      <c r="R791" s="71" t="s">
        <v>625</v>
      </c>
      <c r="S791" s="71">
        <v>7414000005</v>
      </c>
      <c r="AB791"/>
      <c r="AC791"/>
    </row>
    <row r="792" spans="1:29" x14ac:dyDescent="0.25">
      <c r="A792" t="str">
        <f t="shared" si="13"/>
        <v xml:space="preserve">152971GOBFED 240905       </v>
      </c>
      <c r="B792" s="71">
        <v>152971</v>
      </c>
      <c r="C792" s="71" t="s">
        <v>729</v>
      </c>
      <c r="D792" s="71" t="s">
        <v>377</v>
      </c>
      <c r="E792" s="71" t="s">
        <v>623</v>
      </c>
      <c r="F792" s="71" t="s">
        <v>624</v>
      </c>
      <c r="G792" s="74">
        <v>11816</v>
      </c>
      <c r="H792" s="72">
        <v>94.973146999999997</v>
      </c>
      <c r="I792" s="73">
        <v>1122202.7049519999</v>
      </c>
      <c r="J792" s="72">
        <v>90.01616612759986</v>
      </c>
      <c r="K792" s="73">
        <v>58571.685988279998</v>
      </c>
      <c r="L792" s="74">
        <v>0</v>
      </c>
      <c r="M792" s="73">
        <v>0</v>
      </c>
      <c r="N792" s="74">
        <v>0</v>
      </c>
      <c r="O792" s="73">
        <v>0</v>
      </c>
      <c r="P792" s="74">
        <v>11816</v>
      </c>
      <c r="Q792" s="73">
        <v>1122202.7049519999</v>
      </c>
      <c r="R792" s="71" t="s">
        <v>625</v>
      </c>
      <c r="S792" s="71">
        <v>7414000005</v>
      </c>
      <c r="AB792"/>
      <c r="AC792"/>
    </row>
    <row r="793" spans="1:29" x14ac:dyDescent="0.25">
      <c r="A793" t="str">
        <f t="shared" si="13"/>
        <v xml:space="preserve">152971GOBFED 241205       </v>
      </c>
      <c r="B793" s="71">
        <v>152971</v>
      </c>
      <c r="C793" s="71" t="s">
        <v>729</v>
      </c>
      <c r="D793" s="71" t="s">
        <v>378</v>
      </c>
      <c r="E793" s="71" t="s">
        <v>623</v>
      </c>
      <c r="F793" s="71" t="s">
        <v>624</v>
      </c>
      <c r="G793" s="74">
        <v>6578</v>
      </c>
      <c r="H793" s="72">
        <v>91.911821000000003</v>
      </c>
      <c r="I793" s="73">
        <v>604595.95853800001</v>
      </c>
      <c r="J793" s="72">
        <v>93.2088459</v>
      </c>
      <c r="K793" s="73">
        <v>-8531.8297922000002</v>
      </c>
      <c r="L793" s="74">
        <v>0</v>
      </c>
      <c r="M793" s="73">
        <v>0</v>
      </c>
      <c r="N793" s="74">
        <v>0</v>
      </c>
      <c r="O793" s="73">
        <v>0</v>
      </c>
      <c r="P793" s="74">
        <v>6578</v>
      </c>
      <c r="Q793" s="73">
        <v>604595.95853800001</v>
      </c>
      <c r="R793" s="71" t="s">
        <v>625</v>
      </c>
      <c r="S793" s="71">
        <v>7414000005</v>
      </c>
      <c r="AB793"/>
      <c r="AC793"/>
    </row>
    <row r="794" spans="1:29" x14ac:dyDescent="0.25">
      <c r="A794" t="str">
        <f t="shared" si="13"/>
        <v xml:space="preserve">152971GOBFED 250306       </v>
      </c>
      <c r="B794" s="71">
        <v>152971</v>
      </c>
      <c r="C794" s="71" t="s">
        <v>729</v>
      </c>
      <c r="D794" s="71" t="s">
        <v>379</v>
      </c>
      <c r="E794" s="71" t="s">
        <v>623</v>
      </c>
      <c r="F794" s="71" t="s">
        <v>624</v>
      </c>
      <c r="G794" s="74">
        <v>9566</v>
      </c>
      <c r="H794" s="72">
        <v>88.698122999999995</v>
      </c>
      <c r="I794" s="73">
        <v>848486.244618</v>
      </c>
      <c r="J794" s="72">
        <v>85.747638112803685</v>
      </c>
      <c r="K794" s="73">
        <v>28224.338430920001</v>
      </c>
      <c r="L794" s="74">
        <v>0</v>
      </c>
      <c r="M794" s="73">
        <v>0</v>
      </c>
      <c r="N794" s="74">
        <v>0</v>
      </c>
      <c r="O794" s="73">
        <v>0</v>
      </c>
      <c r="P794" s="74">
        <v>9566</v>
      </c>
      <c r="Q794" s="73">
        <v>848486.244618</v>
      </c>
      <c r="R794" s="71" t="s">
        <v>625</v>
      </c>
      <c r="S794" s="71">
        <v>7414000005</v>
      </c>
      <c r="AB794"/>
      <c r="AC794"/>
    </row>
    <row r="795" spans="1:29" x14ac:dyDescent="0.25">
      <c r="A795" t="str">
        <f t="shared" si="13"/>
        <v xml:space="preserve">152971GOBFED 260305       </v>
      </c>
      <c r="B795" s="71">
        <v>152971</v>
      </c>
      <c r="C795" s="71" t="s">
        <v>729</v>
      </c>
      <c r="D795" s="71" t="s">
        <v>380</v>
      </c>
      <c r="E795" s="71" t="s">
        <v>623</v>
      </c>
      <c r="F795" s="71" t="s">
        <v>624</v>
      </c>
      <c r="G795" s="74">
        <v>8296</v>
      </c>
      <c r="H795" s="72">
        <v>93.314192000000006</v>
      </c>
      <c r="I795" s="73">
        <v>774134.53683200001</v>
      </c>
      <c r="J795" s="72">
        <v>97.434902156656221</v>
      </c>
      <c r="K795" s="73">
        <v>-34185.411459620002</v>
      </c>
      <c r="L795" s="74">
        <v>0</v>
      </c>
      <c r="M795" s="73">
        <v>0</v>
      </c>
      <c r="N795" s="74">
        <v>0</v>
      </c>
      <c r="O795" s="73">
        <v>0</v>
      </c>
      <c r="P795" s="74">
        <v>8296</v>
      </c>
      <c r="Q795" s="73">
        <v>774134.53683200001</v>
      </c>
      <c r="R795" s="71" t="s">
        <v>625</v>
      </c>
      <c r="S795" s="71">
        <v>7414000005</v>
      </c>
      <c r="T795" s="19"/>
      <c r="AB795"/>
      <c r="AC795"/>
    </row>
    <row r="796" spans="1:29" x14ac:dyDescent="0.25">
      <c r="A796" t="str">
        <f t="shared" si="13"/>
        <v xml:space="preserve">152971GOBFED 270304       </v>
      </c>
      <c r="B796" s="71">
        <v>152971</v>
      </c>
      <c r="C796" s="71" t="s">
        <v>729</v>
      </c>
      <c r="D796" s="71" t="s">
        <v>507</v>
      </c>
      <c r="E796" s="71" t="s">
        <v>623</v>
      </c>
      <c r="F796" s="71" t="s">
        <v>624</v>
      </c>
      <c r="G796" s="74">
        <v>7200</v>
      </c>
      <c r="H796" s="72">
        <v>94.864168000000006</v>
      </c>
      <c r="I796" s="73">
        <v>683022.00959999999</v>
      </c>
      <c r="J796" s="72">
        <v>96.490125727638883</v>
      </c>
      <c r="K796" s="73">
        <v>-11706.895639</v>
      </c>
      <c r="L796" s="74">
        <v>0</v>
      </c>
      <c r="M796" s="73">
        <v>0</v>
      </c>
      <c r="N796" s="74">
        <v>0</v>
      </c>
      <c r="O796" s="73">
        <v>0</v>
      </c>
      <c r="P796" s="74">
        <v>7200</v>
      </c>
      <c r="Q796" s="73">
        <v>683022.00959999999</v>
      </c>
      <c r="R796" s="71" t="s">
        <v>625</v>
      </c>
      <c r="S796" s="71">
        <v>7414000005</v>
      </c>
      <c r="T796" s="19"/>
      <c r="AB796"/>
      <c r="AC796"/>
    </row>
    <row r="797" spans="1:29" x14ac:dyDescent="0.25">
      <c r="A797" t="str">
        <f t="shared" si="13"/>
        <v xml:space="preserve">152971GOBFED 270603       </v>
      </c>
      <c r="B797" s="71">
        <v>152971</v>
      </c>
      <c r="C797" s="71" t="s">
        <v>729</v>
      </c>
      <c r="D797" s="71" t="s">
        <v>381</v>
      </c>
      <c r="E797" s="71" t="s">
        <v>623</v>
      </c>
      <c r="F797" s="71" t="s">
        <v>624</v>
      </c>
      <c r="G797" s="74">
        <v>2953</v>
      </c>
      <c r="H797" s="72">
        <v>94.870157000000006</v>
      </c>
      <c r="I797" s="73">
        <v>280151.57362099999</v>
      </c>
      <c r="J797" s="72">
        <v>96.692672049999999</v>
      </c>
      <c r="K797" s="73">
        <v>-5381.8869426499996</v>
      </c>
      <c r="L797" s="74">
        <v>0</v>
      </c>
      <c r="M797" s="73">
        <v>0</v>
      </c>
      <c r="N797" s="74">
        <v>0</v>
      </c>
      <c r="O797" s="73">
        <v>0</v>
      </c>
      <c r="P797" s="74">
        <v>2953</v>
      </c>
      <c r="Q797" s="73">
        <v>280151.57362099999</v>
      </c>
      <c r="R797" s="71" t="s">
        <v>625</v>
      </c>
      <c r="S797" s="71">
        <v>7414000005</v>
      </c>
      <c r="T797" s="19"/>
      <c r="AB797"/>
      <c r="AC797"/>
    </row>
    <row r="798" spans="1:29" x14ac:dyDescent="0.25">
      <c r="A798" t="str">
        <f t="shared" si="13"/>
        <v xml:space="preserve">152971GOBFED 290301       </v>
      </c>
      <c r="B798" s="71">
        <v>152971</v>
      </c>
      <c r="C798" s="71" t="s">
        <v>729</v>
      </c>
      <c r="D798" s="71" t="s">
        <v>382</v>
      </c>
      <c r="E798" s="71" t="s">
        <v>623</v>
      </c>
      <c r="F798" s="71" t="s">
        <v>624</v>
      </c>
      <c r="G798" s="74">
        <v>11334</v>
      </c>
      <c r="H798" s="72">
        <v>89.489464999999996</v>
      </c>
      <c r="I798" s="73">
        <v>1014273.5963100001</v>
      </c>
      <c r="J798" s="72">
        <v>83.461092959648838</v>
      </c>
      <c r="K798" s="73">
        <v>68325.568705340003</v>
      </c>
      <c r="L798" s="74">
        <v>0</v>
      </c>
      <c r="M798" s="73">
        <v>0</v>
      </c>
      <c r="N798" s="74">
        <v>0</v>
      </c>
      <c r="O798" s="73">
        <v>0</v>
      </c>
      <c r="P798" s="74">
        <v>11334</v>
      </c>
      <c r="Q798" s="73">
        <v>1014273.5963100001</v>
      </c>
      <c r="R798" s="71" t="s">
        <v>625</v>
      </c>
      <c r="S798" s="71">
        <v>7414000005</v>
      </c>
      <c r="T798" s="19"/>
      <c r="AB798"/>
      <c r="AC798"/>
    </row>
    <row r="799" spans="1:29" x14ac:dyDescent="0.25">
      <c r="A799" t="str">
        <f t="shared" si="13"/>
        <v xml:space="preserve">152971GOBFED 290531       </v>
      </c>
      <c r="B799" s="71">
        <v>152971</v>
      </c>
      <c r="C799" s="71" t="s">
        <v>729</v>
      </c>
      <c r="D799" s="71" t="s">
        <v>383</v>
      </c>
      <c r="E799" s="71" t="s">
        <v>623</v>
      </c>
      <c r="F799" s="71" t="s">
        <v>624</v>
      </c>
      <c r="G799" s="74">
        <v>7760</v>
      </c>
      <c r="H799" s="72">
        <v>86.197128000000006</v>
      </c>
      <c r="I799" s="73">
        <v>668889.71328000003</v>
      </c>
      <c r="J799" s="72">
        <v>89.851363189716494</v>
      </c>
      <c r="K799" s="73">
        <v>-28356.865072199998</v>
      </c>
      <c r="L799" s="74">
        <v>0</v>
      </c>
      <c r="M799" s="73">
        <v>0</v>
      </c>
      <c r="N799" s="74">
        <v>0</v>
      </c>
      <c r="O799" s="73">
        <v>0</v>
      </c>
      <c r="P799" s="74">
        <v>7760</v>
      </c>
      <c r="Q799" s="73">
        <v>668889.71328000003</v>
      </c>
      <c r="R799" s="71" t="s">
        <v>625</v>
      </c>
      <c r="S799" s="71">
        <v>7414000005</v>
      </c>
      <c r="AB799"/>
      <c r="AC799"/>
    </row>
    <row r="800" spans="1:29" x14ac:dyDescent="0.25">
      <c r="A800" t="str">
        <f t="shared" si="13"/>
        <v xml:space="preserve">152971GOBFED 310529       </v>
      </c>
      <c r="B800" s="71">
        <v>152971</v>
      </c>
      <c r="C800" s="71" t="s">
        <v>729</v>
      </c>
      <c r="D800" s="71" t="s">
        <v>427</v>
      </c>
      <c r="E800" s="71" t="s">
        <v>623</v>
      </c>
      <c r="F800" s="71" t="s">
        <v>624</v>
      </c>
      <c r="G800" s="74">
        <v>39629</v>
      </c>
      <c r="H800" s="72">
        <v>86.469353999999996</v>
      </c>
      <c r="I800" s="73">
        <v>3426694.029666</v>
      </c>
      <c r="J800" s="72">
        <v>90.513408445430613</v>
      </c>
      <c r="K800" s="73">
        <v>-160261.83361797</v>
      </c>
      <c r="L800" s="74">
        <v>0</v>
      </c>
      <c r="M800" s="73">
        <v>0</v>
      </c>
      <c r="N800" s="74">
        <v>0</v>
      </c>
      <c r="O800" s="73">
        <v>0</v>
      </c>
      <c r="P800" s="74">
        <v>39629</v>
      </c>
      <c r="Q800" s="73">
        <v>3426694.029666</v>
      </c>
      <c r="R800" s="71" t="s">
        <v>625</v>
      </c>
      <c r="S800" s="71">
        <v>7414000005</v>
      </c>
      <c r="T800" s="19"/>
      <c r="AB800"/>
      <c r="AC800"/>
    </row>
    <row r="801" spans="1:29" x14ac:dyDescent="0.25">
      <c r="A801" t="str">
        <f t="shared" si="13"/>
        <v xml:space="preserve">152971GOBFED 330526       </v>
      </c>
      <c r="B801" s="71">
        <v>152971</v>
      </c>
      <c r="C801" s="71" t="s">
        <v>729</v>
      </c>
      <c r="D801" s="71" t="s">
        <v>418</v>
      </c>
      <c r="E801" s="71" t="s">
        <v>623</v>
      </c>
      <c r="F801" s="71" t="s">
        <v>624</v>
      </c>
      <c r="G801" s="74">
        <v>507</v>
      </c>
      <c r="H801" s="72">
        <v>101.45096599999999</v>
      </c>
      <c r="I801" s="73">
        <v>51435.639761999999</v>
      </c>
      <c r="J801" s="72">
        <v>114.11447106</v>
      </c>
      <c r="K801" s="73">
        <v>-6420.3970654200002</v>
      </c>
      <c r="L801" s="74">
        <v>0</v>
      </c>
      <c r="M801" s="73">
        <v>0</v>
      </c>
      <c r="N801" s="74">
        <v>0</v>
      </c>
      <c r="O801" s="73">
        <v>0</v>
      </c>
      <c r="P801" s="74">
        <v>507</v>
      </c>
      <c r="Q801" s="73">
        <v>51435.639761999999</v>
      </c>
      <c r="R801" s="71" t="s">
        <v>625</v>
      </c>
      <c r="S801" s="71">
        <v>7414000005</v>
      </c>
      <c r="AB801"/>
      <c r="AC801"/>
    </row>
    <row r="802" spans="1:29" x14ac:dyDescent="0.25">
      <c r="A802" t="str">
        <f t="shared" si="13"/>
        <v xml:space="preserve">152971GOBFED 341123       </v>
      </c>
      <c r="B802" s="71">
        <v>152971</v>
      </c>
      <c r="C802" s="71" t="s">
        <v>729</v>
      </c>
      <c r="D802" s="71" t="s">
        <v>408</v>
      </c>
      <c r="E802" s="71" t="s">
        <v>623</v>
      </c>
      <c r="F802" s="71" t="s">
        <v>624</v>
      </c>
      <c r="G802" s="74">
        <v>657</v>
      </c>
      <c r="H802" s="72">
        <v>89.643172000000007</v>
      </c>
      <c r="I802" s="73">
        <v>58895.564004</v>
      </c>
      <c r="J802" s="72">
        <v>108.47711812999999</v>
      </c>
      <c r="K802" s="73">
        <v>-12373.90260741</v>
      </c>
      <c r="L802" s="74">
        <v>0</v>
      </c>
      <c r="M802" s="73">
        <v>0</v>
      </c>
      <c r="N802" s="74">
        <v>0</v>
      </c>
      <c r="O802" s="73">
        <v>0</v>
      </c>
      <c r="P802" s="74">
        <v>657</v>
      </c>
      <c r="Q802" s="73">
        <v>58895.564004</v>
      </c>
      <c r="R802" s="71" t="s">
        <v>625</v>
      </c>
      <c r="S802" s="71">
        <v>7414000005</v>
      </c>
      <c r="AB802"/>
      <c r="AC802"/>
    </row>
    <row r="803" spans="1:29" x14ac:dyDescent="0.25">
      <c r="A803" t="str">
        <f t="shared" si="13"/>
        <v xml:space="preserve">152971GOBFED 361120       </v>
      </c>
      <c r="B803" s="71">
        <v>152971</v>
      </c>
      <c r="C803" s="71" t="s">
        <v>729</v>
      </c>
      <c r="D803" s="71" t="s">
        <v>384</v>
      </c>
      <c r="E803" s="71" t="s">
        <v>623</v>
      </c>
      <c r="F803" s="71" t="s">
        <v>624</v>
      </c>
      <c r="G803" s="74">
        <v>14007</v>
      </c>
      <c r="H803" s="72">
        <v>81.738860000000003</v>
      </c>
      <c r="I803" s="73">
        <v>1144916.21202</v>
      </c>
      <c r="J803" s="72">
        <v>86.459614233283361</v>
      </c>
      <c r="K803" s="73">
        <v>-66123.604545599999</v>
      </c>
      <c r="L803" s="74">
        <v>0</v>
      </c>
      <c r="M803" s="73">
        <v>0</v>
      </c>
      <c r="N803" s="74">
        <v>0</v>
      </c>
      <c r="O803" s="73">
        <v>0</v>
      </c>
      <c r="P803" s="74">
        <v>14007</v>
      </c>
      <c r="Q803" s="73">
        <v>1144916.21202</v>
      </c>
      <c r="R803" s="71" t="s">
        <v>625</v>
      </c>
      <c r="S803" s="71">
        <v>7414000005</v>
      </c>
      <c r="AB803"/>
      <c r="AC803"/>
    </row>
    <row r="804" spans="1:29" x14ac:dyDescent="0.25">
      <c r="A804" t="str">
        <f t="shared" si="13"/>
        <v xml:space="preserve">152971GOBFED 381118       </v>
      </c>
      <c r="B804" s="71">
        <v>152971</v>
      </c>
      <c r="C804" s="71" t="s">
        <v>729</v>
      </c>
      <c r="D804" s="71" t="s">
        <v>385</v>
      </c>
      <c r="E804" s="71" t="s">
        <v>623</v>
      </c>
      <c r="F804" s="71" t="s">
        <v>624</v>
      </c>
      <c r="G804" s="74">
        <v>2080</v>
      </c>
      <c r="H804" s="72">
        <v>83.200761</v>
      </c>
      <c r="I804" s="73">
        <v>173057.58288</v>
      </c>
      <c r="J804" s="72">
        <v>93.184550292500006</v>
      </c>
      <c r="K804" s="73">
        <v>-20766.281728400001</v>
      </c>
      <c r="L804" s="74">
        <v>0</v>
      </c>
      <c r="M804" s="73">
        <v>0</v>
      </c>
      <c r="N804" s="74">
        <v>0</v>
      </c>
      <c r="O804" s="73">
        <v>0</v>
      </c>
      <c r="P804" s="74">
        <v>2080</v>
      </c>
      <c r="Q804" s="73">
        <v>173057.58288</v>
      </c>
      <c r="R804" s="71" t="s">
        <v>625</v>
      </c>
      <c r="S804" s="71">
        <v>7414000005</v>
      </c>
      <c r="T804" s="19"/>
      <c r="AB804"/>
      <c r="AC804"/>
    </row>
    <row r="805" spans="1:29" x14ac:dyDescent="0.25">
      <c r="A805" t="str">
        <f t="shared" si="13"/>
        <v xml:space="preserve">152971GOBFED 421113       </v>
      </c>
      <c r="B805" s="71">
        <v>152971</v>
      </c>
      <c r="C805" s="71" t="s">
        <v>729</v>
      </c>
      <c r="D805" s="71" t="s">
        <v>386</v>
      </c>
      <c r="E805" s="71" t="s">
        <v>623</v>
      </c>
      <c r="F805" s="71" t="s">
        <v>624</v>
      </c>
      <c r="G805" s="74">
        <v>21201</v>
      </c>
      <c r="H805" s="72">
        <v>82.159907000000004</v>
      </c>
      <c r="I805" s="73">
        <v>1741872.1883070001</v>
      </c>
      <c r="J805" s="72">
        <v>84.233747164370556</v>
      </c>
      <c r="K805" s="73">
        <v>-43967.485324820002</v>
      </c>
      <c r="L805" s="74">
        <v>0</v>
      </c>
      <c r="M805" s="73">
        <v>0</v>
      </c>
      <c r="N805" s="74">
        <v>0</v>
      </c>
      <c r="O805" s="73">
        <v>0</v>
      </c>
      <c r="P805" s="74">
        <v>21201</v>
      </c>
      <c r="Q805" s="73">
        <v>1741872.1883070001</v>
      </c>
      <c r="R805" s="71" t="s">
        <v>625</v>
      </c>
      <c r="S805" s="71">
        <v>7414000005</v>
      </c>
      <c r="AB805"/>
      <c r="AC805"/>
    </row>
    <row r="806" spans="1:29" x14ac:dyDescent="0.25">
      <c r="A806" t="str">
        <f t="shared" si="13"/>
        <v xml:space="preserve">152971GOBFED 471107       </v>
      </c>
      <c r="B806" s="71">
        <v>152971</v>
      </c>
      <c r="C806" s="71" t="s">
        <v>729</v>
      </c>
      <c r="D806" s="71" t="s">
        <v>429</v>
      </c>
      <c r="E806" s="71" t="s">
        <v>623</v>
      </c>
      <c r="F806" s="71" t="s">
        <v>624</v>
      </c>
      <c r="G806" s="74">
        <v>10290</v>
      </c>
      <c r="H806" s="72">
        <v>98.007834000000003</v>
      </c>
      <c r="I806" s="73">
        <v>1008500.6118599999</v>
      </c>
      <c r="J806" s="72">
        <v>92.06780790645287</v>
      </c>
      <c r="K806" s="73">
        <v>61122.868502600002</v>
      </c>
      <c r="L806" s="74">
        <v>0</v>
      </c>
      <c r="M806" s="73">
        <v>0</v>
      </c>
      <c r="N806" s="74">
        <v>0</v>
      </c>
      <c r="O806" s="73">
        <v>0</v>
      </c>
      <c r="P806" s="74">
        <v>10290</v>
      </c>
      <c r="Q806" s="73">
        <v>1008500.6118599999</v>
      </c>
      <c r="R806" s="71" t="s">
        <v>625</v>
      </c>
      <c r="S806" s="71">
        <v>7414000005</v>
      </c>
      <c r="AB806"/>
      <c r="AC806"/>
    </row>
    <row r="807" spans="1:29" x14ac:dyDescent="0.25">
      <c r="A807" t="str">
        <f t="shared" si="13"/>
        <v xml:space="preserve">152971GOBFED 530731       </v>
      </c>
      <c r="B807" s="71">
        <v>152971</v>
      </c>
      <c r="C807" s="71" t="s">
        <v>729</v>
      </c>
      <c r="D807" s="71" t="s">
        <v>389</v>
      </c>
      <c r="E807" s="71" t="s">
        <v>623</v>
      </c>
      <c r="F807" s="71" t="s">
        <v>624</v>
      </c>
      <c r="G807" s="74">
        <v>2085150</v>
      </c>
      <c r="H807" s="72">
        <v>3.3967719999999999</v>
      </c>
      <c r="I807" s="73">
        <v>7082779.1358000003</v>
      </c>
      <c r="J807" s="72">
        <v>3.2974583603098098</v>
      </c>
      <c r="K807" s="73">
        <v>207083.8358</v>
      </c>
      <c r="L807" s="74">
        <v>0</v>
      </c>
      <c r="M807" s="73">
        <v>0</v>
      </c>
      <c r="N807" s="74">
        <v>0</v>
      </c>
      <c r="O807" s="73">
        <v>0</v>
      </c>
      <c r="P807" s="74">
        <v>2085150</v>
      </c>
      <c r="Q807" s="73">
        <v>7082779.1358000003</v>
      </c>
      <c r="R807" s="71" t="s">
        <v>625</v>
      </c>
      <c r="S807" s="71">
        <v>7414000005</v>
      </c>
      <c r="AB807"/>
      <c r="AC807"/>
    </row>
    <row r="808" spans="1:29" x14ac:dyDescent="0.25">
      <c r="A808" t="str">
        <f t="shared" si="13"/>
        <v xml:space="preserve">152971PEMEX 13-2          </v>
      </c>
      <c r="B808" s="71">
        <v>152971</v>
      </c>
      <c r="C808" s="71" t="s">
        <v>729</v>
      </c>
      <c r="D808" s="71" t="s">
        <v>417</v>
      </c>
      <c r="E808" s="71" t="s">
        <v>623</v>
      </c>
      <c r="F808" s="71" t="s">
        <v>624</v>
      </c>
      <c r="G808" s="74">
        <v>1858513</v>
      </c>
      <c r="H808" s="72">
        <v>3.8832339999999999</v>
      </c>
      <c r="I808" s="73">
        <v>7217040.8710420001</v>
      </c>
      <c r="J808" s="72">
        <v>2.8731066933618434</v>
      </c>
      <c r="K808" s="73">
        <v>1877334.731042</v>
      </c>
      <c r="L808" s="74">
        <v>0</v>
      </c>
      <c r="M808" s="73">
        <v>0</v>
      </c>
      <c r="N808" s="74">
        <v>0</v>
      </c>
      <c r="O808" s="73">
        <v>0</v>
      </c>
      <c r="P808" s="74">
        <v>1858513</v>
      </c>
      <c r="Q808" s="73">
        <v>7217040.8710420001</v>
      </c>
      <c r="R808" s="71" t="s">
        <v>625</v>
      </c>
      <c r="S808" s="71">
        <v>7414000005</v>
      </c>
      <c r="AB808"/>
      <c r="AC808"/>
    </row>
    <row r="809" spans="1:29" x14ac:dyDescent="0.25">
      <c r="A809" t="str">
        <f t="shared" si="13"/>
        <v xml:space="preserve">152971STERGOB ED          </v>
      </c>
      <c r="B809" s="71">
        <v>152971</v>
      </c>
      <c r="C809" s="71" t="s">
        <v>729</v>
      </c>
      <c r="D809" s="71" t="s">
        <v>466</v>
      </c>
      <c r="E809" s="71" t="s">
        <v>623</v>
      </c>
      <c r="F809" s="71" t="s">
        <v>624</v>
      </c>
      <c r="G809" s="74">
        <v>152</v>
      </c>
      <c r="H809" s="72">
        <v>256.05011500000001</v>
      </c>
      <c r="I809" s="73">
        <v>38919.617480000001</v>
      </c>
      <c r="J809" s="72">
        <v>487.32003911999999</v>
      </c>
      <c r="K809" s="73">
        <v>-35153.028466240001</v>
      </c>
      <c r="L809" s="74">
        <v>0</v>
      </c>
      <c r="M809" s="73">
        <v>0</v>
      </c>
      <c r="N809" s="74">
        <v>0</v>
      </c>
      <c r="O809" s="73">
        <v>0</v>
      </c>
      <c r="P809" s="74">
        <v>152</v>
      </c>
      <c r="Q809" s="73">
        <v>38919.617480000001</v>
      </c>
      <c r="R809" s="71" t="s">
        <v>625</v>
      </c>
      <c r="S809" s="71">
        <v>7414000005</v>
      </c>
      <c r="AB809"/>
      <c r="AC809"/>
    </row>
    <row r="810" spans="1:29" x14ac:dyDescent="0.25">
      <c r="A810" t="str">
        <f t="shared" si="13"/>
        <v xml:space="preserve">152971STRGOB2 ED          </v>
      </c>
      <c r="B810" s="71">
        <v>152971</v>
      </c>
      <c r="C810" s="71" t="s">
        <v>729</v>
      </c>
      <c r="D810" s="71" t="s">
        <v>449</v>
      </c>
      <c r="E810" s="71" t="s">
        <v>623</v>
      </c>
      <c r="F810" s="71" t="s">
        <v>624</v>
      </c>
      <c r="G810" s="74">
        <v>0</v>
      </c>
      <c r="H810" s="72">
        <v>0</v>
      </c>
      <c r="I810" s="73">
        <v>0</v>
      </c>
      <c r="J810" s="72">
        <v>0</v>
      </c>
      <c r="K810" s="73">
        <v>0</v>
      </c>
      <c r="L810" s="74">
        <v>0</v>
      </c>
      <c r="M810" s="73">
        <v>0</v>
      </c>
      <c r="N810" s="74">
        <v>0</v>
      </c>
      <c r="O810" s="73">
        <v>0</v>
      </c>
      <c r="P810" s="74">
        <v>0</v>
      </c>
      <c r="Q810" s="73">
        <v>0</v>
      </c>
      <c r="R810" s="71" t="s">
        <v>625</v>
      </c>
      <c r="S810" s="71">
        <v>7414000005</v>
      </c>
      <c r="AB810"/>
      <c r="AC810"/>
    </row>
    <row r="811" spans="1:29" x14ac:dyDescent="0.25">
      <c r="A811" t="str">
        <f t="shared" si="13"/>
        <v xml:space="preserve">152971TFOVICB 15U         </v>
      </c>
      <c r="B811" s="71">
        <v>152971</v>
      </c>
      <c r="C811" s="71" t="s">
        <v>729</v>
      </c>
      <c r="D811" s="71" t="s">
        <v>391</v>
      </c>
      <c r="E811" s="71" t="s">
        <v>623</v>
      </c>
      <c r="F811" s="71" t="s">
        <v>624</v>
      </c>
      <c r="G811" s="74">
        <v>878</v>
      </c>
      <c r="H811" s="72">
        <v>775.69178699999998</v>
      </c>
      <c r="I811" s="73">
        <v>681057.38898599998</v>
      </c>
      <c r="J811" s="72">
        <v>700.47549593253984</v>
      </c>
      <c r="K811" s="73">
        <v>66039.903557230005</v>
      </c>
      <c r="L811" s="74">
        <v>0</v>
      </c>
      <c r="M811" s="73">
        <v>0</v>
      </c>
      <c r="N811" s="74">
        <v>0</v>
      </c>
      <c r="O811" s="73">
        <v>0</v>
      </c>
      <c r="P811" s="74">
        <v>878</v>
      </c>
      <c r="Q811" s="73">
        <v>681057.38898599998</v>
      </c>
      <c r="R811" s="71" t="s">
        <v>625</v>
      </c>
      <c r="S811" s="71">
        <v>7414000005</v>
      </c>
      <c r="AB811"/>
      <c r="AC811"/>
    </row>
    <row r="812" spans="1:29" x14ac:dyDescent="0.25">
      <c r="A812" t="str">
        <f t="shared" si="13"/>
        <v xml:space="preserve">152971UDIBONO 171214      </v>
      </c>
      <c r="B812" s="71">
        <v>152971</v>
      </c>
      <c r="C812" s="71" t="s">
        <v>729</v>
      </c>
      <c r="D812" s="71" t="s">
        <v>392</v>
      </c>
      <c r="E812" s="71" t="s">
        <v>623</v>
      </c>
      <c r="F812" s="71" t="s">
        <v>624</v>
      </c>
      <c r="G812" s="74">
        <v>1360</v>
      </c>
      <c r="H812" s="72">
        <v>747.17843200000004</v>
      </c>
      <c r="I812" s="73">
        <v>1016162.66752</v>
      </c>
      <c r="J812" s="72">
        <v>709.92481254102938</v>
      </c>
      <c r="K812" s="73">
        <v>50664.922464199997</v>
      </c>
      <c r="L812" s="74">
        <v>0</v>
      </c>
      <c r="M812" s="73">
        <v>0</v>
      </c>
      <c r="N812" s="74">
        <v>0</v>
      </c>
      <c r="O812" s="73">
        <v>0</v>
      </c>
      <c r="P812" s="74">
        <v>1360</v>
      </c>
      <c r="Q812" s="73">
        <v>1016162.66752</v>
      </c>
      <c r="R812" s="71" t="s">
        <v>625</v>
      </c>
      <c r="S812" s="71">
        <v>7414000005</v>
      </c>
      <c r="AB812"/>
      <c r="AC812"/>
    </row>
    <row r="813" spans="1:29" x14ac:dyDescent="0.25">
      <c r="A813" t="str">
        <f t="shared" si="13"/>
        <v xml:space="preserve">152971UDIBONO 251204      </v>
      </c>
      <c r="B813" s="71">
        <v>152971</v>
      </c>
      <c r="C813" s="71" t="s">
        <v>729</v>
      </c>
      <c r="D813" s="71" t="s">
        <v>393</v>
      </c>
      <c r="E813" s="71" t="s">
        <v>623</v>
      </c>
      <c r="F813" s="71" t="s">
        <v>624</v>
      </c>
      <c r="G813" s="74">
        <v>1328</v>
      </c>
      <c r="H813" s="72">
        <v>765.92388300000005</v>
      </c>
      <c r="I813" s="73">
        <v>1017146.9166239999</v>
      </c>
      <c r="J813" s="72">
        <v>751.83943144423188</v>
      </c>
      <c r="K813" s="73">
        <v>18704.151666059999</v>
      </c>
      <c r="L813" s="74">
        <v>0</v>
      </c>
      <c r="M813" s="73">
        <v>0</v>
      </c>
      <c r="N813" s="74">
        <v>0</v>
      </c>
      <c r="O813" s="73">
        <v>0</v>
      </c>
      <c r="P813" s="74">
        <v>1328</v>
      </c>
      <c r="Q813" s="73">
        <v>1017146.9166239999</v>
      </c>
      <c r="R813" s="71" t="s">
        <v>625</v>
      </c>
      <c r="S813" s="71">
        <v>7414000005</v>
      </c>
      <c r="AB813"/>
      <c r="AC813"/>
    </row>
    <row r="814" spans="1:29" x14ac:dyDescent="0.25">
      <c r="A814" t="str">
        <f t="shared" si="13"/>
        <v xml:space="preserve">152971UDIBONO 261203      </v>
      </c>
      <c r="B814" s="71">
        <v>152971</v>
      </c>
      <c r="C814" s="71" t="s">
        <v>729</v>
      </c>
      <c r="D814" s="71" t="s">
        <v>394</v>
      </c>
      <c r="E814" s="71" t="s">
        <v>623</v>
      </c>
      <c r="F814" s="71" t="s">
        <v>624</v>
      </c>
      <c r="G814" s="74">
        <v>6375</v>
      </c>
      <c r="H814" s="72">
        <v>684.88915799999995</v>
      </c>
      <c r="I814" s="73">
        <v>4366168.3822499998</v>
      </c>
      <c r="J814" s="72">
        <v>677.1594670729412</v>
      </c>
      <c r="K814" s="73">
        <v>49276.77966</v>
      </c>
      <c r="L814" s="74">
        <v>0</v>
      </c>
      <c r="M814" s="73">
        <v>0</v>
      </c>
      <c r="N814" s="74">
        <v>0</v>
      </c>
      <c r="O814" s="73">
        <v>0</v>
      </c>
      <c r="P814" s="74">
        <v>6375</v>
      </c>
      <c r="Q814" s="73">
        <v>4366168.3822499998</v>
      </c>
      <c r="R814" s="71" t="s">
        <v>625</v>
      </c>
      <c r="S814" s="71">
        <v>7414000005</v>
      </c>
      <c r="T814" s="19"/>
      <c r="AB814"/>
      <c r="AC814"/>
    </row>
    <row r="815" spans="1:29" x14ac:dyDescent="0.25">
      <c r="A815" t="str">
        <f t="shared" si="13"/>
        <v xml:space="preserve">152971UDIBONO 281130      </v>
      </c>
      <c r="B815" s="71">
        <v>152971</v>
      </c>
      <c r="C815" s="71" t="s">
        <v>729</v>
      </c>
      <c r="D815" s="71" t="s">
        <v>395</v>
      </c>
      <c r="E815" s="71" t="s">
        <v>623</v>
      </c>
      <c r="F815" s="71" t="s">
        <v>624</v>
      </c>
      <c r="G815" s="74">
        <v>616</v>
      </c>
      <c r="H815" s="72">
        <v>772.926965</v>
      </c>
      <c r="I815" s="73">
        <v>476123.01043999998</v>
      </c>
      <c r="J815" s="72">
        <v>798.93664675000002</v>
      </c>
      <c r="K815" s="73">
        <v>-16021.963958</v>
      </c>
      <c r="L815" s="74">
        <v>0</v>
      </c>
      <c r="M815" s="73">
        <v>0</v>
      </c>
      <c r="N815" s="74">
        <v>0</v>
      </c>
      <c r="O815" s="73">
        <v>0</v>
      </c>
      <c r="P815" s="74">
        <v>616</v>
      </c>
      <c r="Q815" s="73">
        <v>476123.01043999998</v>
      </c>
      <c r="R815" s="71" t="s">
        <v>625</v>
      </c>
      <c r="S815" s="71">
        <v>7414000005</v>
      </c>
      <c r="AB815"/>
      <c r="AC815"/>
    </row>
    <row r="816" spans="1:29" x14ac:dyDescent="0.25">
      <c r="A816" t="str">
        <f t="shared" si="13"/>
        <v xml:space="preserve">152971UDIBONO 311127      </v>
      </c>
      <c r="B816" s="71">
        <v>152971</v>
      </c>
      <c r="C816" s="71" t="s">
        <v>729</v>
      </c>
      <c r="D816" s="71" t="s">
        <v>396</v>
      </c>
      <c r="E816" s="71" t="s">
        <v>623</v>
      </c>
      <c r="F816" s="71" t="s">
        <v>624</v>
      </c>
      <c r="G816" s="74">
        <v>679</v>
      </c>
      <c r="H816" s="72">
        <v>721.59464000000003</v>
      </c>
      <c r="I816" s="73">
        <v>489962.76056000002</v>
      </c>
      <c r="J816" s="72">
        <v>779.21218873468331</v>
      </c>
      <c r="K816" s="73">
        <v>-39122.315590849998</v>
      </c>
      <c r="L816" s="74">
        <v>0</v>
      </c>
      <c r="M816" s="73">
        <v>0</v>
      </c>
      <c r="N816" s="74">
        <v>0</v>
      </c>
      <c r="O816" s="73">
        <v>0</v>
      </c>
      <c r="P816" s="74">
        <v>679</v>
      </c>
      <c r="Q816" s="73">
        <v>489962.76056000002</v>
      </c>
      <c r="R816" s="71" t="s">
        <v>625</v>
      </c>
      <c r="S816" s="71">
        <v>7414000005</v>
      </c>
      <c r="AB816"/>
      <c r="AC816"/>
    </row>
    <row r="817" spans="1:29" x14ac:dyDescent="0.25">
      <c r="A817" t="str">
        <f t="shared" si="13"/>
        <v xml:space="preserve">152971UDIBONO 351122      </v>
      </c>
      <c r="B817" s="71">
        <v>152971</v>
      </c>
      <c r="C817" s="71" t="s">
        <v>729</v>
      </c>
      <c r="D817" s="71" t="s">
        <v>397</v>
      </c>
      <c r="E817" s="71" t="s">
        <v>623</v>
      </c>
      <c r="F817" s="71" t="s">
        <v>624</v>
      </c>
      <c r="G817" s="74">
        <v>638</v>
      </c>
      <c r="H817" s="72">
        <v>635.96311900000001</v>
      </c>
      <c r="I817" s="73">
        <v>405744.46992200002</v>
      </c>
      <c r="J817" s="72">
        <v>647.93802047999998</v>
      </c>
      <c r="K817" s="73">
        <v>-7639.9871442399999</v>
      </c>
      <c r="L817" s="74">
        <v>0</v>
      </c>
      <c r="M817" s="73">
        <v>0</v>
      </c>
      <c r="N817" s="74">
        <v>0</v>
      </c>
      <c r="O817" s="73">
        <v>0</v>
      </c>
      <c r="P817" s="74">
        <v>638</v>
      </c>
      <c r="Q817" s="73">
        <v>405744.46992200002</v>
      </c>
      <c r="R817" s="71" t="s">
        <v>625</v>
      </c>
      <c r="S817" s="71">
        <v>7414000005</v>
      </c>
      <c r="AB817"/>
      <c r="AC817"/>
    </row>
    <row r="818" spans="1:29" x14ac:dyDescent="0.25">
      <c r="A818" t="str">
        <f t="shared" si="13"/>
        <v xml:space="preserve">152971UDIBONO 401115      </v>
      </c>
      <c r="B818" s="71">
        <v>152971</v>
      </c>
      <c r="C818" s="71" t="s">
        <v>729</v>
      </c>
      <c r="D818" s="71" t="s">
        <v>398</v>
      </c>
      <c r="E818" s="71" t="s">
        <v>623</v>
      </c>
      <c r="F818" s="71" t="s">
        <v>624</v>
      </c>
      <c r="G818" s="74">
        <v>1046</v>
      </c>
      <c r="H818" s="72">
        <v>709.36974099999998</v>
      </c>
      <c r="I818" s="73">
        <v>742000.74908600003</v>
      </c>
      <c r="J818" s="72">
        <v>728.33197593174953</v>
      </c>
      <c r="K818" s="73">
        <v>-19834.49773861</v>
      </c>
      <c r="L818" s="74">
        <v>0</v>
      </c>
      <c r="M818" s="73">
        <v>0</v>
      </c>
      <c r="N818" s="74">
        <v>0</v>
      </c>
      <c r="O818" s="73">
        <v>0</v>
      </c>
      <c r="P818" s="74">
        <v>1046</v>
      </c>
      <c r="Q818" s="73">
        <v>742000.74908600003</v>
      </c>
      <c r="R818" s="71" t="s">
        <v>625</v>
      </c>
      <c r="S818" s="71">
        <v>7414000005</v>
      </c>
      <c r="AB818"/>
      <c r="AC818"/>
    </row>
    <row r="819" spans="1:29" x14ac:dyDescent="0.25">
      <c r="A819" t="str">
        <f t="shared" si="13"/>
        <v xml:space="preserve">152971UDIBONO 431112      </v>
      </c>
      <c r="B819" s="71">
        <v>152971</v>
      </c>
      <c r="C819" s="71" t="s">
        <v>729</v>
      </c>
      <c r="D819" s="71" t="s">
        <v>399</v>
      </c>
      <c r="E819" s="71" t="s">
        <v>623</v>
      </c>
      <c r="F819" s="71" t="s">
        <v>624</v>
      </c>
      <c r="G819" s="74">
        <v>3818</v>
      </c>
      <c r="H819" s="72">
        <v>694.41118700000004</v>
      </c>
      <c r="I819" s="73">
        <v>2651261.9119660002</v>
      </c>
      <c r="J819" s="72">
        <v>724.71258163232585</v>
      </c>
      <c r="K819" s="73">
        <v>-115690.72470622</v>
      </c>
      <c r="L819" s="74">
        <v>0</v>
      </c>
      <c r="M819" s="73">
        <v>0</v>
      </c>
      <c r="N819" s="74">
        <v>0</v>
      </c>
      <c r="O819" s="73">
        <v>0</v>
      </c>
      <c r="P819" s="74">
        <v>3818</v>
      </c>
      <c r="Q819" s="73">
        <v>2651261.9119660002</v>
      </c>
      <c r="R819" s="71" t="s">
        <v>625</v>
      </c>
      <c r="S819" s="71">
        <v>7414000005</v>
      </c>
      <c r="AB819"/>
      <c r="AC819"/>
    </row>
    <row r="820" spans="1:29" x14ac:dyDescent="0.25">
      <c r="A820" t="str">
        <f t="shared" si="13"/>
        <v xml:space="preserve">152971UDIBONO 461108      </v>
      </c>
      <c r="B820" s="71">
        <v>152974</v>
      </c>
      <c r="C820" s="71" t="s">
        <v>730</v>
      </c>
      <c r="D820" s="71" t="s">
        <v>363</v>
      </c>
      <c r="E820" s="71" t="s">
        <v>623</v>
      </c>
      <c r="F820" s="71" t="s">
        <v>624</v>
      </c>
      <c r="G820" s="74">
        <v>136379</v>
      </c>
      <c r="H820" s="72">
        <v>9.4935880000000008</v>
      </c>
      <c r="I820" s="73">
        <v>1294726.037852</v>
      </c>
      <c r="J820" s="72">
        <v>8.4405498100000003</v>
      </c>
      <c r="K820" s="73">
        <v>143612.29531401</v>
      </c>
      <c r="L820" s="74">
        <v>0</v>
      </c>
      <c r="M820" s="73">
        <v>0</v>
      </c>
      <c r="N820" s="74">
        <v>0</v>
      </c>
      <c r="O820" s="73">
        <v>0</v>
      </c>
      <c r="P820" s="74">
        <v>136379</v>
      </c>
      <c r="Q820" s="73">
        <v>1294726.037852</v>
      </c>
      <c r="R820" s="71" t="s">
        <v>625</v>
      </c>
      <c r="S820" s="71">
        <v>7414000005</v>
      </c>
      <c r="AB820"/>
      <c r="AC820"/>
    </row>
    <row r="821" spans="1:29" x14ac:dyDescent="0.25">
      <c r="A821" t="str">
        <f t="shared" si="13"/>
        <v xml:space="preserve">152971UDIBONO 501103      </v>
      </c>
      <c r="B821" s="71">
        <v>152974</v>
      </c>
      <c r="C821" s="71" t="s">
        <v>730</v>
      </c>
      <c r="D821" s="71" t="s">
        <v>409</v>
      </c>
      <c r="E821" s="71" t="s">
        <v>623</v>
      </c>
      <c r="F821" s="71" t="s">
        <v>624</v>
      </c>
      <c r="G821" s="74">
        <v>185740</v>
      </c>
      <c r="H821" s="72">
        <v>9.3381629999999998</v>
      </c>
      <c r="I821" s="73">
        <v>1734470.3956200001</v>
      </c>
      <c r="J821" s="72">
        <v>8.3307969100000001</v>
      </c>
      <c r="K821" s="73">
        <v>187108.17755660001</v>
      </c>
      <c r="L821" s="74">
        <v>0</v>
      </c>
      <c r="M821" s="73">
        <v>0</v>
      </c>
      <c r="N821" s="74">
        <v>0</v>
      </c>
      <c r="O821" s="73">
        <v>0</v>
      </c>
      <c r="P821" s="74">
        <v>185740</v>
      </c>
      <c r="Q821" s="73">
        <v>1734470.3956200001</v>
      </c>
      <c r="R821" s="71" t="s">
        <v>625</v>
      </c>
      <c r="S821" s="71">
        <v>7414000005</v>
      </c>
      <c r="AB821"/>
      <c r="AC821"/>
    </row>
    <row r="822" spans="1:29" x14ac:dyDescent="0.25">
      <c r="A822" t="str">
        <f t="shared" si="13"/>
        <v xml:space="preserve">152974CETES 241003        </v>
      </c>
      <c r="B822" s="71">
        <v>152974</v>
      </c>
      <c r="C822" s="71" t="s">
        <v>730</v>
      </c>
      <c r="D822" s="71" t="s">
        <v>364</v>
      </c>
      <c r="E822" s="71" t="s">
        <v>623</v>
      </c>
      <c r="F822" s="71" t="s">
        <v>624</v>
      </c>
      <c r="G822" s="74">
        <v>234160</v>
      </c>
      <c r="H822" s="72">
        <v>9.190137</v>
      </c>
      <c r="I822" s="73">
        <v>2151962.4799199998</v>
      </c>
      <c r="J822" s="72">
        <v>8.2167948391860275</v>
      </c>
      <c r="K822" s="73">
        <v>227917.8003762</v>
      </c>
      <c r="L822" s="74">
        <v>0</v>
      </c>
      <c r="M822" s="73">
        <v>0</v>
      </c>
      <c r="N822" s="74">
        <v>0</v>
      </c>
      <c r="O822" s="73">
        <v>0</v>
      </c>
      <c r="P822" s="74">
        <v>234160</v>
      </c>
      <c r="Q822" s="73">
        <v>2151962.4799199998</v>
      </c>
      <c r="R822" s="71" t="s">
        <v>625</v>
      </c>
      <c r="S822" s="71">
        <v>7414000005</v>
      </c>
      <c r="AB822"/>
      <c r="AC822"/>
    </row>
    <row r="823" spans="1:29" x14ac:dyDescent="0.25">
      <c r="A823" t="str">
        <f t="shared" si="13"/>
        <v xml:space="preserve">152974CETES 241128        </v>
      </c>
      <c r="B823" s="71">
        <v>152974</v>
      </c>
      <c r="C823" s="71" t="s">
        <v>730</v>
      </c>
      <c r="D823" s="71" t="s">
        <v>554</v>
      </c>
      <c r="E823" s="71" t="s">
        <v>623</v>
      </c>
      <c r="F823" s="71" t="s">
        <v>624</v>
      </c>
      <c r="G823" s="74">
        <v>64920</v>
      </c>
      <c r="H823" s="72">
        <v>8.3813510000000004</v>
      </c>
      <c r="I823" s="73">
        <v>544117.30692</v>
      </c>
      <c r="J823" s="72">
        <v>8.2700011300000007</v>
      </c>
      <c r="K823" s="73">
        <v>7228.8335604000004</v>
      </c>
      <c r="L823" s="74">
        <v>0</v>
      </c>
      <c r="M823" s="73">
        <v>0</v>
      </c>
      <c r="N823" s="74">
        <v>0</v>
      </c>
      <c r="O823" s="73">
        <v>0</v>
      </c>
      <c r="P823" s="74">
        <v>64920</v>
      </c>
      <c r="Q823" s="73">
        <v>544117.30692</v>
      </c>
      <c r="R823" s="71" t="s">
        <v>625</v>
      </c>
      <c r="S823" s="71">
        <v>7414000005</v>
      </c>
      <c r="AB823"/>
      <c r="AC823"/>
    </row>
    <row r="824" spans="1:29" x14ac:dyDescent="0.25">
      <c r="A824" t="str">
        <f t="shared" si="13"/>
        <v xml:space="preserve">152974CETES 250123        </v>
      </c>
      <c r="B824" s="71">
        <v>152974</v>
      </c>
      <c r="C824" s="71" t="s">
        <v>730</v>
      </c>
      <c r="D824" s="71" t="s">
        <v>613</v>
      </c>
      <c r="E824" s="71" t="s">
        <v>623</v>
      </c>
      <c r="F824" s="71" t="s">
        <v>624</v>
      </c>
      <c r="G824" s="74">
        <v>132650</v>
      </c>
      <c r="H824" s="72">
        <v>8.2580650000000002</v>
      </c>
      <c r="I824" s="73">
        <v>1095432.32225</v>
      </c>
      <c r="J824" s="72">
        <v>8.2501711100000001</v>
      </c>
      <c r="K824" s="73">
        <v>1047.1245085</v>
      </c>
      <c r="L824" s="74">
        <v>0</v>
      </c>
      <c r="M824" s="73">
        <v>0</v>
      </c>
      <c r="N824" s="74">
        <v>0</v>
      </c>
      <c r="O824" s="73">
        <v>0</v>
      </c>
      <c r="P824" s="74">
        <v>132650</v>
      </c>
      <c r="Q824" s="73">
        <v>1095432.32225</v>
      </c>
      <c r="R824" s="71" t="s">
        <v>625</v>
      </c>
      <c r="S824" s="71">
        <v>7414000005</v>
      </c>
      <c r="AB824"/>
      <c r="AC824"/>
    </row>
    <row r="825" spans="1:29" x14ac:dyDescent="0.25">
      <c r="A825" t="str">
        <f t="shared" si="13"/>
        <v xml:space="preserve">152974CETES 251224        </v>
      </c>
      <c r="B825" s="71">
        <v>152974</v>
      </c>
      <c r="C825" s="71" t="s">
        <v>730</v>
      </c>
      <c r="D825" s="71" t="s">
        <v>375</v>
      </c>
      <c r="E825" s="71" t="s">
        <v>623</v>
      </c>
      <c r="F825" s="71" t="s">
        <v>624</v>
      </c>
      <c r="G825" s="74">
        <v>4530</v>
      </c>
      <c r="H825" s="72">
        <v>98.730349000000004</v>
      </c>
      <c r="I825" s="73">
        <v>447248.48096999998</v>
      </c>
      <c r="J825" s="72">
        <v>104.81191507</v>
      </c>
      <c r="K825" s="73">
        <v>-27549.494297099998</v>
      </c>
      <c r="L825" s="74">
        <v>0</v>
      </c>
      <c r="M825" s="73">
        <v>0</v>
      </c>
      <c r="N825" s="74">
        <v>0</v>
      </c>
      <c r="O825" s="73">
        <v>0</v>
      </c>
      <c r="P825" s="74">
        <v>4530</v>
      </c>
      <c r="Q825" s="73">
        <v>447248.48096999998</v>
      </c>
      <c r="R825" s="71" t="s">
        <v>625</v>
      </c>
      <c r="S825" s="71">
        <v>7414000005</v>
      </c>
      <c r="AB825"/>
      <c r="AC825"/>
    </row>
    <row r="826" spans="1:29" x14ac:dyDescent="0.25">
      <c r="A826" t="str">
        <f t="shared" si="13"/>
        <v xml:space="preserve">152974CETES 260219        </v>
      </c>
      <c r="B826" s="71">
        <v>152974</v>
      </c>
      <c r="C826" s="71" t="s">
        <v>730</v>
      </c>
      <c r="D826" s="71" t="s">
        <v>376</v>
      </c>
      <c r="E826" s="71" t="s">
        <v>623</v>
      </c>
      <c r="F826" s="71" t="s">
        <v>624</v>
      </c>
      <c r="G826" s="74">
        <v>7978</v>
      </c>
      <c r="H826" s="72">
        <v>99.247497999999993</v>
      </c>
      <c r="I826" s="73">
        <v>791796.53904399998</v>
      </c>
      <c r="J826" s="72">
        <v>107.59174377659313</v>
      </c>
      <c r="K826" s="73">
        <v>-66570.392805659998</v>
      </c>
      <c r="L826" s="74">
        <v>0</v>
      </c>
      <c r="M826" s="73">
        <v>0</v>
      </c>
      <c r="N826" s="74">
        <v>0</v>
      </c>
      <c r="O826" s="73">
        <v>0</v>
      </c>
      <c r="P826" s="74">
        <v>7978</v>
      </c>
      <c r="Q826" s="73">
        <v>791796.53904399998</v>
      </c>
      <c r="R826" s="71" t="s">
        <v>625</v>
      </c>
      <c r="S826" s="71">
        <v>7414000005</v>
      </c>
      <c r="AB826"/>
      <c r="AC826"/>
    </row>
    <row r="827" spans="1:29" x14ac:dyDescent="0.25">
      <c r="A827" t="str">
        <f t="shared" si="13"/>
        <v xml:space="preserve">152974GOBFED 240905       </v>
      </c>
      <c r="B827" s="71">
        <v>152974</v>
      </c>
      <c r="C827" s="71" t="s">
        <v>730</v>
      </c>
      <c r="D827" s="71" t="s">
        <v>377</v>
      </c>
      <c r="E827" s="71" t="s">
        <v>623</v>
      </c>
      <c r="F827" s="71" t="s">
        <v>624</v>
      </c>
      <c r="G827" s="74">
        <v>11009</v>
      </c>
      <c r="H827" s="72">
        <v>94.973146999999997</v>
      </c>
      <c r="I827" s="73">
        <v>1045559.375323</v>
      </c>
      <c r="J827" s="72">
        <v>90.01635830841856</v>
      </c>
      <c r="K827" s="73">
        <v>54569.286705619998</v>
      </c>
      <c r="L827" s="74">
        <v>0</v>
      </c>
      <c r="M827" s="73">
        <v>0</v>
      </c>
      <c r="N827" s="74">
        <v>0</v>
      </c>
      <c r="O827" s="73">
        <v>0</v>
      </c>
      <c r="P827" s="74">
        <v>11009</v>
      </c>
      <c r="Q827" s="73">
        <v>1045559.375323</v>
      </c>
      <c r="R827" s="71" t="s">
        <v>625</v>
      </c>
      <c r="S827" s="71">
        <v>7414000005</v>
      </c>
      <c r="AB827"/>
      <c r="AC827"/>
    </row>
    <row r="828" spans="1:29" x14ac:dyDescent="0.25">
      <c r="A828" t="str">
        <f t="shared" si="13"/>
        <v xml:space="preserve">152974GOBFED 241205       </v>
      </c>
      <c r="B828" s="71">
        <v>152974</v>
      </c>
      <c r="C828" s="71" t="s">
        <v>730</v>
      </c>
      <c r="D828" s="71" t="s">
        <v>378</v>
      </c>
      <c r="E828" s="71" t="s">
        <v>623</v>
      </c>
      <c r="F828" s="71" t="s">
        <v>624</v>
      </c>
      <c r="G828" s="74">
        <v>6022</v>
      </c>
      <c r="H828" s="72">
        <v>91.911821000000003</v>
      </c>
      <c r="I828" s="73">
        <v>553492.98606200004</v>
      </c>
      <c r="J828" s="72">
        <v>93.2088459</v>
      </c>
      <c r="K828" s="73">
        <v>-7810.6839478000002</v>
      </c>
      <c r="L828" s="74">
        <v>0</v>
      </c>
      <c r="M828" s="73">
        <v>0</v>
      </c>
      <c r="N828" s="74">
        <v>0</v>
      </c>
      <c r="O828" s="73">
        <v>0</v>
      </c>
      <c r="P828" s="74">
        <v>6022</v>
      </c>
      <c r="Q828" s="73">
        <v>553492.98606200004</v>
      </c>
      <c r="R828" s="71" t="s">
        <v>625</v>
      </c>
      <c r="S828" s="71">
        <v>7414000005</v>
      </c>
      <c r="AB828"/>
      <c r="AC828"/>
    </row>
    <row r="829" spans="1:29" x14ac:dyDescent="0.25">
      <c r="A829" t="str">
        <f t="shared" si="13"/>
        <v xml:space="preserve">152974GOBFED 250306       </v>
      </c>
      <c r="B829" s="71">
        <v>152974</v>
      </c>
      <c r="C829" s="71" t="s">
        <v>730</v>
      </c>
      <c r="D829" s="71" t="s">
        <v>379</v>
      </c>
      <c r="E829" s="71" t="s">
        <v>623</v>
      </c>
      <c r="F829" s="71" t="s">
        <v>624</v>
      </c>
      <c r="G829" s="74">
        <v>8895</v>
      </c>
      <c r="H829" s="72">
        <v>88.698122999999995</v>
      </c>
      <c r="I829" s="73">
        <v>788969.80408499995</v>
      </c>
      <c r="J829" s="72">
        <v>85.748156218701524</v>
      </c>
      <c r="K829" s="73">
        <v>26239.95451965</v>
      </c>
      <c r="L829" s="74">
        <v>0</v>
      </c>
      <c r="M829" s="73">
        <v>0</v>
      </c>
      <c r="N829" s="74">
        <v>0</v>
      </c>
      <c r="O829" s="73">
        <v>0</v>
      </c>
      <c r="P829" s="74">
        <v>8895</v>
      </c>
      <c r="Q829" s="73">
        <v>788969.80408499995</v>
      </c>
      <c r="R829" s="71" t="s">
        <v>625</v>
      </c>
      <c r="S829" s="71">
        <v>7414000005</v>
      </c>
      <c r="AB829"/>
      <c r="AC829"/>
    </row>
    <row r="830" spans="1:29" x14ac:dyDescent="0.25">
      <c r="A830" t="str">
        <f t="shared" si="13"/>
        <v xml:space="preserve">152974GOBFED 260305       </v>
      </c>
      <c r="B830" s="71">
        <v>152974</v>
      </c>
      <c r="C830" s="71" t="s">
        <v>730</v>
      </c>
      <c r="D830" s="71" t="s">
        <v>380</v>
      </c>
      <c r="E830" s="71" t="s">
        <v>623</v>
      </c>
      <c r="F830" s="71" t="s">
        <v>624</v>
      </c>
      <c r="G830" s="74">
        <v>7218</v>
      </c>
      <c r="H830" s="72">
        <v>93.314192000000006</v>
      </c>
      <c r="I830" s="73">
        <v>673541.83785600006</v>
      </c>
      <c r="J830" s="72">
        <v>97.382118526663902</v>
      </c>
      <c r="K830" s="73">
        <v>-29362.293669459999</v>
      </c>
      <c r="L830" s="74">
        <v>0</v>
      </c>
      <c r="M830" s="73">
        <v>0</v>
      </c>
      <c r="N830" s="74">
        <v>0</v>
      </c>
      <c r="O830" s="73">
        <v>0</v>
      </c>
      <c r="P830" s="74">
        <v>7218</v>
      </c>
      <c r="Q830" s="73">
        <v>673541.83785600006</v>
      </c>
      <c r="R830" s="71" t="s">
        <v>625</v>
      </c>
      <c r="S830" s="71">
        <v>7414000005</v>
      </c>
      <c r="AB830"/>
      <c r="AC830"/>
    </row>
    <row r="831" spans="1:29" x14ac:dyDescent="0.25">
      <c r="A831" t="str">
        <f t="shared" si="13"/>
        <v xml:space="preserve">152974GOBFED 270304       </v>
      </c>
      <c r="B831" s="71">
        <v>152974</v>
      </c>
      <c r="C831" s="71" t="s">
        <v>730</v>
      </c>
      <c r="D831" s="71" t="s">
        <v>507</v>
      </c>
      <c r="E831" s="71" t="s">
        <v>623</v>
      </c>
      <c r="F831" s="71" t="s">
        <v>624</v>
      </c>
      <c r="G831" s="74">
        <v>6710</v>
      </c>
      <c r="H831" s="72">
        <v>94.864168000000006</v>
      </c>
      <c r="I831" s="73">
        <v>636538.56727999996</v>
      </c>
      <c r="J831" s="72">
        <v>96.491292991490312</v>
      </c>
      <c r="K831" s="73">
        <v>-10918.008692900001</v>
      </c>
      <c r="L831" s="74">
        <v>0</v>
      </c>
      <c r="M831" s="73">
        <v>0</v>
      </c>
      <c r="N831" s="74">
        <v>0</v>
      </c>
      <c r="O831" s="73">
        <v>0</v>
      </c>
      <c r="P831" s="74">
        <v>6710</v>
      </c>
      <c r="Q831" s="73">
        <v>636538.56727999996</v>
      </c>
      <c r="R831" s="71" t="s">
        <v>625</v>
      </c>
      <c r="S831" s="71">
        <v>7414000005</v>
      </c>
      <c r="AB831"/>
      <c r="AC831"/>
    </row>
    <row r="832" spans="1:29" x14ac:dyDescent="0.25">
      <c r="A832" t="str">
        <f t="shared" si="13"/>
        <v xml:space="preserve">152974GOBFED 270603       </v>
      </c>
      <c r="B832" s="71">
        <v>152974</v>
      </c>
      <c r="C832" s="71" t="s">
        <v>730</v>
      </c>
      <c r="D832" s="71" t="s">
        <v>381</v>
      </c>
      <c r="E832" s="71" t="s">
        <v>623</v>
      </c>
      <c r="F832" s="71" t="s">
        <v>624</v>
      </c>
      <c r="G832" s="74">
        <v>2625</v>
      </c>
      <c r="H832" s="72">
        <v>94.870157000000006</v>
      </c>
      <c r="I832" s="73">
        <v>249034.162125</v>
      </c>
      <c r="J832" s="72">
        <v>96.692672049999999</v>
      </c>
      <c r="K832" s="73">
        <v>-4784.1020062500002</v>
      </c>
      <c r="L832" s="74">
        <v>0</v>
      </c>
      <c r="M832" s="73">
        <v>0</v>
      </c>
      <c r="N832" s="74">
        <v>0</v>
      </c>
      <c r="O832" s="73">
        <v>0</v>
      </c>
      <c r="P832" s="74">
        <v>2625</v>
      </c>
      <c r="Q832" s="73">
        <v>249034.162125</v>
      </c>
      <c r="R832" s="71" t="s">
        <v>625</v>
      </c>
      <c r="S832" s="71">
        <v>7414000005</v>
      </c>
      <c r="AB832"/>
      <c r="AC832"/>
    </row>
    <row r="833" spans="1:29" x14ac:dyDescent="0.25">
      <c r="A833" t="str">
        <f t="shared" si="13"/>
        <v xml:space="preserve">152974GOBFED 290301       </v>
      </c>
      <c r="B833" s="71">
        <v>152974</v>
      </c>
      <c r="C833" s="71" t="s">
        <v>730</v>
      </c>
      <c r="D833" s="71" t="s">
        <v>382</v>
      </c>
      <c r="E833" s="71" t="s">
        <v>623</v>
      </c>
      <c r="F833" s="71" t="s">
        <v>624</v>
      </c>
      <c r="G833" s="74">
        <v>10540</v>
      </c>
      <c r="H833" s="72">
        <v>89.489464999999996</v>
      </c>
      <c r="I833" s="73">
        <v>943218.96109999996</v>
      </c>
      <c r="J833" s="72">
        <v>85.486036344345351</v>
      </c>
      <c r="K833" s="73">
        <v>42196.138030599999</v>
      </c>
      <c r="L833" s="74">
        <v>0</v>
      </c>
      <c r="M833" s="73">
        <v>0</v>
      </c>
      <c r="N833" s="74">
        <v>0</v>
      </c>
      <c r="O833" s="73">
        <v>0</v>
      </c>
      <c r="P833" s="74">
        <v>10540</v>
      </c>
      <c r="Q833" s="73">
        <v>943218.96109999996</v>
      </c>
      <c r="R833" s="71" t="s">
        <v>625</v>
      </c>
      <c r="S833" s="71">
        <v>7414000005</v>
      </c>
      <c r="AB833"/>
      <c r="AC833"/>
    </row>
    <row r="834" spans="1:29" x14ac:dyDescent="0.25">
      <c r="A834" t="str">
        <f t="shared" si="13"/>
        <v xml:space="preserve">152974GOBFED 290531       </v>
      </c>
      <c r="B834" s="71">
        <v>152974</v>
      </c>
      <c r="C834" s="71" t="s">
        <v>730</v>
      </c>
      <c r="D834" s="71" t="s">
        <v>383</v>
      </c>
      <c r="E834" s="71" t="s">
        <v>623</v>
      </c>
      <c r="F834" s="71" t="s">
        <v>624</v>
      </c>
      <c r="G834" s="74">
        <v>7270</v>
      </c>
      <c r="H834" s="72">
        <v>86.197128000000006</v>
      </c>
      <c r="I834" s="73">
        <v>626653.12055999995</v>
      </c>
      <c r="J834" s="72">
        <v>89.849078692008248</v>
      </c>
      <c r="K834" s="73">
        <v>-26549.681530900001</v>
      </c>
      <c r="L834" s="74">
        <v>0</v>
      </c>
      <c r="M834" s="73">
        <v>0</v>
      </c>
      <c r="N834" s="74">
        <v>0</v>
      </c>
      <c r="O834" s="73">
        <v>0</v>
      </c>
      <c r="P834" s="74">
        <v>7270</v>
      </c>
      <c r="Q834" s="73">
        <v>626653.12055999995</v>
      </c>
      <c r="R834" s="71" t="s">
        <v>625</v>
      </c>
      <c r="S834" s="71">
        <v>7414000005</v>
      </c>
      <c r="AB834"/>
      <c r="AC834"/>
    </row>
    <row r="835" spans="1:29" x14ac:dyDescent="0.25">
      <c r="A835" t="str">
        <f t="shared" si="13"/>
        <v xml:space="preserve">152974GOBFED 310529       </v>
      </c>
      <c r="B835" s="71">
        <v>152974</v>
      </c>
      <c r="C835" s="71" t="s">
        <v>730</v>
      </c>
      <c r="D835" s="71" t="s">
        <v>427</v>
      </c>
      <c r="E835" s="71" t="s">
        <v>623</v>
      </c>
      <c r="F835" s="71" t="s">
        <v>624</v>
      </c>
      <c r="G835" s="74">
        <v>41347</v>
      </c>
      <c r="H835" s="72">
        <v>86.469353999999996</v>
      </c>
      <c r="I835" s="73">
        <v>3575248.3798380001</v>
      </c>
      <c r="J835" s="72">
        <v>90.392895358433506</v>
      </c>
      <c r="K835" s="73">
        <v>-162226.66454714999</v>
      </c>
      <c r="L835" s="74">
        <v>0</v>
      </c>
      <c r="M835" s="73">
        <v>0</v>
      </c>
      <c r="N835" s="74">
        <v>0</v>
      </c>
      <c r="O835" s="73">
        <v>0</v>
      </c>
      <c r="P835" s="74">
        <v>41347</v>
      </c>
      <c r="Q835" s="73">
        <v>3575248.3798380001</v>
      </c>
      <c r="R835" s="71" t="s">
        <v>625</v>
      </c>
      <c r="S835" s="71">
        <v>7414000005</v>
      </c>
      <c r="AB835"/>
      <c r="AC835"/>
    </row>
    <row r="836" spans="1:29" x14ac:dyDescent="0.25">
      <c r="A836" t="str">
        <f t="shared" si="13"/>
        <v xml:space="preserve">152974GOBFED 330526       </v>
      </c>
      <c r="B836" s="71">
        <v>152974</v>
      </c>
      <c r="C836" s="71" t="s">
        <v>730</v>
      </c>
      <c r="D836" s="71" t="s">
        <v>418</v>
      </c>
      <c r="E836" s="71" t="s">
        <v>623</v>
      </c>
      <c r="F836" s="71" t="s">
        <v>624</v>
      </c>
      <c r="G836" s="74">
        <v>468</v>
      </c>
      <c r="H836" s="72">
        <v>101.45096599999999</v>
      </c>
      <c r="I836" s="73">
        <v>47479.052087999997</v>
      </c>
      <c r="J836" s="72">
        <v>114.11447106</v>
      </c>
      <c r="K836" s="73">
        <v>-5926.5203680799996</v>
      </c>
      <c r="L836" s="74">
        <v>0</v>
      </c>
      <c r="M836" s="73">
        <v>0</v>
      </c>
      <c r="N836" s="74">
        <v>0</v>
      </c>
      <c r="O836" s="73">
        <v>0</v>
      </c>
      <c r="P836" s="74">
        <v>468</v>
      </c>
      <c r="Q836" s="73">
        <v>47479.052087999997</v>
      </c>
      <c r="R836" s="71" t="s">
        <v>625</v>
      </c>
      <c r="S836" s="71">
        <v>7414000005</v>
      </c>
      <c r="AB836"/>
      <c r="AC836"/>
    </row>
    <row r="837" spans="1:29" x14ac:dyDescent="0.25">
      <c r="A837" t="str">
        <f t="shared" si="13"/>
        <v xml:space="preserve">152974GOBFED 341123       </v>
      </c>
      <c r="B837" s="71">
        <v>152974</v>
      </c>
      <c r="C837" s="71" t="s">
        <v>730</v>
      </c>
      <c r="D837" s="71" t="s">
        <v>408</v>
      </c>
      <c r="E837" s="71" t="s">
        <v>623</v>
      </c>
      <c r="F837" s="71" t="s">
        <v>624</v>
      </c>
      <c r="G837" s="74">
        <v>568</v>
      </c>
      <c r="H837" s="72">
        <v>89.643172000000007</v>
      </c>
      <c r="I837" s="73">
        <v>50917.321695999999</v>
      </c>
      <c r="J837" s="72">
        <v>108.47711812999999</v>
      </c>
      <c r="K837" s="73">
        <v>-10697.68140184</v>
      </c>
      <c r="L837" s="74">
        <v>0</v>
      </c>
      <c r="M837" s="73">
        <v>0</v>
      </c>
      <c r="N837" s="74">
        <v>0</v>
      </c>
      <c r="O837" s="73">
        <v>0</v>
      </c>
      <c r="P837" s="74">
        <v>568</v>
      </c>
      <c r="Q837" s="73">
        <v>50917.321695999999</v>
      </c>
      <c r="R837" s="71" t="s">
        <v>625</v>
      </c>
      <c r="S837" s="71">
        <v>7414000005</v>
      </c>
      <c r="AB837"/>
      <c r="AC837"/>
    </row>
    <row r="838" spans="1:29" x14ac:dyDescent="0.25">
      <c r="A838" t="str">
        <f t="shared" si="13"/>
        <v xml:space="preserve">152974GOBFED 361120       </v>
      </c>
      <c r="B838" s="71">
        <v>152974</v>
      </c>
      <c r="C838" s="71" t="s">
        <v>730</v>
      </c>
      <c r="D838" s="71" t="s">
        <v>384</v>
      </c>
      <c r="E838" s="71" t="s">
        <v>623</v>
      </c>
      <c r="F838" s="71" t="s">
        <v>624</v>
      </c>
      <c r="G838" s="74">
        <v>13071</v>
      </c>
      <c r="H838" s="72">
        <v>81.738860000000003</v>
      </c>
      <c r="I838" s="73">
        <v>1068408.63906</v>
      </c>
      <c r="J838" s="72">
        <v>86.456739232040391</v>
      </c>
      <c r="K838" s="73">
        <v>-61667.399442000002</v>
      </c>
      <c r="L838" s="74">
        <v>0</v>
      </c>
      <c r="M838" s="73">
        <v>0</v>
      </c>
      <c r="N838" s="74">
        <v>0</v>
      </c>
      <c r="O838" s="73">
        <v>0</v>
      </c>
      <c r="P838" s="74">
        <v>13071</v>
      </c>
      <c r="Q838" s="73">
        <v>1068408.63906</v>
      </c>
      <c r="R838" s="71" t="s">
        <v>625</v>
      </c>
      <c r="S838" s="71">
        <v>7414000005</v>
      </c>
      <c r="AB838"/>
      <c r="AC838"/>
    </row>
    <row r="839" spans="1:29" x14ac:dyDescent="0.25">
      <c r="A839" t="str">
        <f t="shared" ref="A839:A902" si="14">B837&amp;D837</f>
        <v xml:space="preserve">152974GOBFED 381118       </v>
      </c>
      <c r="B839" s="71">
        <v>152974</v>
      </c>
      <c r="C839" s="71" t="s">
        <v>730</v>
      </c>
      <c r="D839" s="71" t="s">
        <v>385</v>
      </c>
      <c r="E839" s="71" t="s">
        <v>623</v>
      </c>
      <c r="F839" s="71" t="s">
        <v>624</v>
      </c>
      <c r="G839" s="74">
        <v>1883</v>
      </c>
      <c r="H839" s="72">
        <v>83.200761</v>
      </c>
      <c r="I839" s="73">
        <v>156667.03296300001</v>
      </c>
      <c r="J839" s="72">
        <v>93.079391513313865</v>
      </c>
      <c r="K839" s="73">
        <v>-18601.461256570001</v>
      </c>
      <c r="L839" s="74">
        <v>0</v>
      </c>
      <c r="M839" s="73">
        <v>0</v>
      </c>
      <c r="N839" s="74">
        <v>0</v>
      </c>
      <c r="O839" s="73">
        <v>0</v>
      </c>
      <c r="P839" s="74">
        <v>1883</v>
      </c>
      <c r="Q839" s="73">
        <v>156667.03296300001</v>
      </c>
      <c r="R839" s="71" t="s">
        <v>625</v>
      </c>
      <c r="S839" s="71">
        <v>7414000005</v>
      </c>
      <c r="AB839"/>
      <c r="AC839"/>
    </row>
    <row r="840" spans="1:29" x14ac:dyDescent="0.25">
      <c r="A840" t="str">
        <f t="shared" si="14"/>
        <v xml:space="preserve">152974GOBFED 421113       </v>
      </c>
      <c r="B840" s="71">
        <v>152974</v>
      </c>
      <c r="C840" s="71" t="s">
        <v>730</v>
      </c>
      <c r="D840" s="71" t="s">
        <v>386</v>
      </c>
      <c r="E840" s="71" t="s">
        <v>623</v>
      </c>
      <c r="F840" s="71" t="s">
        <v>624</v>
      </c>
      <c r="G840" s="74">
        <v>19880</v>
      </c>
      <c r="H840" s="72">
        <v>82.159907000000004</v>
      </c>
      <c r="I840" s="73">
        <v>1633338.9511599999</v>
      </c>
      <c r="J840" s="72">
        <v>84.23074479732395</v>
      </c>
      <c r="K840" s="73">
        <v>-41168.255410799997</v>
      </c>
      <c r="L840" s="74">
        <v>0</v>
      </c>
      <c r="M840" s="73">
        <v>0</v>
      </c>
      <c r="N840" s="74">
        <v>0</v>
      </c>
      <c r="O840" s="73">
        <v>0</v>
      </c>
      <c r="P840" s="74">
        <v>19880</v>
      </c>
      <c r="Q840" s="73">
        <v>1633338.9511599999</v>
      </c>
      <c r="R840" s="71" t="s">
        <v>625</v>
      </c>
      <c r="S840" s="71">
        <v>7414000005</v>
      </c>
      <c r="AB840"/>
      <c r="AC840"/>
    </row>
    <row r="841" spans="1:29" x14ac:dyDescent="0.25">
      <c r="A841" t="str">
        <f t="shared" si="14"/>
        <v xml:space="preserve">152974GOBFED 471107       </v>
      </c>
      <c r="B841" s="71">
        <v>152974</v>
      </c>
      <c r="C841" s="71" t="s">
        <v>730</v>
      </c>
      <c r="D841" s="71" t="s">
        <v>429</v>
      </c>
      <c r="E841" s="71" t="s">
        <v>623</v>
      </c>
      <c r="F841" s="71" t="s">
        <v>624</v>
      </c>
      <c r="G841" s="74">
        <v>8710</v>
      </c>
      <c r="H841" s="72">
        <v>98.007834000000003</v>
      </c>
      <c r="I841" s="73">
        <v>853648.23413999996</v>
      </c>
      <c r="J841" s="72">
        <v>92.067783631481049</v>
      </c>
      <c r="K841" s="73">
        <v>51737.838709800002</v>
      </c>
      <c r="L841" s="74">
        <v>0</v>
      </c>
      <c r="M841" s="73">
        <v>0</v>
      </c>
      <c r="N841" s="74">
        <v>0</v>
      </c>
      <c r="O841" s="73">
        <v>0</v>
      </c>
      <c r="P841" s="74">
        <v>8710</v>
      </c>
      <c r="Q841" s="73">
        <v>853648.23413999996</v>
      </c>
      <c r="R841" s="71" t="s">
        <v>625</v>
      </c>
      <c r="S841" s="71">
        <v>7414000005</v>
      </c>
      <c r="AB841"/>
      <c r="AC841"/>
    </row>
    <row r="842" spans="1:29" x14ac:dyDescent="0.25">
      <c r="A842" t="str">
        <f t="shared" si="14"/>
        <v xml:space="preserve">152974GOBFED 530731       </v>
      </c>
      <c r="B842" s="71">
        <v>152974</v>
      </c>
      <c r="C842" s="71" t="s">
        <v>730</v>
      </c>
      <c r="D842" s="71" t="s">
        <v>389</v>
      </c>
      <c r="E842" s="71" t="s">
        <v>623</v>
      </c>
      <c r="F842" s="71" t="s">
        <v>624</v>
      </c>
      <c r="G842" s="74">
        <v>2175395</v>
      </c>
      <c r="H842" s="72">
        <v>3.3967719999999999</v>
      </c>
      <c r="I842" s="73">
        <v>7389320.8249399997</v>
      </c>
      <c r="J842" s="72">
        <v>3.2960309093291102</v>
      </c>
      <c r="K842" s="73">
        <v>219151.66493999999</v>
      </c>
      <c r="L842" s="74">
        <v>0</v>
      </c>
      <c r="M842" s="73">
        <v>0</v>
      </c>
      <c r="N842" s="74">
        <v>0</v>
      </c>
      <c r="O842" s="73">
        <v>0</v>
      </c>
      <c r="P842" s="74">
        <v>2175395</v>
      </c>
      <c r="Q842" s="73">
        <v>7389320.8249399997</v>
      </c>
      <c r="R842" s="71" t="s">
        <v>625</v>
      </c>
      <c r="S842" s="71">
        <v>7414000005</v>
      </c>
      <c r="AB842"/>
      <c r="AC842"/>
    </row>
    <row r="843" spans="1:29" x14ac:dyDescent="0.25">
      <c r="A843" t="str">
        <f t="shared" si="14"/>
        <v xml:space="preserve">152974PEMEX 13-2          </v>
      </c>
      <c r="B843" s="71">
        <v>152974</v>
      </c>
      <c r="C843" s="71" t="s">
        <v>730</v>
      </c>
      <c r="D843" s="71" t="s">
        <v>417</v>
      </c>
      <c r="E843" s="71" t="s">
        <v>623</v>
      </c>
      <c r="F843" s="71" t="s">
        <v>624</v>
      </c>
      <c r="G843" s="74">
        <v>1618546</v>
      </c>
      <c r="H843" s="72">
        <v>3.8832339999999999</v>
      </c>
      <c r="I843" s="73">
        <v>6285192.8577640001</v>
      </c>
      <c r="J843" s="72">
        <v>2.873509853905913</v>
      </c>
      <c r="K843" s="73">
        <v>1634284.977764</v>
      </c>
      <c r="L843" s="74">
        <v>0</v>
      </c>
      <c r="M843" s="73">
        <v>0</v>
      </c>
      <c r="N843" s="74">
        <v>0</v>
      </c>
      <c r="O843" s="73">
        <v>0</v>
      </c>
      <c r="P843" s="74">
        <v>1618546</v>
      </c>
      <c r="Q843" s="73">
        <v>6285192.8577640001</v>
      </c>
      <c r="R843" s="71" t="s">
        <v>625</v>
      </c>
      <c r="S843" s="71">
        <v>7414000005</v>
      </c>
      <c r="AB843"/>
      <c r="AC843"/>
    </row>
    <row r="844" spans="1:29" x14ac:dyDescent="0.25">
      <c r="A844" t="str">
        <f t="shared" si="14"/>
        <v xml:space="preserve">152974STERGOB ED          </v>
      </c>
      <c r="B844" s="71">
        <v>152974</v>
      </c>
      <c r="C844" s="71" t="s">
        <v>730</v>
      </c>
      <c r="D844" s="71" t="s">
        <v>466</v>
      </c>
      <c r="E844" s="71" t="s">
        <v>623</v>
      </c>
      <c r="F844" s="71" t="s">
        <v>624</v>
      </c>
      <c r="G844" s="74">
        <v>120</v>
      </c>
      <c r="H844" s="72">
        <v>256.05011500000001</v>
      </c>
      <c r="I844" s="73">
        <v>30726.013800000001</v>
      </c>
      <c r="J844" s="72">
        <v>487.32003911999999</v>
      </c>
      <c r="K844" s="73">
        <v>-27752.3908944</v>
      </c>
      <c r="L844" s="74">
        <v>0</v>
      </c>
      <c r="M844" s="73">
        <v>0</v>
      </c>
      <c r="N844" s="74">
        <v>0</v>
      </c>
      <c r="O844" s="73">
        <v>0</v>
      </c>
      <c r="P844" s="74">
        <v>120</v>
      </c>
      <c r="Q844" s="73">
        <v>30726.013800000001</v>
      </c>
      <c r="R844" s="71" t="s">
        <v>625</v>
      </c>
      <c r="S844" s="71">
        <v>7414000005</v>
      </c>
      <c r="AB844"/>
      <c r="AC844"/>
    </row>
    <row r="845" spans="1:29" x14ac:dyDescent="0.25">
      <c r="A845" t="str">
        <f t="shared" si="14"/>
        <v xml:space="preserve">152974STRGOB2 ED          </v>
      </c>
      <c r="B845" s="71">
        <v>152974</v>
      </c>
      <c r="C845" s="71" t="s">
        <v>730</v>
      </c>
      <c r="D845" s="71" t="s">
        <v>449</v>
      </c>
      <c r="E845" s="71" t="s">
        <v>623</v>
      </c>
      <c r="F845" s="71" t="s">
        <v>624</v>
      </c>
      <c r="G845" s="74">
        <v>0</v>
      </c>
      <c r="H845" s="72">
        <v>0</v>
      </c>
      <c r="I845" s="73">
        <v>0</v>
      </c>
      <c r="J845" s="72">
        <v>0</v>
      </c>
      <c r="K845" s="73">
        <v>0</v>
      </c>
      <c r="L845" s="74">
        <v>0</v>
      </c>
      <c r="M845" s="73">
        <v>0</v>
      </c>
      <c r="N845" s="74">
        <v>0</v>
      </c>
      <c r="O845" s="73">
        <v>0</v>
      </c>
      <c r="P845" s="74">
        <v>0</v>
      </c>
      <c r="Q845" s="73">
        <v>0</v>
      </c>
      <c r="R845" s="71" t="s">
        <v>625</v>
      </c>
      <c r="S845" s="71">
        <v>7414000005</v>
      </c>
      <c r="AB845"/>
      <c r="AC845"/>
    </row>
    <row r="846" spans="1:29" x14ac:dyDescent="0.25">
      <c r="A846" t="str">
        <f t="shared" si="14"/>
        <v xml:space="preserve">152974TFOVICB 15U         </v>
      </c>
      <c r="B846" s="71">
        <v>152974</v>
      </c>
      <c r="C846" s="71" t="s">
        <v>730</v>
      </c>
      <c r="D846" s="71" t="s">
        <v>391</v>
      </c>
      <c r="E846" s="71" t="s">
        <v>623</v>
      </c>
      <c r="F846" s="71" t="s">
        <v>624</v>
      </c>
      <c r="G846" s="74">
        <v>820</v>
      </c>
      <c r="H846" s="72">
        <v>775.69178699999998</v>
      </c>
      <c r="I846" s="73">
        <v>636067.26534000004</v>
      </c>
      <c r="J846" s="72">
        <v>697.68063177139027</v>
      </c>
      <c r="K846" s="73">
        <v>63969.14728746</v>
      </c>
      <c r="L846" s="74">
        <v>0</v>
      </c>
      <c r="M846" s="73">
        <v>0</v>
      </c>
      <c r="N846" s="74">
        <v>0</v>
      </c>
      <c r="O846" s="73">
        <v>0</v>
      </c>
      <c r="P846" s="74">
        <v>820</v>
      </c>
      <c r="Q846" s="73">
        <v>636067.26534000004</v>
      </c>
      <c r="R846" s="71" t="s">
        <v>625</v>
      </c>
      <c r="S846" s="71">
        <v>7414000005</v>
      </c>
      <c r="AB846"/>
      <c r="AC846"/>
    </row>
    <row r="847" spans="1:29" x14ac:dyDescent="0.25">
      <c r="A847" t="str">
        <f t="shared" si="14"/>
        <v xml:space="preserve">152974UDIBONO 171214      </v>
      </c>
      <c r="B847" s="71">
        <v>152974</v>
      </c>
      <c r="C847" s="71" t="s">
        <v>730</v>
      </c>
      <c r="D847" s="71" t="s">
        <v>392</v>
      </c>
      <c r="E847" s="71" t="s">
        <v>623</v>
      </c>
      <c r="F847" s="71" t="s">
        <v>624</v>
      </c>
      <c r="G847" s="74">
        <v>1260</v>
      </c>
      <c r="H847" s="72">
        <v>747.17843200000004</v>
      </c>
      <c r="I847" s="73">
        <v>941444.82432000001</v>
      </c>
      <c r="J847" s="72">
        <v>709.92084864119045</v>
      </c>
      <c r="K847" s="73">
        <v>46944.555032099997</v>
      </c>
      <c r="L847" s="74">
        <v>0</v>
      </c>
      <c r="M847" s="73">
        <v>0</v>
      </c>
      <c r="N847" s="74">
        <v>0</v>
      </c>
      <c r="O847" s="73">
        <v>0</v>
      </c>
      <c r="P847" s="74">
        <v>1260</v>
      </c>
      <c r="Q847" s="73">
        <v>941444.82432000001</v>
      </c>
      <c r="R847" s="71" t="s">
        <v>625</v>
      </c>
      <c r="S847" s="71">
        <v>7414000005</v>
      </c>
      <c r="AB847"/>
      <c r="AC847"/>
    </row>
    <row r="848" spans="1:29" x14ac:dyDescent="0.25">
      <c r="A848" t="str">
        <f t="shared" si="14"/>
        <v xml:space="preserve">152974UDIBONO 251204      </v>
      </c>
      <c r="B848" s="71">
        <v>152974</v>
      </c>
      <c r="C848" s="71" t="s">
        <v>730</v>
      </c>
      <c r="D848" s="71" t="s">
        <v>393</v>
      </c>
      <c r="E848" s="71" t="s">
        <v>623</v>
      </c>
      <c r="F848" s="71" t="s">
        <v>624</v>
      </c>
      <c r="G848" s="74">
        <v>1156</v>
      </c>
      <c r="H848" s="72">
        <v>765.92388300000005</v>
      </c>
      <c r="I848" s="73">
        <v>885408.00874800002</v>
      </c>
      <c r="J848" s="72">
        <v>752.68846912662627</v>
      </c>
      <c r="K848" s="73">
        <v>15300.13843762</v>
      </c>
      <c r="L848" s="74">
        <v>0</v>
      </c>
      <c r="M848" s="73">
        <v>0</v>
      </c>
      <c r="N848" s="74">
        <v>0</v>
      </c>
      <c r="O848" s="73">
        <v>0</v>
      </c>
      <c r="P848" s="74">
        <v>1156</v>
      </c>
      <c r="Q848" s="73">
        <v>885408.00874800002</v>
      </c>
      <c r="R848" s="71" t="s">
        <v>625</v>
      </c>
      <c r="S848" s="71">
        <v>7414000005</v>
      </c>
      <c r="AB848"/>
      <c r="AC848"/>
    </row>
    <row r="849" spans="1:29" x14ac:dyDescent="0.25">
      <c r="A849" t="str">
        <f t="shared" si="14"/>
        <v xml:space="preserve">152974UDIBONO 261203      </v>
      </c>
      <c r="B849" s="71">
        <v>152974</v>
      </c>
      <c r="C849" s="71" t="s">
        <v>730</v>
      </c>
      <c r="D849" s="71" t="s">
        <v>394</v>
      </c>
      <c r="E849" s="71" t="s">
        <v>623</v>
      </c>
      <c r="F849" s="71" t="s">
        <v>624</v>
      </c>
      <c r="G849" s="74">
        <v>5956</v>
      </c>
      <c r="H849" s="72">
        <v>684.88915799999995</v>
      </c>
      <c r="I849" s="73">
        <v>4079199.8250480001</v>
      </c>
      <c r="J849" s="72">
        <v>677.14832988530895</v>
      </c>
      <c r="K849" s="73">
        <v>46104.372251100001</v>
      </c>
      <c r="L849" s="74">
        <v>0</v>
      </c>
      <c r="M849" s="73">
        <v>0</v>
      </c>
      <c r="N849" s="74">
        <v>0</v>
      </c>
      <c r="O849" s="73">
        <v>0</v>
      </c>
      <c r="P849" s="74">
        <v>5956</v>
      </c>
      <c r="Q849" s="73">
        <v>4079199.8250480001</v>
      </c>
      <c r="R849" s="71" t="s">
        <v>625</v>
      </c>
      <c r="S849" s="71">
        <v>7414000005</v>
      </c>
      <c r="AB849"/>
      <c r="AC849"/>
    </row>
    <row r="850" spans="1:29" x14ac:dyDescent="0.25">
      <c r="A850" t="str">
        <f t="shared" si="14"/>
        <v xml:space="preserve">152974UDIBONO 281130      </v>
      </c>
      <c r="B850" s="71">
        <v>152974</v>
      </c>
      <c r="C850" s="71" t="s">
        <v>730</v>
      </c>
      <c r="D850" s="71" t="s">
        <v>395</v>
      </c>
      <c r="E850" s="71" t="s">
        <v>623</v>
      </c>
      <c r="F850" s="71" t="s">
        <v>624</v>
      </c>
      <c r="G850" s="74">
        <v>554</v>
      </c>
      <c r="H850" s="72">
        <v>772.926965</v>
      </c>
      <c r="I850" s="73">
        <v>428201.53860999999</v>
      </c>
      <c r="J850" s="72">
        <v>798.93664675000002</v>
      </c>
      <c r="K850" s="73">
        <v>-14409.3636895</v>
      </c>
      <c r="L850" s="74">
        <v>0</v>
      </c>
      <c r="M850" s="73">
        <v>0</v>
      </c>
      <c r="N850" s="74">
        <v>0</v>
      </c>
      <c r="O850" s="73">
        <v>0</v>
      </c>
      <c r="P850" s="74">
        <v>554</v>
      </c>
      <c r="Q850" s="73">
        <v>428201.53860999999</v>
      </c>
      <c r="R850" s="71" t="s">
        <v>625</v>
      </c>
      <c r="S850" s="71">
        <v>7414000005</v>
      </c>
      <c r="AB850"/>
      <c r="AC850"/>
    </row>
    <row r="851" spans="1:29" x14ac:dyDescent="0.25">
      <c r="A851" t="str">
        <f t="shared" si="14"/>
        <v xml:space="preserve">152974UDIBONO 311127      </v>
      </c>
      <c r="B851" s="71">
        <v>152974</v>
      </c>
      <c r="C851" s="71" t="s">
        <v>730</v>
      </c>
      <c r="D851" s="71" t="s">
        <v>396</v>
      </c>
      <c r="E851" s="71" t="s">
        <v>623</v>
      </c>
      <c r="F851" s="71" t="s">
        <v>624</v>
      </c>
      <c r="G851" s="74">
        <v>575</v>
      </c>
      <c r="H851" s="72">
        <v>721.59464000000003</v>
      </c>
      <c r="I851" s="73">
        <v>414916.91800000001</v>
      </c>
      <c r="J851" s="72">
        <v>782.17544843860867</v>
      </c>
      <c r="K851" s="73">
        <v>-34833.964852199999</v>
      </c>
      <c r="L851" s="74">
        <v>0</v>
      </c>
      <c r="M851" s="73">
        <v>0</v>
      </c>
      <c r="N851" s="74">
        <v>0</v>
      </c>
      <c r="O851" s="73">
        <v>0</v>
      </c>
      <c r="P851" s="74">
        <v>575</v>
      </c>
      <c r="Q851" s="73">
        <v>414916.91800000001</v>
      </c>
      <c r="R851" s="71" t="s">
        <v>625</v>
      </c>
      <c r="S851" s="71">
        <v>7414000005</v>
      </c>
      <c r="AB851"/>
      <c r="AC851"/>
    </row>
    <row r="852" spans="1:29" x14ac:dyDescent="0.25">
      <c r="A852" t="str">
        <f t="shared" si="14"/>
        <v xml:space="preserve">152974UDIBONO 351122      </v>
      </c>
      <c r="B852" s="71">
        <v>152974</v>
      </c>
      <c r="C852" s="71" t="s">
        <v>730</v>
      </c>
      <c r="D852" s="71" t="s">
        <v>397</v>
      </c>
      <c r="E852" s="71" t="s">
        <v>623</v>
      </c>
      <c r="F852" s="71" t="s">
        <v>624</v>
      </c>
      <c r="G852" s="74">
        <v>598</v>
      </c>
      <c r="H852" s="72">
        <v>635.96311900000001</v>
      </c>
      <c r="I852" s="73">
        <v>380305.94516200002</v>
      </c>
      <c r="J852" s="72">
        <v>647.93802047999998</v>
      </c>
      <c r="K852" s="73">
        <v>-7160.9910850400001</v>
      </c>
      <c r="L852" s="74">
        <v>0</v>
      </c>
      <c r="M852" s="73">
        <v>0</v>
      </c>
      <c r="N852" s="74">
        <v>0</v>
      </c>
      <c r="O852" s="73">
        <v>0</v>
      </c>
      <c r="P852" s="74">
        <v>598</v>
      </c>
      <c r="Q852" s="73">
        <v>380305.94516200002</v>
      </c>
      <c r="R852" s="71" t="s">
        <v>625</v>
      </c>
      <c r="S852" s="71">
        <v>7414000005</v>
      </c>
      <c r="AB852"/>
      <c r="AC852"/>
    </row>
    <row r="853" spans="1:29" x14ac:dyDescent="0.25">
      <c r="A853" t="str">
        <f t="shared" si="14"/>
        <v xml:space="preserve">152974UDIBONO 401115      </v>
      </c>
      <c r="B853" s="71">
        <v>152974</v>
      </c>
      <c r="C853" s="71" t="s">
        <v>730</v>
      </c>
      <c r="D853" s="71" t="s">
        <v>398</v>
      </c>
      <c r="E853" s="71" t="s">
        <v>623</v>
      </c>
      <c r="F853" s="71" t="s">
        <v>624</v>
      </c>
      <c r="G853" s="74">
        <v>909</v>
      </c>
      <c r="H853" s="72">
        <v>709.36974099999998</v>
      </c>
      <c r="I853" s="73">
        <v>644817.09456899995</v>
      </c>
      <c r="J853" s="72">
        <v>729.918912239615</v>
      </c>
      <c r="K853" s="73">
        <v>-18679.19665681</v>
      </c>
      <c r="L853" s="74">
        <v>0</v>
      </c>
      <c r="M853" s="73">
        <v>0</v>
      </c>
      <c r="N853" s="74">
        <v>0</v>
      </c>
      <c r="O853" s="73">
        <v>0</v>
      </c>
      <c r="P853" s="74">
        <v>909</v>
      </c>
      <c r="Q853" s="73">
        <v>644817.09456899995</v>
      </c>
      <c r="R853" s="71" t="s">
        <v>625</v>
      </c>
      <c r="S853" s="71">
        <v>7414000005</v>
      </c>
      <c r="AB853"/>
      <c r="AC853"/>
    </row>
    <row r="854" spans="1:29" x14ac:dyDescent="0.25">
      <c r="A854" t="str">
        <f t="shared" si="14"/>
        <v xml:space="preserve">152974UDIBONO 431112      </v>
      </c>
      <c r="B854" s="71">
        <v>152974</v>
      </c>
      <c r="C854" s="71" t="s">
        <v>730</v>
      </c>
      <c r="D854" s="71" t="s">
        <v>399</v>
      </c>
      <c r="E854" s="71" t="s">
        <v>623</v>
      </c>
      <c r="F854" s="71" t="s">
        <v>624</v>
      </c>
      <c r="G854" s="74">
        <v>3577</v>
      </c>
      <c r="H854" s="72">
        <v>694.41118700000004</v>
      </c>
      <c r="I854" s="73">
        <v>2483908.815899</v>
      </c>
      <c r="J854" s="72">
        <v>724.58526712771322</v>
      </c>
      <c r="K854" s="73">
        <v>-107932.68461683</v>
      </c>
      <c r="L854" s="74">
        <v>0</v>
      </c>
      <c r="M854" s="73">
        <v>0</v>
      </c>
      <c r="N854" s="74">
        <v>0</v>
      </c>
      <c r="O854" s="73">
        <v>0</v>
      </c>
      <c r="P854" s="74">
        <v>3577</v>
      </c>
      <c r="Q854" s="73">
        <v>2483908.815899</v>
      </c>
      <c r="R854" s="71" t="s">
        <v>625</v>
      </c>
      <c r="S854" s="71">
        <v>7414000005</v>
      </c>
      <c r="AB854"/>
      <c r="AC854"/>
    </row>
    <row r="855" spans="1:29" x14ac:dyDescent="0.25">
      <c r="A855" t="str">
        <f t="shared" si="14"/>
        <v xml:space="preserve">152974UDIBONO 461108      </v>
      </c>
      <c r="B855" s="71">
        <v>152976</v>
      </c>
      <c r="C855" s="71" t="s">
        <v>731</v>
      </c>
      <c r="D855" s="71" t="s">
        <v>419</v>
      </c>
      <c r="E855" s="71" t="s">
        <v>623</v>
      </c>
      <c r="F855" s="71" t="s">
        <v>624</v>
      </c>
      <c r="G855" s="74">
        <v>0</v>
      </c>
      <c r="H855" s="72">
        <v>0</v>
      </c>
      <c r="I855" s="73">
        <v>0</v>
      </c>
      <c r="J855" s="72">
        <v>0</v>
      </c>
      <c r="K855" s="73">
        <v>0</v>
      </c>
      <c r="L855" s="74">
        <v>0</v>
      </c>
      <c r="M855" s="73">
        <v>0</v>
      </c>
      <c r="N855" s="74">
        <v>0</v>
      </c>
      <c r="O855" s="73">
        <v>0</v>
      </c>
      <c r="P855" s="74">
        <v>0</v>
      </c>
      <c r="Q855" s="73">
        <v>0</v>
      </c>
      <c r="R855" s="71" t="s">
        <v>625</v>
      </c>
      <c r="S855" s="71">
        <v>7414000005</v>
      </c>
      <c r="AB855"/>
      <c r="AC855"/>
    </row>
    <row r="856" spans="1:29" x14ac:dyDescent="0.25">
      <c r="A856" t="str">
        <f t="shared" si="14"/>
        <v xml:space="preserve">152974UDIBONO 501103      </v>
      </c>
      <c r="B856" s="71">
        <v>152976</v>
      </c>
      <c r="C856" s="71" t="s">
        <v>731</v>
      </c>
      <c r="D856" s="71" t="s">
        <v>459</v>
      </c>
      <c r="E856" s="71" t="s">
        <v>623</v>
      </c>
      <c r="F856" s="71" t="s">
        <v>624</v>
      </c>
      <c r="G856" s="74">
        <v>2930000</v>
      </c>
      <c r="H856" s="72">
        <v>4.5848760000000004</v>
      </c>
      <c r="I856" s="73">
        <v>13433686.68</v>
      </c>
      <c r="J856" s="72">
        <v>4.1918016689419799</v>
      </c>
      <c r="K856" s="73">
        <v>1151707.79</v>
      </c>
      <c r="L856" s="74">
        <v>0</v>
      </c>
      <c r="M856" s="73">
        <v>0</v>
      </c>
      <c r="N856" s="74">
        <v>0</v>
      </c>
      <c r="O856" s="73">
        <v>0</v>
      </c>
      <c r="P856" s="74">
        <v>2930000</v>
      </c>
      <c r="Q856" s="73">
        <v>13433686.68</v>
      </c>
      <c r="R856" s="71" t="s">
        <v>625</v>
      </c>
      <c r="S856" s="71">
        <v>7414000005</v>
      </c>
      <c r="AB856"/>
      <c r="AC856"/>
    </row>
    <row r="857" spans="1:29" x14ac:dyDescent="0.25">
      <c r="A857" t="str">
        <f t="shared" si="14"/>
        <v xml:space="preserve">152976IENOVA *            </v>
      </c>
      <c r="B857" s="71">
        <v>152976</v>
      </c>
      <c r="C857" s="71" t="s">
        <v>731</v>
      </c>
      <c r="D857" s="71" t="s">
        <v>389</v>
      </c>
      <c r="E857" s="71" t="s">
        <v>623</v>
      </c>
      <c r="F857" s="71" t="s">
        <v>624</v>
      </c>
      <c r="G857" s="74">
        <v>158340</v>
      </c>
      <c r="H857" s="72">
        <v>3.3967719999999999</v>
      </c>
      <c r="I857" s="73">
        <v>537844.87847999996</v>
      </c>
      <c r="J857" s="72">
        <v>3.3379458759631175</v>
      </c>
      <c r="K857" s="73">
        <v>9314.5284800000009</v>
      </c>
      <c r="L857" s="74">
        <v>0</v>
      </c>
      <c r="M857" s="73">
        <v>0</v>
      </c>
      <c r="N857" s="74">
        <v>0</v>
      </c>
      <c r="O857" s="73">
        <v>0</v>
      </c>
      <c r="P857" s="74">
        <v>158340</v>
      </c>
      <c r="Q857" s="73">
        <v>537844.87847999996</v>
      </c>
      <c r="R857" s="71" t="s">
        <v>625</v>
      </c>
      <c r="S857" s="71">
        <v>7414000005</v>
      </c>
      <c r="AB857"/>
      <c r="AC857"/>
    </row>
    <row r="858" spans="1:29" x14ac:dyDescent="0.25">
      <c r="A858" t="str">
        <f t="shared" si="14"/>
        <v xml:space="preserve">152976STER-OP ED          </v>
      </c>
      <c r="B858" s="71">
        <v>152979</v>
      </c>
      <c r="C858" s="71" t="s">
        <v>732</v>
      </c>
      <c r="D858" s="71" t="s">
        <v>419</v>
      </c>
      <c r="E858" s="71" t="s">
        <v>623</v>
      </c>
      <c r="F858" s="71" t="s">
        <v>624</v>
      </c>
      <c r="G858" s="74">
        <v>0</v>
      </c>
      <c r="H858" s="72">
        <v>0</v>
      </c>
      <c r="I858" s="73">
        <v>0</v>
      </c>
      <c r="J858" s="72">
        <v>0</v>
      </c>
      <c r="K858" s="73">
        <v>0</v>
      </c>
      <c r="L858" s="74">
        <v>0</v>
      </c>
      <c r="M858" s="73">
        <v>0</v>
      </c>
      <c r="N858" s="74">
        <v>0</v>
      </c>
      <c r="O858" s="73">
        <v>0</v>
      </c>
      <c r="P858" s="74">
        <v>0</v>
      </c>
      <c r="Q858" s="73">
        <v>0</v>
      </c>
      <c r="R858" s="71" t="s">
        <v>625</v>
      </c>
      <c r="S858" s="71">
        <v>7414000005</v>
      </c>
      <c r="AB858"/>
      <c r="AC858"/>
    </row>
    <row r="859" spans="1:29" x14ac:dyDescent="0.25">
      <c r="A859" t="str">
        <f t="shared" si="14"/>
        <v xml:space="preserve">152976STERGOB ED          </v>
      </c>
      <c r="B859" s="71">
        <v>152979</v>
      </c>
      <c r="C859" s="71" t="s">
        <v>732</v>
      </c>
      <c r="D859" s="71" t="s">
        <v>459</v>
      </c>
      <c r="E859" s="71" t="s">
        <v>623</v>
      </c>
      <c r="F859" s="71" t="s">
        <v>624</v>
      </c>
      <c r="G859" s="74">
        <v>2977000</v>
      </c>
      <c r="H859" s="72">
        <v>4.5848760000000004</v>
      </c>
      <c r="I859" s="73">
        <v>13649175.852</v>
      </c>
      <c r="J859" s="72">
        <v>4.1910542895532412</v>
      </c>
      <c r="K859" s="73">
        <v>1172407.2320000001</v>
      </c>
      <c r="L859" s="74">
        <v>0</v>
      </c>
      <c r="M859" s="73">
        <v>0</v>
      </c>
      <c r="N859" s="74">
        <v>0</v>
      </c>
      <c r="O859" s="73">
        <v>0</v>
      </c>
      <c r="P859" s="74">
        <v>2977000</v>
      </c>
      <c r="Q859" s="73">
        <v>13649175.852</v>
      </c>
      <c r="R859" s="71" t="s">
        <v>625</v>
      </c>
      <c r="S859" s="71">
        <v>7414000005</v>
      </c>
      <c r="AB859"/>
      <c r="AC859"/>
    </row>
    <row r="860" spans="1:29" x14ac:dyDescent="0.25">
      <c r="A860" t="str">
        <f t="shared" si="14"/>
        <v xml:space="preserve">152979IENOVA *            </v>
      </c>
      <c r="B860" s="71">
        <v>152979</v>
      </c>
      <c r="C860" s="71" t="s">
        <v>732</v>
      </c>
      <c r="D860" s="71" t="s">
        <v>389</v>
      </c>
      <c r="E860" s="71" t="s">
        <v>623</v>
      </c>
      <c r="F860" s="71" t="s">
        <v>624</v>
      </c>
      <c r="G860" s="74">
        <v>170295</v>
      </c>
      <c r="H860" s="72">
        <v>3.3967719999999999</v>
      </c>
      <c r="I860" s="73">
        <v>578453.28774000006</v>
      </c>
      <c r="J860" s="72">
        <v>3.3266897442673007</v>
      </c>
      <c r="K860" s="73">
        <v>11934.657740000001</v>
      </c>
      <c r="L860" s="74">
        <v>0</v>
      </c>
      <c r="M860" s="73">
        <v>0</v>
      </c>
      <c r="N860" s="74">
        <v>0</v>
      </c>
      <c r="O860" s="73">
        <v>0</v>
      </c>
      <c r="P860" s="74">
        <v>170295</v>
      </c>
      <c r="Q860" s="73">
        <v>578453.28774000006</v>
      </c>
      <c r="R860" s="71" t="s">
        <v>625</v>
      </c>
      <c r="S860" s="71">
        <v>7414000005</v>
      </c>
      <c r="AB860"/>
      <c r="AC860"/>
    </row>
    <row r="861" spans="1:29" x14ac:dyDescent="0.25">
      <c r="A861" t="str">
        <f t="shared" si="14"/>
        <v xml:space="preserve">152979STER-OP ED          </v>
      </c>
      <c r="B861" s="71">
        <v>152981</v>
      </c>
      <c r="C861" s="71" t="s">
        <v>733</v>
      </c>
      <c r="D861" s="71" t="s">
        <v>470</v>
      </c>
      <c r="E861" s="71" t="s">
        <v>623</v>
      </c>
      <c r="F861" s="71" t="s">
        <v>624</v>
      </c>
      <c r="G861" s="74">
        <v>0</v>
      </c>
      <c r="H861" s="72">
        <v>0</v>
      </c>
      <c r="I861" s="73">
        <v>0</v>
      </c>
      <c r="J861" s="72">
        <v>0</v>
      </c>
      <c r="K861" s="73">
        <v>0</v>
      </c>
      <c r="L861" s="74">
        <v>0</v>
      </c>
      <c r="M861" s="73">
        <v>0</v>
      </c>
      <c r="N861" s="74">
        <v>0</v>
      </c>
      <c r="O861" s="73">
        <v>0</v>
      </c>
      <c r="P861" s="74">
        <v>0</v>
      </c>
      <c r="Q861" s="73">
        <v>0</v>
      </c>
      <c r="R861" s="71" t="s">
        <v>625</v>
      </c>
      <c r="S861" s="71">
        <v>7414000005</v>
      </c>
      <c r="AB861"/>
      <c r="AC861"/>
    </row>
    <row r="862" spans="1:29" x14ac:dyDescent="0.25">
      <c r="A862" t="str">
        <f t="shared" si="14"/>
        <v xml:space="preserve">152979STERGOB ED          </v>
      </c>
      <c r="B862" s="71">
        <v>152981</v>
      </c>
      <c r="C862" s="71" t="s">
        <v>733</v>
      </c>
      <c r="D862" s="71" t="s">
        <v>363</v>
      </c>
      <c r="E862" s="71" t="s">
        <v>623</v>
      </c>
      <c r="F862" s="71" t="s">
        <v>624</v>
      </c>
      <c r="G862" s="74">
        <v>14681</v>
      </c>
      <c r="H862" s="72">
        <v>9.4935880000000008</v>
      </c>
      <c r="I862" s="73">
        <v>139375.36542799999</v>
      </c>
      <c r="J862" s="72">
        <v>8.4405498100000003</v>
      </c>
      <c r="K862" s="73">
        <v>15459.653667389999</v>
      </c>
      <c r="L862" s="74">
        <v>0</v>
      </c>
      <c r="M862" s="73">
        <v>0</v>
      </c>
      <c r="N862" s="74">
        <v>0</v>
      </c>
      <c r="O862" s="73">
        <v>0</v>
      </c>
      <c r="P862" s="74">
        <v>14681</v>
      </c>
      <c r="Q862" s="73">
        <v>139375.36542799999</v>
      </c>
      <c r="R862" s="71" t="s">
        <v>625</v>
      </c>
      <c r="S862" s="71">
        <v>7414000005</v>
      </c>
      <c r="AB862"/>
      <c r="AC862"/>
    </row>
    <row r="863" spans="1:29" x14ac:dyDescent="0.25">
      <c r="A863" t="str">
        <f t="shared" si="14"/>
        <v xml:space="preserve">152981CETES 131017        </v>
      </c>
      <c r="B863" s="71">
        <v>152981</v>
      </c>
      <c r="C863" s="71" t="s">
        <v>733</v>
      </c>
      <c r="D863" s="71" t="s">
        <v>409</v>
      </c>
      <c r="E863" s="71" t="s">
        <v>623</v>
      </c>
      <c r="F863" s="71" t="s">
        <v>624</v>
      </c>
      <c r="G863" s="74">
        <v>20030</v>
      </c>
      <c r="H863" s="72">
        <v>9.3381629999999998</v>
      </c>
      <c r="I863" s="73">
        <v>187043.40489000001</v>
      </c>
      <c r="J863" s="72">
        <v>8.3307969100000001</v>
      </c>
      <c r="K863" s="73">
        <v>20177.542782699998</v>
      </c>
      <c r="L863" s="74">
        <v>0</v>
      </c>
      <c r="M863" s="73">
        <v>0</v>
      </c>
      <c r="N863" s="74">
        <v>0</v>
      </c>
      <c r="O863" s="73">
        <v>0</v>
      </c>
      <c r="P863" s="74">
        <v>20030</v>
      </c>
      <c r="Q863" s="73">
        <v>187043.40489000001</v>
      </c>
      <c r="R863" s="71" t="s">
        <v>625</v>
      </c>
      <c r="S863" s="71">
        <v>7414000005</v>
      </c>
      <c r="AB863"/>
      <c r="AC863"/>
    </row>
    <row r="864" spans="1:29" x14ac:dyDescent="0.25">
      <c r="A864" t="str">
        <f t="shared" si="14"/>
        <v xml:space="preserve">152981CETES 241003        </v>
      </c>
      <c r="B864" s="71">
        <v>152981</v>
      </c>
      <c r="C864" s="71" t="s">
        <v>733</v>
      </c>
      <c r="D864" s="71" t="s">
        <v>364</v>
      </c>
      <c r="E864" s="71" t="s">
        <v>623</v>
      </c>
      <c r="F864" s="71" t="s">
        <v>624</v>
      </c>
      <c r="G864" s="74">
        <v>24750</v>
      </c>
      <c r="H864" s="72">
        <v>9.190137</v>
      </c>
      <c r="I864" s="73">
        <v>227455.89074999999</v>
      </c>
      <c r="J864" s="72">
        <v>8.216786129329293</v>
      </c>
      <c r="K864" s="73">
        <v>24090.4340491</v>
      </c>
      <c r="L864" s="74">
        <v>0</v>
      </c>
      <c r="M864" s="73">
        <v>0</v>
      </c>
      <c r="N864" s="74">
        <v>0</v>
      </c>
      <c r="O864" s="73">
        <v>0</v>
      </c>
      <c r="P864" s="74">
        <v>24750</v>
      </c>
      <c r="Q864" s="73">
        <v>227455.89074999999</v>
      </c>
      <c r="R864" s="71" t="s">
        <v>625</v>
      </c>
      <c r="S864" s="71">
        <v>7414000005</v>
      </c>
      <c r="AB864"/>
      <c r="AC864"/>
    </row>
    <row r="865" spans="1:29" x14ac:dyDescent="0.25">
      <c r="A865" t="str">
        <f t="shared" si="14"/>
        <v xml:space="preserve">152981CETES 241128        </v>
      </c>
      <c r="B865" s="71">
        <v>152981</v>
      </c>
      <c r="C865" s="71" t="s">
        <v>733</v>
      </c>
      <c r="D865" s="71" t="s">
        <v>554</v>
      </c>
      <c r="E865" s="71" t="s">
        <v>623</v>
      </c>
      <c r="F865" s="71" t="s">
        <v>624</v>
      </c>
      <c r="G865" s="74">
        <v>6270</v>
      </c>
      <c r="H865" s="72">
        <v>8.3813510000000004</v>
      </c>
      <c r="I865" s="73">
        <v>52551.070769999998</v>
      </c>
      <c r="J865" s="72">
        <v>8.2700011300000007</v>
      </c>
      <c r="K865" s="73">
        <v>698.16368490000002</v>
      </c>
      <c r="L865" s="74">
        <v>0</v>
      </c>
      <c r="M865" s="73">
        <v>0</v>
      </c>
      <c r="N865" s="74">
        <v>0</v>
      </c>
      <c r="O865" s="73">
        <v>0</v>
      </c>
      <c r="P865" s="74">
        <v>6270</v>
      </c>
      <c r="Q865" s="73">
        <v>52551.070769999998</v>
      </c>
      <c r="R865" s="71" t="s">
        <v>625</v>
      </c>
      <c r="S865" s="71">
        <v>7414000005</v>
      </c>
      <c r="AB865"/>
      <c r="AC865"/>
    </row>
    <row r="866" spans="1:29" x14ac:dyDescent="0.25">
      <c r="A866" t="str">
        <f t="shared" si="14"/>
        <v xml:space="preserve">152981CETES 250123        </v>
      </c>
      <c r="B866" s="71">
        <v>152981</v>
      </c>
      <c r="C866" s="71" t="s">
        <v>733</v>
      </c>
      <c r="D866" s="71" t="s">
        <v>613</v>
      </c>
      <c r="E866" s="71" t="s">
        <v>623</v>
      </c>
      <c r="F866" s="71" t="s">
        <v>624</v>
      </c>
      <c r="G866" s="74">
        <v>12680</v>
      </c>
      <c r="H866" s="72">
        <v>8.2580650000000002</v>
      </c>
      <c r="I866" s="73">
        <v>104712.26420000001</v>
      </c>
      <c r="J866" s="72">
        <v>8.2501711100000001</v>
      </c>
      <c r="K866" s="73">
        <v>100.09452520000001</v>
      </c>
      <c r="L866" s="74">
        <v>0</v>
      </c>
      <c r="M866" s="73">
        <v>0</v>
      </c>
      <c r="N866" s="74">
        <v>0</v>
      </c>
      <c r="O866" s="73">
        <v>0</v>
      </c>
      <c r="P866" s="74">
        <v>12680</v>
      </c>
      <c r="Q866" s="73">
        <v>104712.26420000001</v>
      </c>
      <c r="R866" s="71" t="s">
        <v>625</v>
      </c>
      <c r="S866" s="71">
        <v>7414000005</v>
      </c>
      <c r="AB866"/>
      <c r="AC866"/>
    </row>
    <row r="867" spans="1:29" x14ac:dyDescent="0.25">
      <c r="A867" t="str">
        <f t="shared" si="14"/>
        <v xml:space="preserve">152981CETES 251224        </v>
      </c>
      <c r="B867" s="71">
        <v>152981</v>
      </c>
      <c r="C867" s="71" t="s">
        <v>733</v>
      </c>
      <c r="D867" s="71" t="s">
        <v>375</v>
      </c>
      <c r="E867" s="71" t="s">
        <v>623</v>
      </c>
      <c r="F867" s="71" t="s">
        <v>624</v>
      </c>
      <c r="G867" s="74">
        <v>900</v>
      </c>
      <c r="H867" s="72">
        <v>98.730349000000004</v>
      </c>
      <c r="I867" s="73">
        <v>88857.314100000003</v>
      </c>
      <c r="J867" s="72">
        <v>104.78091818566666</v>
      </c>
      <c r="K867" s="73">
        <v>-5445.5122670999999</v>
      </c>
      <c r="L867" s="74">
        <v>0</v>
      </c>
      <c r="M867" s="73">
        <v>0</v>
      </c>
      <c r="N867" s="74">
        <v>0</v>
      </c>
      <c r="O867" s="73">
        <v>0</v>
      </c>
      <c r="P867" s="74">
        <v>900</v>
      </c>
      <c r="Q867" s="73">
        <v>88857.314100000003</v>
      </c>
      <c r="R867" s="71" t="s">
        <v>625</v>
      </c>
      <c r="S867" s="71">
        <v>7414000005</v>
      </c>
      <c r="AB867"/>
      <c r="AC867"/>
    </row>
    <row r="868" spans="1:29" x14ac:dyDescent="0.25">
      <c r="A868" t="str">
        <f t="shared" si="14"/>
        <v xml:space="preserve">152981CETES 260219        </v>
      </c>
      <c r="B868" s="71">
        <v>152981</v>
      </c>
      <c r="C868" s="71" t="s">
        <v>733</v>
      </c>
      <c r="D868" s="71" t="s">
        <v>376</v>
      </c>
      <c r="E868" s="71" t="s">
        <v>623</v>
      </c>
      <c r="F868" s="71" t="s">
        <v>624</v>
      </c>
      <c r="G868" s="74">
        <v>800</v>
      </c>
      <c r="H868" s="72">
        <v>99.247497999999993</v>
      </c>
      <c r="I868" s="73">
        <v>79397.998399999997</v>
      </c>
      <c r="J868" s="72">
        <v>75.524746840999995</v>
      </c>
      <c r="K868" s="73">
        <v>18978.2009272</v>
      </c>
      <c r="L868" s="74">
        <v>0</v>
      </c>
      <c r="M868" s="73">
        <v>0</v>
      </c>
      <c r="N868" s="74">
        <v>0</v>
      </c>
      <c r="O868" s="73">
        <v>0</v>
      </c>
      <c r="P868" s="74">
        <v>800</v>
      </c>
      <c r="Q868" s="73">
        <v>79397.998399999997</v>
      </c>
      <c r="R868" s="71" t="s">
        <v>625</v>
      </c>
      <c r="S868" s="71">
        <v>7414000005</v>
      </c>
      <c r="AB868"/>
      <c r="AC868"/>
    </row>
    <row r="869" spans="1:29" x14ac:dyDescent="0.25">
      <c r="A869" t="str">
        <f t="shared" si="14"/>
        <v xml:space="preserve">152981GOBFED 240905       </v>
      </c>
      <c r="B869" s="71">
        <v>152981</v>
      </c>
      <c r="C869" s="71" t="s">
        <v>733</v>
      </c>
      <c r="D869" s="71" t="s">
        <v>377</v>
      </c>
      <c r="E869" s="71" t="s">
        <v>623</v>
      </c>
      <c r="F869" s="71" t="s">
        <v>624</v>
      </c>
      <c r="G869" s="74">
        <v>1251</v>
      </c>
      <c r="H869" s="72">
        <v>94.973146999999997</v>
      </c>
      <c r="I869" s="73">
        <v>118811.40689699999</v>
      </c>
      <c r="J869" s="72">
        <v>90.007245033109513</v>
      </c>
      <c r="K869" s="73">
        <v>6212.3433605800001</v>
      </c>
      <c r="L869" s="74">
        <v>0</v>
      </c>
      <c r="M869" s="73">
        <v>0</v>
      </c>
      <c r="N869" s="74">
        <v>0</v>
      </c>
      <c r="O869" s="73">
        <v>0</v>
      </c>
      <c r="P869" s="74">
        <v>1251</v>
      </c>
      <c r="Q869" s="73">
        <v>118811.40689699999</v>
      </c>
      <c r="R869" s="71" t="s">
        <v>625</v>
      </c>
      <c r="S869" s="71">
        <v>7414000005</v>
      </c>
      <c r="AB869"/>
      <c r="AC869"/>
    </row>
    <row r="870" spans="1:29" x14ac:dyDescent="0.25">
      <c r="A870" t="str">
        <f t="shared" si="14"/>
        <v xml:space="preserve">152981GOBFED 241205       </v>
      </c>
      <c r="B870" s="71">
        <v>152981</v>
      </c>
      <c r="C870" s="71" t="s">
        <v>733</v>
      </c>
      <c r="D870" s="71" t="s">
        <v>378</v>
      </c>
      <c r="E870" s="71" t="s">
        <v>623</v>
      </c>
      <c r="F870" s="71" t="s">
        <v>624</v>
      </c>
      <c r="G870" s="74">
        <v>785</v>
      </c>
      <c r="H870" s="72">
        <v>91.911821000000003</v>
      </c>
      <c r="I870" s="73">
        <v>72150.779485000006</v>
      </c>
      <c r="J870" s="72">
        <v>93.2088459</v>
      </c>
      <c r="K870" s="73">
        <v>-1018.1645465</v>
      </c>
      <c r="L870" s="74">
        <v>0</v>
      </c>
      <c r="M870" s="73">
        <v>0</v>
      </c>
      <c r="N870" s="74">
        <v>0</v>
      </c>
      <c r="O870" s="73">
        <v>0</v>
      </c>
      <c r="P870" s="74">
        <v>785</v>
      </c>
      <c r="Q870" s="73">
        <v>72150.779485000006</v>
      </c>
      <c r="R870" s="71" t="s">
        <v>625</v>
      </c>
      <c r="S870" s="71">
        <v>7414000005</v>
      </c>
      <c r="AB870"/>
      <c r="AC870"/>
    </row>
    <row r="871" spans="1:29" x14ac:dyDescent="0.25">
      <c r="A871" t="str">
        <f t="shared" si="14"/>
        <v xml:space="preserve">152981GOBFED 250306       </v>
      </c>
      <c r="B871" s="71">
        <v>152981</v>
      </c>
      <c r="C871" s="71" t="s">
        <v>733</v>
      </c>
      <c r="D871" s="71" t="s">
        <v>379</v>
      </c>
      <c r="E871" s="71" t="s">
        <v>623</v>
      </c>
      <c r="F871" s="71" t="s">
        <v>624</v>
      </c>
      <c r="G871" s="74">
        <v>1027</v>
      </c>
      <c r="H871" s="72">
        <v>88.698122999999995</v>
      </c>
      <c r="I871" s="73">
        <v>91092.972320999994</v>
      </c>
      <c r="J871" s="72">
        <v>85.754787778880228</v>
      </c>
      <c r="K871" s="73">
        <v>3022.80527209</v>
      </c>
      <c r="L871" s="74">
        <v>0</v>
      </c>
      <c r="M871" s="73">
        <v>0</v>
      </c>
      <c r="N871" s="74">
        <v>0</v>
      </c>
      <c r="O871" s="73">
        <v>0</v>
      </c>
      <c r="P871" s="74">
        <v>1027</v>
      </c>
      <c r="Q871" s="73">
        <v>91092.972320999994</v>
      </c>
      <c r="R871" s="71" t="s">
        <v>625</v>
      </c>
      <c r="S871" s="71">
        <v>7414000005</v>
      </c>
      <c r="AB871"/>
      <c r="AC871"/>
    </row>
    <row r="872" spans="1:29" x14ac:dyDescent="0.25">
      <c r="A872" t="str">
        <f t="shared" si="14"/>
        <v xml:space="preserve">152981GOBFED 260305       </v>
      </c>
      <c r="B872" s="71">
        <v>152981</v>
      </c>
      <c r="C872" s="71" t="s">
        <v>733</v>
      </c>
      <c r="D872" s="71" t="s">
        <v>380</v>
      </c>
      <c r="E872" s="71" t="s">
        <v>623</v>
      </c>
      <c r="F872" s="71" t="s">
        <v>624</v>
      </c>
      <c r="G872" s="74">
        <v>1099</v>
      </c>
      <c r="H872" s="72">
        <v>93.314192000000006</v>
      </c>
      <c r="I872" s="73">
        <v>102552.29700799999</v>
      </c>
      <c r="J872" s="72">
        <v>98.662556702893539</v>
      </c>
      <c r="K872" s="73">
        <v>-5877.85280848</v>
      </c>
      <c r="L872" s="74">
        <v>0</v>
      </c>
      <c r="M872" s="73">
        <v>0</v>
      </c>
      <c r="N872" s="74">
        <v>0</v>
      </c>
      <c r="O872" s="73">
        <v>0</v>
      </c>
      <c r="P872" s="74">
        <v>1099</v>
      </c>
      <c r="Q872" s="73">
        <v>102552.29700799999</v>
      </c>
      <c r="R872" s="71" t="s">
        <v>625</v>
      </c>
      <c r="S872" s="71">
        <v>7414000005</v>
      </c>
      <c r="AB872"/>
      <c r="AC872"/>
    </row>
    <row r="873" spans="1:29" x14ac:dyDescent="0.25">
      <c r="A873" t="str">
        <f t="shared" si="14"/>
        <v xml:space="preserve">152981GOBFED 270304       </v>
      </c>
      <c r="B873" s="71">
        <v>152981</v>
      </c>
      <c r="C873" s="71" t="s">
        <v>733</v>
      </c>
      <c r="D873" s="71" t="s">
        <v>507</v>
      </c>
      <c r="E873" s="71" t="s">
        <v>623</v>
      </c>
      <c r="F873" s="71" t="s">
        <v>624</v>
      </c>
      <c r="G873" s="74">
        <v>730</v>
      </c>
      <c r="H873" s="72">
        <v>94.864168000000006</v>
      </c>
      <c r="I873" s="73">
        <v>69250.842640000003</v>
      </c>
      <c r="J873" s="72">
        <v>96.464159712876707</v>
      </c>
      <c r="K873" s="73">
        <v>-1167.9939503999999</v>
      </c>
      <c r="L873" s="74">
        <v>0</v>
      </c>
      <c r="M873" s="73">
        <v>0</v>
      </c>
      <c r="N873" s="74">
        <v>0</v>
      </c>
      <c r="O873" s="73">
        <v>0</v>
      </c>
      <c r="P873" s="74">
        <v>730</v>
      </c>
      <c r="Q873" s="73">
        <v>69250.842640000003</v>
      </c>
      <c r="R873" s="71" t="s">
        <v>625</v>
      </c>
      <c r="S873" s="71">
        <v>7414000005</v>
      </c>
      <c r="AB873"/>
      <c r="AC873"/>
    </row>
    <row r="874" spans="1:29" x14ac:dyDescent="0.25">
      <c r="A874" t="str">
        <f t="shared" si="14"/>
        <v xml:space="preserve">152981GOBFED 270603       </v>
      </c>
      <c r="B874" s="71">
        <v>152981</v>
      </c>
      <c r="C874" s="71" t="s">
        <v>733</v>
      </c>
      <c r="D874" s="71" t="s">
        <v>381</v>
      </c>
      <c r="E874" s="71" t="s">
        <v>623</v>
      </c>
      <c r="F874" s="71" t="s">
        <v>624</v>
      </c>
      <c r="G874" s="74">
        <v>491</v>
      </c>
      <c r="H874" s="72">
        <v>94.870157000000006</v>
      </c>
      <c r="I874" s="73">
        <v>46581.247087000003</v>
      </c>
      <c r="J874" s="72">
        <v>96.692672049999999</v>
      </c>
      <c r="K874" s="73">
        <v>-894.85488955000005</v>
      </c>
      <c r="L874" s="74">
        <v>0</v>
      </c>
      <c r="M874" s="73">
        <v>0</v>
      </c>
      <c r="N874" s="74">
        <v>0</v>
      </c>
      <c r="O874" s="73">
        <v>0</v>
      </c>
      <c r="P874" s="74">
        <v>491</v>
      </c>
      <c r="Q874" s="73">
        <v>46581.247087000003</v>
      </c>
      <c r="R874" s="71" t="s">
        <v>625</v>
      </c>
      <c r="S874" s="71">
        <v>7414000005</v>
      </c>
      <c r="AB874"/>
      <c r="AC874"/>
    </row>
    <row r="875" spans="1:29" x14ac:dyDescent="0.25">
      <c r="A875" t="str">
        <f t="shared" si="14"/>
        <v xml:space="preserve">152981GOBFED 290301       </v>
      </c>
      <c r="B875" s="71">
        <v>152981</v>
      </c>
      <c r="C875" s="71" t="s">
        <v>733</v>
      </c>
      <c r="D875" s="71" t="s">
        <v>382</v>
      </c>
      <c r="E875" s="71" t="s">
        <v>623</v>
      </c>
      <c r="F875" s="71" t="s">
        <v>624</v>
      </c>
      <c r="G875" s="74">
        <v>1151</v>
      </c>
      <c r="H875" s="72">
        <v>89.489464999999996</v>
      </c>
      <c r="I875" s="73">
        <v>103002.374215</v>
      </c>
      <c r="J875" s="72">
        <v>71.001864074074717</v>
      </c>
      <c r="K875" s="73">
        <v>21279.22866574</v>
      </c>
      <c r="L875" s="74">
        <v>0</v>
      </c>
      <c r="M875" s="73">
        <v>0</v>
      </c>
      <c r="N875" s="74">
        <v>0</v>
      </c>
      <c r="O875" s="73">
        <v>0</v>
      </c>
      <c r="P875" s="74">
        <v>1151</v>
      </c>
      <c r="Q875" s="73">
        <v>103002.374215</v>
      </c>
      <c r="R875" s="71" t="s">
        <v>625</v>
      </c>
      <c r="S875" s="71">
        <v>7414000005</v>
      </c>
      <c r="AB875"/>
      <c r="AC875"/>
    </row>
    <row r="876" spans="1:29" x14ac:dyDescent="0.25">
      <c r="A876" t="str">
        <f t="shared" si="14"/>
        <v xml:space="preserve">152981GOBFED 290531       </v>
      </c>
      <c r="B876" s="71">
        <v>152981</v>
      </c>
      <c r="C876" s="71" t="s">
        <v>733</v>
      </c>
      <c r="D876" s="71" t="s">
        <v>383</v>
      </c>
      <c r="E876" s="71" t="s">
        <v>623</v>
      </c>
      <c r="F876" s="71" t="s">
        <v>624</v>
      </c>
      <c r="G876" s="74">
        <v>740</v>
      </c>
      <c r="H876" s="72">
        <v>86.197128000000006</v>
      </c>
      <c r="I876" s="73">
        <v>63785.87472</v>
      </c>
      <c r="J876" s="72">
        <v>89.908939955135139</v>
      </c>
      <c r="K876" s="73">
        <v>-2746.7408467999999</v>
      </c>
      <c r="L876" s="74">
        <v>0</v>
      </c>
      <c r="M876" s="73">
        <v>0</v>
      </c>
      <c r="N876" s="74">
        <v>0</v>
      </c>
      <c r="O876" s="73">
        <v>0</v>
      </c>
      <c r="P876" s="74">
        <v>740</v>
      </c>
      <c r="Q876" s="73">
        <v>63785.87472</v>
      </c>
      <c r="R876" s="71" t="s">
        <v>625</v>
      </c>
      <c r="S876" s="71">
        <v>7414000005</v>
      </c>
      <c r="AB876"/>
      <c r="AC876"/>
    </row>
    <row r="877" spans="1:29" x14ac:dyDescent="0.25">
      <c r="A877" t="str">
        <f t="shared" si="14"/>
        <v xml:space="preserve">152981GOBFED 310529       </v>
      </c>
      <c r="B877" s="71">
        <v>152981</v>
      </c>
      <c r="C877" s="71" t="s">
        <v>733</v>
      </c>
      <c r="D877" s="71" t="s">
        <v>427</v>
      </c>
      <c r="E877" s="71" t="s">
        <v>623</v>
      </c>
      <c r="F877" s="71" t="s">
        <v>624</v>
      </c>
      <c r="G877" s="74">
        <v>857</v>
      </c>
      <c r="H877" s="72">
        <v>86.469353999999996</v>
      </c>
      <c r="I877" s="73">
        <v>74104.236378000001</v>
      </c>
      <c r="J877" s="72">
        <v>94.74053355987165</v>
      </c>
      <c r="K877" s="73">
        <v>-7088.4008828100004</v>
      </c>
      <c r="L877" s="74">
        <v>0</v>
      </c>
      <c r="M877" s="73">
        <v>0</v>
      </c>
      <c r="N877" s="74">
        <v>0</v>
      </c>
      <c r="O877" s="73">
        <v>0</v>
      </c>
      <c r="P877" s="74">
        <v>857</v>
      </c>
      <c r="Q877" s="73">
        <v>74104.236378000001</v>
      </c>
      <c r="R877" s="71" t="s">
        <v>625</v>
      </c>
      <c r="S877" s="71">
        <v>7414000005</v>
      </c>
      <c r="AB877"/>
      <c r="AC877"/>
    </row>
    <row r="878" spans="1:29" x14ac:dyDescent="0.25">
      <c r="A878" t="str">
        <f t="shared" si="14"/>
        <v xml:space="preserve">152981GOBFED 330526       </v>
      </c>
      <c r="B878" s="71">
        <v>152981</v>
      </c>
      <c r="C878" s="71" t="s">
        <v>733</v>
      </c>
      <c r="D878" s="71" t="s">
        <v>418</v>
      </c>
      <c r="E878" s="71" t="s">
        <v>623</v>
      </c>
      <c r="F878" s="71" t="s">
        <v>624</v>
      </c>
      <c r="G878" s="74">
        <v>51</v>
      </c>
      <c r="H878" s="72">
        <v>101.45096599999999</v>
      </c>
      <c r="I878" s="73">
        <v>5173.9992659999998</v>
      </c>
      <c r="J878" s="72">
        <v>114.11447106</v>
      </c>
      <c r="K878" s="73">
        <v>-645.83875806000003</v>
      </c>
      <c r="L878" s="74">
        <v>0</v>
      </c>
      <c r="M878" s="73">
        <v>0</v>
      </c>
      <c r="N878" s="74">
        <v>0</v>
      </c>
      <c r="O878" s="73">
        <v>0</v>
      </c>
      <c r="P878" s="74">
        <v>51</v>
      </c>
      <c r="Q878" s="73">
        <v>5173.9992659999998</v>
      </c>
      <c r="R878" s="71" t="s">
        <v>625</v>
      </c>
      <c r="S878" s="71">
        <v>7414000005</v>
      </c>
      <c r="AB878"/>
      <c r="AC878"/>
    </row>
    <row r="879" spans="1:29" x14ac:dyDescent="0.25">
      <c r="A879" t="str">
        <f t="shared" si="14"/>
        <v xml:space="preserve">152981GOBFED 341123       </v>
      </c>
      <c r="B879" s="71">
        <v>152981</v>
      </c>
      <c r="C879" s="71" t="s">
        <v>733</v>
      </c>
      <c r="D879" s="71" t="s">
        <v>408</v>
      </c>
      <c r="E879" s="71" t="s">
        <v>623</v>
      </c>
      <c r="F879" s="71" t="s">
        <v>624</v>
      </c>
      <c r="G879" s="74">
        <v>61</v>
      </c>
      <c r="H879" s="72">
        <v>89.643172000000007</v>
      </c>
      <c r="I879" s="73">
        <v>5468.2334920000003</v>
      </c>
      <c r="J879" s="72">
        <v>117.68286983</v>
      </c>
      <c r="K879" s="73">
        <v>-1710.42156763</v>
      </c>
      <c r="L879" s="74">
        <v>0</v>
      </c>
      <c r="M879" s="73">
        <v>0</v>
      </c>
      <c r="N879" s="74">
        <v>0</v>
      </c>
      <c r="O879" s="73">
        <v>0</v>
      </c>
      <c r="P879" s="74">
        <v>61</v>
      </c>
      <c r="Q879" s="73">
        <v>5468.2334920000003</v>
      </c>
      <c r="R879" s="71" t="s">
        <v>625</v>
      </c>
      <c r="S879" s="71">
        <v>7414000005</v>
      </c>
      <c r="AB879"/>
      <c r="AC879"/>
    </row>
    <row r="880" spans="1:29" x14ac:dyDescent="0.25">
      <c r="A880" t="str">
        <f t="shared" si="14"/>
        <v xml:space="preserve">152981GOBFED 361120       </v>
      </c>
      <c r="B880" s="71">
        <v>152981</v>
      </c>
      <c r="C880" s="71" t="s">
        <v>733</v>
      </c>
      <c r="D880" s="71" t="s">
        <v>384</v>
      </c>
      <c r="E880" s="71" t="s">
        <v>623</v>
      </c>
      <c r="F880" s="71" t="s">
        <v>624</v>
      </c>
      <c r="G880" s="74">
        <v>1304</v>
      </c>
      <c r="H880" s="72">
        <v>81.738860000000003</v>
      </c>
      <c r="I880" s="73">
        <v>106587.47344</v>
      </c>
      <c r="J880" s="72">
        <v>86.479330660506136</v>
      </c>
      <c r="K880" s="73">
        <v>-6181.5737412999997</v>
      </c>
      <c r="L880" s="74">
        <v>0</v>
      </c>
      <c r="M880" s="73">
        <v>0</v>
      </c>
      <c r="N880" s="74">
        <v>0</v>
      </c>
      <c r="O880" s="73">
        <v>0</v>
      </c>
      <c r="P880" s="74">
        <v>1304</v>
      </c>
      <c r="Q880" s="73">
        <v>106587.47344</v>
      </c>
      <c r="R880" s="71" t="s">
        <v>625</v>
      </c>
      <c r="S880" s="71">
        <v>7414000005</v>
      </c>
      <c r="AB880"/>
      <c r="AC880"/>
    </row>
    <row r="881" spans="1:29" x14ac:dyDescent="0.25">
      <c r="A881" t="str">
        <f t="shared" si="14"/>
        <v xml:space="preserve">152981GOBFED 381118       </v>
      </c>
      <c r="B881" s="71">
        <v>152981</v>
      </c>
      <c r="C881" s="71" t="s">
        <v>733</v>
      </c>
      <c r="D881" s="71" t="s">
        <v>385</v>
      </c>
      <c r="E881" s="71" t="s">
        <v>623</v>
      </c>
      <c r="F881" s="71" t="s">
        <v>624</v>
      </c>
      <c r="G881" s="74">
        <v>344</v>
      </c>
      <c r="H881" s="72">
        <v>83.200761</v>
      </c>
      <c r="I881" s="73">
        <v>28621.061784000001</v>
      </c>
      <c r="J881" s="72">
        <v>94.370822079534889</v>
      </c>
      <c r="K881" s="73">
        <v>-3842.5010113600001</v>
      </c>
      <c r="L881" s="74">
        <v>0</v>
      </c>
      <c r="M881" s="73">
        <v>0</v>
      </c>
      <c r="N881" s="74">
        <v>0</v>
      </c>
      <c r="O881" s="73">
        <v>0</v>
      </c>
      <c r="P881" s="74">
        <v>344</v>
      </c>
      <c r="Q881" s="73">
        <v>28621.061784000001</v>
      </c>
      <c r="R881" s="71" t="s">
        <v>625</v>
      </c>
      <c r="S881" s="71">
        <v>7414000005</v>
      </c>
      <c r="AB881"/>
      <c r="AC881"/>
    </row>
    <row r="882" spans="1:29" x14ac:dyDescent="0.25">
      <c r="A882" t="str">
        <f t="shared" si="14"/>
        <v xml:space="preserve">152981GOBFED 421113       </v>
      </c>
      <c r="B882" s="71">
        <v>152981</v>
      </c>
      <c r="C882" s="71" t="s">
        <v>733</v>
      </c>
      <c r="D882" s="71" t="s">
        <v>386</v>
      </c>
      <c r="E882" s="71" t="s">
        <v>623</v>
      </c>
      <c r="F882" s="71" t="s">
        <v>624</v>
      </c>
      <c r="G882" s="74">
        <v>1952</v>
      </c>
      <c r="H882" s="72">
        <v>82.159907000000004</v>
      </c>
      <c r="I882" s="73">
        <v>160376.13846399999</v>
      </c>
      <c r="J882" s="72">
        <v>84.305724856834019</v>
      </c>
      <c r="K882" s="73">
        <v>-4188.6364565399999</v>
      </c>
      <c r="L882" s="74">
        <v>0</v>
      </c>
      <c r="M882" s="73">
        <v>0</v>
      </c>
      <c r="N882" s="74">
        <v>0</v>
      </c>
      <c r="O882" s="73">
        <v>0</v>
      </c>
      <c r="P882" s="74">
        <v>1952</v>
      </c>
      <c r="Q882" s="73">
        <v>160376.13846399999</v>
      </c>
      <c r="R882" s="71" t="s">
        <v>625</v>
      </c>
      <c r="S882" s="71">
        <v>7414000005</v>
      </c>
      <c r="AB882"/>
      <c r="AC882"/>
    </row>
    <row r="883" spans="1:29" x14ac:dyDescent="0.25">
      <c r="A883" t="str">
        <f t="shared" si="14"/>
        <v xml:space="preserve">152981GOBFED 471107       </v>
      </c>
      <c r="B883" s="71">
        <v>152981</v>
      </c>
      <c r="C883" s="71" t="s">
        <v>733</v>
      </c>
      <c r="D883" s="71" t="s">
        <v>429</v>
      </c>
      <c r="E883" s="71" t="s">
        <v>623</v>
      </c>
      <c r="F883" s="71" t="s">
        <v>624</v>
      </c>
      <c r="G883" s="74">
        <v>1440</v>
      </c>
      <c r="H883" s="72">
        <v>98.007834000000003</v>
      </c>
      <c r="I883" s="73">
        <v>141131.28096</v>
      </c>
      <c r="J883" s="72">
        <v>92.068008551250003</v>
      </c>
      <c r="K883" s="73">
        <v>8553.3486462000001</v>
      </c>
      <c r="L883" s="74">
        <v>0</v>
      </c>
      <c r="M883" s="73">
        <v>0</v>
      </c>
      <c r="N883" s="74">
        <v>0</v>
      </c>
      <c r="O883" s="73">
        <v>0</v>
      </c>
      <c r="P883" s="74">
        <v>1440</v>
      </c>
      <c r="Q883" s="73">
        <v>141131.28096</v>
      </c>
      <c r="R883" s="71" t="s">
        <v>625</v>
      </c>
      <c r="S883" s="71">
        <v>7414000005</v>
      </c>
      <c r="AB883"/>
      <c r="AC883"/>
    </row>
    <row r="884" spans="1:29" x14ac:dyDescent="0.25">
      <c r="A884" t="str">
        <f t="shared" si="14"/>
        <v xml:space="preserve">152981GOBFED 530731       </v>
      </c>
      <c r="B884" s="71">
        <v>152981</v>
      </c>
      <c r="C884" s="71" t="s">
        <v>733</v>
      </c>
      <c r="D884" s="71" t="s">
        <v>389</v>
      </c>
      <c r="E884" s="71" t="s">
        <v>623</v>
      </c>
      <c r="F884" s="71" t="s">
        <v>624</v>
      </c>
      <c r="G884" s="74">
        <v>211039</v>
      </c>
      <c r="H884" s="72">
        <v>3.3967719999999999</v>
      </c>
      <c r="I884" s="73">
        <v>716851.36610800005</v>
      </c>
      <c r="J884" s="72">
        <v>3.2828755822383542</v>
      </c>
      <c r="K884" s="73">
        <v>24036.586108</v>
      </c>
      <c r="L884" s="74">
        <v>0</v>
      </c>
      <c r="M884" s="73">
        <v>0</v>
      </c>
      <c r="N884" s="74">
        <v>0</v>
      </c>
      <c r="O884" s="73">
        <v>0</v>
      </c>
      <c r="P884" s="74">
        <v>211039</v>
      </c>
      <c r="Q884" s="73">
        <v>716851.36610800005</v>
      </c>
      <c r="R884" s="71" t="s">
        <v>625</v>
      </c>
      <c r="S884" s="71">
        <v>7414000005</v>
      </c>
      <c r="AB884"/>
      <c r="AC884"/>
    </row>
    <row r="885" spans="1:29" x14ac:dyDescent="0.25">
      <c r="A885" t="str">
        <f t="shared" si="14"/>
        <v xml:space="preserve">152981PEMEX 13-2          </v>
      </c>
      <c r="B885" s="71">
        <v>152981</v>
      </c>
      <c r="C885" s="71" t="s">
        <v>733</v>
      </c>
      <c r="D885" s="71" t="s">
        <v>417</v>
      </c>
      <c r="E885" s="71" t="s">
        <v>623</v>
      </c>
      <c r="F885" s="71" t="s">
        <v>624</v>
      </c>
      <c r="G885" s="74">
        <v>80994</v>
      </c>
      <c r="H885" s="72">
        <v>3.8832339999999999</v>
      </c>
      <c r="I885" s="73">
        <v>314518.65459599998</v>
      </c>
      <c r="J885" s="72">
        <v>2.9842845149023383</v>
      </c>
      <c r="K885" s="73">
        <v>72809.514595999994</v>
      </c>
      <c r="L885" s="74">
        <v>0</v>
      </c>
      <c r="M885" s="73">
        <v>0</v>
      </c>
      <c r="N885" s="74">
        <v>0</v>
      </c>
      <c r="O885" s="73">
        <v>0</v>
      </c>
      <c r="P885" s="74">
        <v>80994</v>
      </c>
      <c r="Q885" s="73">
        <v>314518.65459599998</v>
      </c>
      <c r="R885" s="71" t="s">
        <v>625</v>
      </c>
      <c r="S885" s="71">
        <v>7414000005</v>
      </c>
      <c r="AB885"/>
      <c r="AC885"/>
    </row>
    <row r="886" spans="1:29" x14ac:dyDescent="0.25">
      <c r="A886" t="str">
        <f t="shared" si="14"/>
        <v xml:space="preserve">152981STERGOB ED          </v>
      </c>
      <c r="B886" s="71">
        <v>152981</v>
      </c>
      <c r="C886" s="71" t="s">
        <v>733</v>
      </c>
      <c r="D886" s="71" t="s">
        <v>466</v>
      </c>
      <c r="E886" s="71" t="s">
        <v>623</v>
      </c>
      <c r="F886" s="71" t="s">
        <v>624</v>
      </c>
      <c r="G886" s="74">
        <v>38</v>
      </c>
      <c r="H886" s="72">
        <v>256.05011500000001</v>
      </c>
      <c r="I886" s="73">
        <v>9729.9043700000002</v>
      </c>
      <c r="J886" s="72">
        <v>487.32003911999999</v>
      </c>
      <c r="K886" s="73">
        <v>-8788.2571165600002</v>
      </c>
      <c r="L886" s="74">
        <v>0</v>
      </c>
      <c r="M886" s="73">
        <v>0</v>
      </c>
      <c r="N886" s="74">
        <v>0</v>
      </c>
      <c r="O886" s="73">
        <v>0</v>
      </c>
      <c r="P886" s="74">
        <v>38</v>
      </c>
      <c r="Q886" s="73">
        <v>9729.9043700000002</v>
      </c>
      <c r="R886" s="71" t="s">
        <v>625</v>
      </c>
      <c r="S886" s="71">
        <v>7414000005</v>
      </c>
      <c r="AB886"/>
      <c r="AC886"/>
    </row>
    <row r="887" spans="1:29" x14ac:dyDescent="0.25">
      <c r="A887" t="str">
        <f t="shared" si="14"/>
        <v xml:space="preserve">152981STRGOB2 ED          </v>
      </c>
      <c r="B887" s="71">
        <v>152981</v>
      </c>
      <c r="C887" s="71" t="s">
        <v>733</v>
      </c>
      <c r="D887" s="71" t="s">
        <v>449</v>
      </c>
      <c r="E887" s="71" t="s">
        <v>623</v>
      </c>
      <c r="F887" s="71" t="s">
        <v>624</v>
      </c>
      <c r="G887" s="74">
        <v>0</v>
      </c>
      <c r="H887" s="72">
        <v>0</v>
      </c>
      <c r="I887" s="73">
        <v>0</v>
      </c>
      <c r="J887" s="72">
        <v>0</v>
      </c>
      <c r="K887" s="73">
        <v>0</v>
      </c>
      <c r="L887" s="74">
        <v>0</v>
      </c>
      <c r="M887" s="73">
        <v>0</v>
      </c>
      <c r="N887" s="74">
        <v>0</v>
      </c>
      <c r="O887" s="73">
        <v>0</v>
      </c>
      <c r="P887" s="74">
        <v>0</v>
      </c>
      <c r="Q887" s="73">
        <v>0</v>
      </c>
      <c r="R887" s="71" t="s">
        <v>625</v>
      </c>
      <c r="S887" s="71">
        <v>7414000005</v>
      </c>
      <c r="AB887"/>
      <c r="AC887"/>
    </row>
    <row r="888" spans="1:29" x14ac:dyDescent="0.25">
      <c r="A888" t="str">
        <f t="shared" si="14"/>
        <v xml:space="preserve">152981TFOVICB 15U         </v>
      </c>
      <c r="B888" s="71">
        <v>152981</v>
      </c>
      <c r="C888" s="71" t="s">
        <v>733</v>
      </c>
      <c r="D888" s="71" t="s">
        <v>391</v>
      </c>
      <c r="E888" s="71" t="s">
        <v>623</v>
      </c>
      <c r="F888" s="71" t="s">
        <v>624</v>
      </c>
      <c r="G888" s="74">
        <v>97</v>
      </c>
      <c r="H888" s="72">
        <v>775.69178699999998</v>
      </c>
      <c r="I888" s="73">
        <v>75242.103338999994</v>
      </c>
      <c r="J888" s="72">
        <v>696.9165580026804</v>
      </c>
      <c r="K888" s="73">
        <v>7641.1972127400004</v>
      </c>
      <c r="L888" s="74">
        <v>0</v>
      </c>
      <c r="M888" s="73">
        <v>0</v>
      </c>
      <c r="N888" s="74">
        <v>0</v>
      </c>
      <c r="O888" s="73">
        <v>0</v>
      </c>
      <c r="P888" s="74">
        <v>97</v>
      </c>
      <c r="Q888" s="73">
        <v>75242.103338999994</v>
      </c>
      <c r="R888" s="71" t="s">
        <v>625</v>
      </c>
      <c r="S888" s="71">
        <v>7414000005</v>
      </c>
      <c r="AB888"/>
      <c r="AC888"/>
    </row>
    <row r="889" spans="1:29" x14ac:dyDescent="0.25">
      <c r="A889" t="str">
        <f t="shared" si="14"/>
        <v xml:space="preserve">152981UDIBONO 171214      </v>
      </c>
      <c r="B889" s="71">
        <v>152981</v>
      </c>
      <c r="C889" s="71" t="s">
        <v>733</v>
      </c>
      <c r="D889" s="71" t="s">
        <v>392</v>
      </c>
      <c r="E889" s="71" t="s">
        <v>623</v>
      </c>
      <c r="F889" s="71" t="s">
        <v>624</v>
      </c>
      <c r="G889" s="74">
        <v>150</v>
      </c>
      <c r="H889" s="72">
        <v>747.17843200000004</v>
      </c>
      <c r="I889" s="73">
        <v>112076.7648</v>
      </c>
      <c r="J889" s="72">
        <v>709.73996555799999</v>
      </c>
      <c r="K889" s="73">
        <v>5615.7699663000003</v>
      </c>
      <c r="L889" s="74">
        <v>0</v>
      </c>
      <c r="M889" s="73">
        <v>0</v>
      </c>
      <c r="N889" s="74">
        <v>0</v>
      </c>
      <c r="O889" s="73">
        <v>0</v>
      </c>
      <c r="P889" s="74">
        <v>150</v>
      </c>
      <c r="Q889" s="73">
        <v>112076.7648</v>
      </c>
      <c r="R889" s="71" t="s">
        <v>625</v>
      </c>
      <c r="S889" s="71">
        <v>7414000005</v>
      </c>
      <c r="AB889"/>
      <c r="AC889"/>
    </row>
    <row r="890" spans="1:29" x14ac:dyDescent="0.25">
      <c r="A890" t="str">
        <f t="shared" si="14"/>
        <v xml:space="preserve">152981UDIBONO 251204      </v>
      </c>
      <c r="B890" s="71">
        <v>152981</v>
      </c>
      <c r="C890" s="71" t="s">
        <v>733</v>
      </c>
      <c r="D890" s="71" t="s">
        <v>393</v>
      </c>
      <c r="E890" s="71" t="s">
        <v>623</v>
      </c>
      <c r="F890" s="71" t="s">
        <v>624</v>
      </c>
      <c r="G890" s="74">
        <v>168</v>
      </c>
      <c r="H890" s="72">
        <v>765.92388300000005</v>
      </c>
      <c r="I890" s="73">
        <v>128675.212344</v>
      </c>
      <c r="J890" s="72">
        <v>748.03498777940479</v>
      </c>
      <c r="K890" s="73">
        <v>3005.3343970599999</v>
      </c>
      <c r="L890" s="74">
        <v>0</v>
      </c>
      <c r="M890" s="73">
        <v>0</v>
      </c>
      <c r="N890" s="74">
        <v>0</v>
      </c>
      <c r="O890" s="73">
        <v>0</v>
      </c>
      <c r="P890" s="74">
        <v>168</v>
      </c>
      <c r="Q890" s="73">
        <v>128675.212344</v>
      </c>
      <c r="R890" s="71" t="s">
        <v>625</v>
      </c>
      <c r="S890" s="71">
        <v>7414000005</v>
      </c>
      <c r="AB890"/>
      <c r="AC890"/>
    </row>
    <row r="891" spans="1:29" x14ac:dyDescent="0.25">
      <c r="A891" t="str">
        <f t="shared" si="14"/>
        <v xml:space="preserve">152981UDIBONO 261203      </v>
      </c>
      <c r="B891" s="71">
        <v>152981</v>
      </c>
      <c r="C891" s="71" t="s">
        <v>733</v>
      </c>
      <c r="D891" s="71" t="s">
        <v>394</v>
      </c>
      <c r="E891" s="71" t="s">
        <v>623</v>
      </c>
      <c r="F891" s="71" t="s">
        <v>624</v>
      </c>
      <c r="G891" s="74">
        <v>584</v>
      </c>
      <c r="H891" s="72">
        <v>684.88915799999995</v>
      </c>
      <c r="I891" s="73">
        <v>399975.26827200002</v>
      </c>
      <c r="J891" s="72">
        <v>677.06021272962323</v>
      </c>
      <c r="K891" s="73">
        <v>4572.1040378999996</v>
      </c>
      <c r="L891" s="74">
        <v>0</v>
      </c>
      <c r="M891" s="73">
        <v>0</v>
      </c>
      <c r="N891" s="74">
        <v>0</v>
      </c>
      <c r="O891" s="73">
        <v>0</v>
      </c>
      <c r="P891" s="74">
        <v>584</v>
      </c>
      <c r="Q891" s="73">
        <v>399975.26827200002</v>
      </c>
      <c r="R891" s="71" t="s">
        <v>625</v>
      </c>
      <c r="S891" s="71">
        <v>7414000005</v>
      </c>
      <c r="AB891"/>
      <c r="AC891"/>
    </row>
    <row r="892" spans="1:29" x14ac:dyDescent="0.25">
      <c r="A892" t="str">
        <f t="shared" si="14"/>
        <v xml:space="preserve">152981UDIBONO 281130      </v>
      </c>
      <c r="B892" s="71">
        <v>152981</v>
      </c>
      <c r="C892" s="71" t="s">
        <v>733</v>
      </c>
      <c r="D892" s="71" t="s">
        <v>395</v>
      </c>
      <c r="E892" s="71" t="s">
        <v>623</v>
      </c>
      <c r="F892" s="71" t="s">
        <v>624</v>
      </c>
      <c r="G892" s="74">
        <v>67</v>
      </c>
      <c r="H892" s="72">
        <v>772.926965</v>
      </c>
      <c r="I892" s="73">
        <v>51786.106655000003</v>
      </c>
      <c r="J892" s="72">
        <v>798.93664675000002</v>
      </c>
      <c r="K892" s="73">
        <v>-1742.64867725</v>
      </c>
      <c r="L892" s="74">
        <v>0</v>
      </c>
      <c r="M892" s="73">
        <v>0</v>
      </c>
      <c r="N892" s="74">
        <v>0</v>
      </c>
      <c r="O892" s="73">
        <v>0</v>
      </c>
      <c r="P892" s="74">
        <v>67</v>
      </c>
      <c r="Q892" s="73">
        <v>51786.106655000003</v>
      </c>
      <c r="R892" s="71" t="s">
        <v>625</v>
      </c>
      <c r="S892" s="71">
        <v>7414000005</v>
      </c>
      <c r="AB892"/>
      <c r="AC892"/>
    </row>
    <row r="893" spans="1:29" x14ac:dyDescent="0.25">
      <c r="A893" t="str">
        <f t="shared" si="14"/>
        <v xml:space="preserve">152981UDIBONO 311127      </v>
      </c>
      <c r="B893" s="71">
        <v>152981</v>
      </c>
      <c r="C893" s="71" t="s">
        <v>733</v>
      </c>
      <c r="D893" s="71" t="s">
        <v>396</v>
      </c>
      <c r="E893" s="71" t="s">
        <v>623</v>
      </c>
      <c r="F893" s="71" t="s">
        <v>624</v>
      </c>
      <c r="G893" s="74">
        <v>90</v>
      </c>
      <c r="H893" s="72">
        <v>721.59464000000003</v>
      </c>
      <c r="I893" s="73">
        <v>64943.517599999999</v>
      </c>
      <c r="J893" s="72">
        <v>546.01161723200005</v>
      </c>
      <c r="K893" s="73">
        <v>15802.472049120001</v>
      </c>
      <c r="L893" s="74">
        <v>0</v>
      </c>
      <c r="M893" s="73">
        <v>0</v>
      </c>
      <c r="N893" s="74">
        <v>0</v>
      </c>
      <c r="O893" s="73">
        <v>0</v>
      </c>
      <c r="P893" s="74">
        <v>90</v>
      </c>
      <c r="Q893" s="73">
        <v>64943.517599999999</v>
      </c>
      <c r="R893" s="71" t="s">
        <v>625</v>
      </c>
      <c r="S893" s="71">
        <v>7414000005</v>
      </c>
      <c r="AB893"/>
      <c r="AC893"/>
    </row>
    <row r="894" spans="1:29" x14ac:dyDescent="0.25">
      <c r="A894" t="str">
        <f t="shared" si="14"/>
        <v xml:space="preserve">152981UDIBONO 351122      </v>
      </c>
      <c r="B894" s="71">
        <v>152981</v>
      </c>
      <c r="C894" s="71" t="s">
        <v>733</v>
      </c>
      <c r="D894" s="71" t="s">
        <v>397</v>
      </c>
      <c r="E894" s="71" t="s">
        <v>623</v>
      </c>
      <c r="F894" s="71" t="s">
        <v>624</v>
      </c>
      <c r="G894" s="74">
        <v>57</v>
      </c>
      <c r="H894" s="72">
        <v>635.96311900000001</v>
      </c>
      <c r="I894" s="73">
        <v>36249.897783</v>
      </c>
      <c r="J894" s="72">
        <v>647.93802047999998</v>
      </c>
      <c r="K894" s="73">
        <v>-682.56938435999996</v>
      </c>
      <c r="L894" s="74">
        <v>0</v>
      </c>
      <c r="M894" s="73">
        <v>0</v>
      </c>
      <c r="N894" s="74">
        <v>0</v>
      </c>
      <c r="O894" s="73">
        <v>0</v>
      </c>
      <c r="P894" s="74">
        <v>57</v>
      </c>
      <c r="Q894" s="73">
        <v>36249.897783</v>
      </c>
      <c r="R894" s="71" t="s">
        <v>625</v>
      </c>
      <c r="S894" s="71">
        <v>7414000005</v>
      </c>
      <c r="AB894"/>
      <c r="AC894"/>
    </row>
    <row r="895" spans="1:29" x14ac:dyDescent="0.25">
      <c r="A895" t="str">
        <f t="shared" si="14"/>
        <v xml:space="preserve">152981UDIBONO 401115      </v>
      </c>
      <c r="B895" s="71">
        <v>152981</v>
      </c>
      <c r="C895" s="71" t="s">
        <v>733</v>
      </c>
      <c r="D895" s="71" t="s">
        <v>398</v>
      </c>
      <c r="E895" s="71" t="s">
        <v>623</v>
      </c>
      <c r="F895" s="71" t="s">
        <v>624</v>
      </c>
      <c r="G895" s="74">
        <v>110</v>
      </c>
      <c r="H895" s="72">
        <v>709.36974099999998</v>
      </c>
      <c r="I895" s="73">
        <v>78030.67151</v>
      </c>
      <c r="J895" s="72">
        <v>738.40352028590905</v>
      </c>
      <c r="K895" s="73">
        <v>-3193.7157214499998</v>
      </c>
      <c r="L895" s="74">
        <v>0</v>
      </c>
      <c r="M895" s="73">
        <v>0</v>
      </c>
      <c r="N895" s="74">
        <v>0</v>
      </c>
      <c r="O895" s="73">
        <v>0</v>
      </c>
      <c r="P895" s="74">
        <v>110</v>
      </c>
      <c r="Q895" s="73">
        <v>78030.67151</v>
      </c>
      <c r="R895" s="71" t="s">
        <v>625</v>
      </c>
      <c r="S895" s="71">
        <v>7414000005</v>
      </c>
      <c r="AB895"/>
      <c r="AC895"/>
    </row>
    <row r="896" spans="1:29" x14ac:dyDescent="0.25">
      <c r="A896" t="str">
        <f t="shared" si="14"/>
        <v xml:space="preserve">152981UDIBONO 431112      </v>
      </c>
      <c r="B896" s="71">
        <v>152981</v>
      </c>
      <c r="C896" s="71" t="s">
        <v>733</v>
      </c>
      <c r="D896" s="71" t="s">
        <v>399</v>
      </c>
      <c r="E896" s="71" t="s">
        <v>623</v>
      </c>
      <c r="F896" s="71" t="s">
        <v>624</v>
      </c>
      <c r="G896" s="74">
        <v>366</v>
      </c>
      <c r="H896" s="72">
        <v>694.41118700000004</v>
      </c>
      <c r="I896" s="73">
        <v>254154.494442</v>
      </c>
      <c r="J896" s="72">
        <v>723.22520642745906</v>
      </c>
      <c r="K896" s="73">
        <v>-10545.931110449999</v>
      </c>
      <c r="L896" s="74">
        <v>0</v>
      </c>
      <c r="M896" s="73">
        <v>0</v>
      </c>
      <c r="N896" s="74">
        <v>0</v>
      </c>
      <c r="O896" s="73">
        <v>0</v>
      </c>
      <c r="P896" s="74">
        <v>366</v>
      </c>
      <c r="Q896" s="73">
        <v>254154.494442</v>
      </c>
      <c r="R896" s="71" t="s">
        <v>625</v>
      </c>
      <c r="S896" s="71">
        <v>7414000005</v>
      </c>
      <c r="AB896"/>
      <c r="AC896"/>
    </row>
    <row r="897" spans="1:29" x14ac:dyDescent="0.25">
      <c r="A897" t="str">
        <f t="shared" si="14"/>
        <v xml:space="preserve">152981UDIBONO 461108      </v>
      </c>
      <c r="B897" s="71">
        <v>152983</v>
      </c>
      <c r="C897" s="71" t="s">
        <v>734</v>
      </c>
      <c r="D897" s="71" t="s">
        <v>419</v>
      </c>
      <c r="E897" s="71" t="s">
        <v>623</v>
      </c>
      <c r="F897" s="71" t="s">
        <v>624</v>
      </c>
      <c r="G897" s="74">
        <v>0</v>
      </c>
      <c r="H897" s="72">
        <v>0</v>
      </c>
      <c r="I897" s="73">
        <v>0</v>
      </c>
      <c r="J897" s="72">
        <v>0</v>
      </c>
      <c r="K897" s="73">
        <v>0</v>
      </c>
      <c r="L897" s="74">
        <v>0</v>
      </c>
      <c r="M897" s="73">
        <v>0</v>
      </c>
      <c r="N897" s="74">
        <v>0</v>
      </c>
      <c r="O897" s="73">
        <v>0</v>
      </c>
      <c r="P897" s="74">
        <v>0</v>
      </c>
      <c r="Q897" s="73">
        <v>0</v>
      </c>
      <c r="R897" s="71" t="s">
        <v>625</v>
      </c>
      <c r="S897" s="71">
        <v>7414000005</v>
      </c>
      <c r="AB897"/>
      <c r="AC897"/>
    </row>
    <row r="898" spans="1:29" x14ac:dyDescent="0.25">
      <c r="A898" t="str">
        <f t="shared" si="14"/>
        <v xml:space="preserve">152981UDIBONO 501103      </v>
      </c>
      <c r="B898" s="71">
        <v>152983</v>
      </c>
      <c r="C898" s="71" t="s">
        <v>734</v>
      </c>
      <c r="D898" s="71" t="s">
        <v>459</v>
      </c>
      <c r="E898" s="71" t="s">
        <v>623</v>
      </c>
      <c r="F898" s="71" t="s">
        <v>624</v>
      </c>
      <c r="G898" s="74">
        <v>191000</v>
      </c>
      <c r="H898" s="72">
        <v>4.5848760000000004</v>
      </c>
      <c r="I898" s="73">
        <v>875711.31599999999</v>
      </c>
      <c r="J898" s="72">
        <v>4.1814367539267012</v>
      </c>
      <c r="K898" s="73">
        <v>77056.895999999993</v>
      </c>
      <c r="L898" s="74">
        <v>0</v>
      </c>
      <c r="M898" s="73">
        <v>0</v>
      </c>
      <c r="N898" s="74">
        <v>0</v>
      </c>
      <c r="O898" s="73">
        <v>0</v>
      </c>
      <c r="P898" s="74">
        <v>191000</v>
      </c>
      <c r="Q898" s="73">
        <v>875711.31599999999</v>
      </c>
      <c r="R898" s="71" t="s">
        <v>625</v>
      </c>
      <c r="S898" s="71">
        <v>7414000005</v>
      </c>
      <c r="AB898"/>
      <c r="AC898"/>
    </row>
    <row r="899" spans="1:29" x14ac:dyDescent="0.25">
      <c r="A899" t="str">
        <f t="shared" si="14"/>
        <v xml:space="preserve">152983IENOVA *            </v>
      </c>
      <c r="B899" s="71">
        <v>152983</v>
      </c>
      <c r="C899" s="71" t="s">
        <v>734</v>
      </c>
      <c r="D899" s="71" t="s">
        <v>389</v>
      </c>
      <c r="E899" s="71" t="s">
        <v>623</v>
      </c>
      <c r="F899" s="71" t="s">
        <v>624</v>
      </c>
      <c r="G899" s="74">
        <v>6844</v>
      </c>
      <c r="H899" s="72">
        <v>3.3967719999999999</v>
      </c>
      <c r="I899" s="73">
        <v>23247.507568000001</v>
      </c>
      <c r="J899" s="72">
        <v>3.2979456458211573</v>
      </c>
      <c r="K899" s="73">
        <v>676.36756800000001</v>
      </c>
      <c r="L899" s="74">
        <v>0</v>
      </c>
      <c r="M899" s="73">
        <v>0</v>
      </c>
      <c r="N899" s="74">
        <v>0</v>
      </c>
      <c r="O899" s="73">
        <v>0</v>
      </c>
      <c r="P899" s="74">
        <v>6844</v>
      </c>
      <c r="Q899" s="73">
        <v>23247.507568000001</v>
      </c>
      <c r="R899" s="71" t="s">
        <v>625</v>
      </c>
      <c r="S899" s="71">
        <v>7414000005</v>
      </c>
      <c r="AB899"/>
      <c r="AC899"/>
    </row>
    <row r="900" spans="1:29" x14ac:dyDescent="0.25">
      <c r="A900" t="str">
        <f t="shared" si="14"/>
        <v xml:space="preserve">152983STER-OP ED          </v>
      </c>
      <c r="B900" s="71">
        <v>153030</v>
      </c>
      <c r="C900" s="71" t="s">
        <v>735</v>
      </c>
      <c r="D900" s="71" t="s">
        <v>476</v>
      </c>
      <c r="E900" s="71" t="s">
        <v>623</v>
      </c>
      <c r="F900" s="71" t="s">
        <v>624</v>
      </c>
      <c r="G900" s="74">
        <v>0</v>
      </c>
      <c r="H900" s="72">
        <v>0</v>
      </c>
      <c r="I900" s="73">
        <v>0</v>
      </c>
      <c r="J900" s="72">
        <v>0</v>
      </c>
      <c r="K900" s="73">
        <v>0</v>
      </c>
      <c r="L900" s="74">
        <v>0</v>
      </c>
      <c r="M900" s="73">
        <v>0</v>
      </c>
      <c r="N900" s="74">
        <v>0</v>
      </c>
      <c r="O900" s="73">
        <v>0</v>
      </c>
      <c r="P900" s="74">
        <v>0</v>
      </c>
      <c r="Q900" s="73">
        <v>0</v>
      </c>
      <c r="R900" s="71" t="s">
        <v>625</v>
      </c>
      <c r="S900" s="71">
        <v>7414000005</v>
      </c>
      <c r="AB900"/>
      <c r="AC900"/>
    </row>
    <row r="901" spans="1:29" x14ac:dyDescent="0.25">
      <c r="A901" t="str">
        <f t="shared" si="14"/>
        <v xml:space="preserve">152983STERGOB ED          </v>
      </c>
      <c r="B901" s="71">
        <v>156622</v>
      </c>
      <c r="C901" s="71" t="s">
        <v>736</v>
      </c>
      <c r="D901" s="71" t="s">
        <v>473</v>
      </c>
      <c r="E901" s="71" t="s">
        <v>623</v>
      </c>
      <c r="F901" s="71" t="s">
        <v>624</v>
      </c>
      <c r="G901" s="74">
        <v>57088534</v>
      </c>
      <c r="H901" s="72">
        <v>3.568238</v>
      </c>
      <c r="I901" s="73">
        <v>203705476.38309199</v>
      </c>
      <c r="J901" s="72">
        <v>3.5122432497565974</v>
      </c>
      <c r="K901" s="73">
        <v>3196658.203092</v>
      </c>
      <c r="L901" s="74">
        <v>0</v>
      </c>
      <c r="M901" s="73">
        <v>0</v>
      </c>
      <c r="N901" s="74">
        <v>0</v>
      </c>
      <c r="O901" s="73">
        <v>0</v>
      </c>
      <c r="P901" s="74">
        <v>57088534</v>
      </c>
      <c r="Q901" s="73">
        <v>203705476.38309199</v>
      </c>
      <c r="R901" s="71" t="s">
        <v>625</v>
      </c>
      <c r="S901" s="71">
        <v>7414000005</v>
      </c>
      <c r="AB901"/>
      <c r="AC901"/>
    </row>
    <row r="902" spans="1:29" x14ac:dyDescent="0.25">
      <c r="A902" t="str">
        <f t="shared" si="14"/>
        <v xml:space="preserve">153030CETES 160107        </v>
      </c>
      <c r="B902" s="71">
        <v>159246</v>
      </c>
      <c r="C902" s="71" t="s">
        <v>737</v>
      </c>
      <c r="D902" s="71" t="s">
        <v>412</v>
      </c>
      <c r="E902" s="71" t="s">
        <v>623</v>
      </c>
      <c r="F902" s="71" t="s">
        <v>624</v>
      </c>
      <c r="G902" s="74">
        <v>56295</v>
      </c>
      <c r="H902" s="72">
        <v>3.137273</v>
      </c>
      <c r="I902" s="73">
        <v>176612.783535</v>
      </c>
      <c r="J902" s="72">
        <v>3.1100650146549427</v>
      </c>
      <c r="K902" s="73">
        <v>1531.6735349999999</v>
      </c>
      <c r="L902" s="74">
        <v>0</v>
      </c>
      <c r="M902" s="73">
        <v>0</v>
      </c>
      <c r="N902" s="74">
        <v>0</v>
      </c>
      <c r="O902" s="73">
        <v>0</v>
      </c>
      <c r="P902" s="74">
        <v>56295</v>
      </c>
      <c r="Q902" s="73">
        <v>176612.783535</v>
      </c>
      <c r="R902" s="71" t="s">
        <v>625</v>
      </c>
      <c r="S902" s="71">
        <v>7414000005</v>
      </c>
      <c r="AB902"/>
      <c r="AC902"/>
    </row>
    <row r="903" spans="1:29" x14ac:dyDescent="0.25">
      <c r="A903" t="str">
        <f t="shared" ref="A903:A966" si="15">B901&amp;D901</f>
        <v xml:space="preserve">156622STERGOB B3          </v>
      </c>
      <c r="B903" s="71">
        <v>159246</v>
      </c>
      <c r="C903" s="71" t="s">
        <v>737</v>
      </c>
      <c r="D903" s="71" t="s">
        <v>478</v>
      </c>
      <c r="E903" s="71" t="s">
        <v>623</v>
      </c>
      <c r="F903" s="71" t="s">
        <v>624</v>
      </c>
      <c r="G903" s="74">
        <v>3734855</v>
      </c>
      <c r="H903" s="72">
        <v>3.6141489999999998</v>
      </c>
      <c r="I903" s="73">
        <v>13498322.463395</v>
      </c>
      <c r="J903" s="72">
        <v>2.0109453994867272</v>
      </c>
      <c r="K903" s="73">
        <v>5987732.983395</v>
      </c>
      <c r="L903" s="74">
        <v>0</v>
      </c>
      <c r="M903" s="73">
        <v>0</v>
      </c>
      <c r="N903" s="74">
        <v>0</v>
      </c>
      <c r="O903" s="73">
        <v>0</v>
      </c>
      <c r="P903" s="74">
        <v>3734855</v>
      </c>
      <c r="Q903" s="73">
        <v>13498322.463395</v>
      </c>
      <c r="R903" s="71" t="s">
        <v>625</v>
      </c>
      <c r="S903" s="71">
        <v>7414000005</v>
      </c>
      <c r="AB903"/>
      <c r="AC903"/>
    </row>
    <row r="904" spans="1:29" x14ac:dyDescent="0.25">
      <c r="A904" t="str">
        <f t="shared" si="15"/>
        <v xml:space="preserve">159246STERGOB B0          </v>
      </c>
      <c r="B904" s="71">
        <v>3373</v>
      </c>
      <c r="C904" s="71" t="s">
        <v>738</v>
      </c>
      <c r="D904" s="71" t="s">
        <v>468</v>
      </c>
      <c r="E904" s="71" t="s">
        <v>623</v>
      </c>
      <c r="F904" s="71" t="s">
        <v>624</v>
      </c>
      <c r="G904" s="74">
        <v>0</v>
      </c>
      <c r="H904" s="72">
        <v>0</v>
      </c>
      <c r="I904" s="73">
        <v>0</v>
      </c>
      <c r="J904" s="72">
        <v>0</v>
      </c>
      <c r="K904" s="73">
        <v>0</v>
      </c>
      <c r="L904" s="74">
        <v>0</v>
      </c>
      <c r="M904" s="73">
        <v>0</v>
      </c>
      <c r="N904" s="74">
        <v>0</v>
      </c>
      <c r="O904" s="73">
        <v>0</v>
      </c>
      <c r="P904" s="74">
        <v>0</v>
      </c>
      <c r="Q904" s="73">
        <v>0</v>
      </c>
      <c r="R904" s="71" t="s">
        <v>625</v>
      </c>
      <c r="S904" s="71">
        <v>7414000005</v>
      </c>
      <c r="AB904"/>
      <c r="AC904"/>
    </row>
    <row r="905" spans="1:29" x14ac:dyDescent="0.25">
      <c r="A905" t="str">
        <f t="shared" si="15"/>
        <v xml:space="preserve">159246SVIVE35 C3          </v>
      </c>
      <c r="B905" s="71">
        <v>3373</v>
      </c>
      <c r="C905" s="71" t="s">
        <v>738</v>
      </c>
      <c r="D905" s="71" t="s">
        <v>469</v>
      </c>
      <c r="E905" s="71" t="s">
        <v>623</v>
      </c>
      <c r="F905" s="71" t="s">
        <v>624</v>
      </c>
      <c r="G905" s="74">
        <v>0</v>
      </c>
      <c r="H905" s="72">
        <v>0</v>
      </c>
      <c r="I905" s="73">
        <v>0</v>
      </c>
      <c r="J905" s="72">
        <v>0</v>
      </c>
      <c r="K905" s="73">
        <v>0</v>
      </c>
      <c r="L905" s="74">
        <v>0</v>
      </c>
      <c r="M905" s="73">
        <v>0</v>
      </c>
      <c r="N905" s="74">
        <v>0</v>
      </c>
      <c r="O905" s="73">
        <v>0</v>
      </c>
      <c r="P905" s="74">
        <v>0</v>
      </c>
      <c r="Q905" s="73">
        <v>0</v>
      </c>
      <c r="R905" s="71" t="s">
        <v>625</v>
      </c>
      <c r="S905" s="71">
        <v>7414000005</v>
      </c>
      <c r="AB905"/>
      <c r="AC905"/>
    </row>
    <row r="906" spans="1:29" x14ac:dyDescent="0.25">
      <c r="A906" t="str">
        <f t="shared" si="15"/>
        <v xml:space="preserve">3373BPA182 130919       </v>
      </c>
      <c r="B906" s="71">
        <v>65500498081</v>
      </c>
      <c r="C906" s="71" t="s">
        <v>739</v>
      </c>
      <c r="D906" s="71" t="s">
        <v>389</v>
      </c>
      <c r="E906" s="71" t="s">
        <v>623</v>
      </c>
      <c r="F906" s="71" t="s">
        <v>624</v>
      </c>
      <c r="G906" s="74">
        <v>1743597</v>
      </c>
      <c r="H906" s="72">
        <v>3.3967719999999999</v>
      </c>
      <c r="I906" s="73">
        <v>5922601.4688839996</v>
      </c>
      <c r="J906" s="72">
        <v>3.2865207556562668</v>
      </c>
      <c r="K906" s="73">
        <v>192233.73888399999</v>
      </c>
      <c r="L906" s="74">
        <v>0</v>
      </c>
      <c r="M906" s="73">
        <v>0</v>
      </c>
      <c r="N906" s="74">
        <v>0</v>
      </c>
      <c r="O906" s="73">
        <v>0</v>
      </c>
      <c r="P906" s="74">
        <v>1743597</v>
      </c>
      <c r="Q906" s="73">
        <v>5922601.4688839996</v>
      </c>
      <c r="R906" s="71" t="s">
        <v>625</v>
      </c>
      <c r="S906" s="71">
        <v>7414000005</v>
      </c>
      <c r="AB906"/>
      <c r="AC906"/>
    </row>
    <row r="907" spans="1:29" x14ac:dyDescent="0.25">
      <c r="A907" t="str">
        <f t="shared" si="15"/>
        <v xml:space="preserve">3373BPA182 140327       </v>
      </c>
      <c r="B907" s="71">
        <v>65500498081</v>
      </c>
      <c r="C907" s="71" t="s">
        <v>739</v>
      </c>
      <c r="D907" s="71" t="s">
        <v>420</v>
      </c>
      <c r="E907" s="71" t="s">
        <v>623</v>
      </c>
      <c r="F907" s="71" t="s">
        <v>624</v>
      </c>
      <c r="G907" s="74">
        <v>84040000</v>
      </c>
      <c r="H907" s="72">
        <v>2.106938</v>
      </c>
      <c r="I907" s="73">
        <v>177067069.52000001</v>
      </c>
      <c r="J907" s="72">
        <v>1.543948766777725</v>
      </c>
      <c r="K907" s="73">
        <v>49546969.439999998</v>
      </c>
      <c r="L907" s="74">
        <v>1060000</v>
      </c>
      <c r="M907" s="73">
        <v>2233354.2799999998</v>
      </c>
      <c r="N907" s="74">
        <v>0</v>
      </c>
      <c r="O907" s="73">
        <v>0</v>
      </c>
      <c r="P907" s="74">
        <v>85100000</v>
      </c>
      <c r="Q907" s="73">
        <v>179300423.80000001</v>
      </c>
      <c r="R907" s="71" t="s">
        <v>625</v>
      </c>
      <c r="S907" s="71">
        <v>7414000005</v>
      </c>
      <c r="AB907"/>
      <c r="AC907"/>
    </row>
    <row r="908" spans="1:29" x14ac:dyDescent="0.25">
      <c r="A908" t="str">
        <f t="shared" si="15"/>
        <v xml:space="preserve">65500498081STERGOB ED          </v>
      </c>
      <c r="B908" s="71">
        <v>65501285111</v>
      </c>
      <c r="C908" s="71" t="s">
        <v>740</v>
      </c>
      <c r="D908" s="71" t="s">
        <v>389</v>
      </c>
      <c r="E908" s="71" t="s">
        <v>623</v>
      </c>
      <c r="F908" s="71" t="s">
        <v>624</v>
      </c>
      <c r="G908" s="74">
        <v>6007055</v>
      </c>
      <c r="H908" s="72">
        <v>3.3967719999999999</v>
      </c>
      <c r="I908" s="73">
        <v>20404596.226459999</v>
      </c>
      <c r="J908" s="72">
        <v>2.9504198779601651</v>
      </c>
      <c r="K908" s="73">
        <v>2681261.7464600001</v>
      </c>
      <c r="L908" s="74">
        <v>0</v>
      </c>
      <c r="M908" s="73">
        <v>0</v>
      </c>
      <c r="N908" s="74">
        <v>0</v>
      </c>
      <c r="O908" s="73">
        <v>0</v>
      </c>
      <c r="P908" s="74">
        <v>6007055</v>
      </c>
      <c r="Q908" s="73">
        <v>20404596.226459999</v>
      </c>
      <c r="R908" s="71" t="s">
        <v>625</v>
      </c>
      <c r="S908" s="71">
        <v>7414000005</v>
      </c>
      <c r="AB908"/>
      <c r="AC908"/>
    </row>
    <row r="909" spans="1:29" x14ac:dyDescent="0.25">
      <c r="A909" t="str">
        <f t="shared" si="15"/>
        <v xml:space="preserve">65500498081SVIVE50 C3          </v>
      </c>
      <c r="B909" s="71">
        <v>65501285111</v>
      </c>
      <c r="C909" s="71" t="s">
        <v>740</v>
      </c>
      <c r="D909" s="71" t="s">
        <v>417</v>
      </c>
      <c r="E909" s="71" t="s">
        <v>623</v>
      </c>
      <c r="F909" s="71" t="s">
        <v>624</v>
      </c>
      <c r="G909" s="74">
        <v>1003693</v>
      </c>
      <c r="H909" s="72">
        <v>3.8832339999999999</v>
      </c>
      <c r="I909" s="73">
        <v>3897574.7831620001</v>
      </c>
      <c r="J909" s="72">
        <v>2.8271847168407072</v>
      </c>
      <c r="K909" s="73">
        <v>1059949.2731620001</v>
      </c>
      <c r="L909" s="74">
        <v>0</v>
      </c>
      <c r="M909" s="73">
        <v>0</v>
      </c>
      <c r="N909" s="74">
        <v>0</v>
      </c>
      <c r="O909" s="73">
        <v>0</v>
      </c>
      <c r="P909" s="74">
        <v>1003693</v>
      </c>
      <c r="Q909" s="73">
        <v>3897574.7831620001</v>
      </c>
      <c r="R909" s="71" t="s">
        <v>625</v>
      </c>
      <c r="S909" s="71">
        <v>7414000005</v>
      </c>
      <c r="AB909"/>
      <c r="AC909"/>
    </row>
    <row r="910" spans="1:29" x14ac:dyDescent="0.25">
      <c r="A910" t="str">
        <f t="shared" si="15"/>
        <v xml:space="preserve">65501285111STERGOB ED          </v>
      </c>
      <c r="B910" s="71">
        <v>65501285111</v>
      </c>
      <c r="C910" s="71" t="s">
        <v>740</v>
      </c>
      <c r="D910" s="71" t="s">
        <v>407</v>
      </c>
      <c r="E910" s="71" t="s">
        <v>623</v>
      </c>
      <c r="F910" s="71" t="s">
        <v>624</v>
      </c>
      <c r="G910" s="74">
        <v>3046859</v>
      </c>
      <c r="H910" s="72">
        <v>2.7668819999999998</v>
      </c>
      <c r="I910" s="73">
        <v>8430299.3236379996</v>
      </c>
      <c r="J910" s="72">
        <v>2.3501809995145821</v>
      </c>
      <c r="K910" s="73">
        <v>1269629.1936379999</v>
      </c>
      <c r="L910" s="74">
        <v>0</v>
      </c>
      <c r="M910" s="73">
        <v>0</v>
      </c>
      <c r="N910" s="74">
        <v>0</v>
      </c>
      <c r="O910" s="73">
        <v>0</v>
      </c>
      <c r="P910" s="74">
        <v>3046859</v>
      </c>
      <c r="Q910" s="73">
        <v>8430299.3236379996</v>
      </c>
      <c r="R910" s="71" t="s">
        <v>625</v>
      </c>
      <c r="S910" s="71">
        <v>7414000005</v>
      </c>
      <c r="AB910"/>
      <c r="AC910"/>
    </row>
    <row r="911" spans="1:29" x14ac:dyDescent="0.25">
      <c r="A911" t="str">
        <f t="shared" si="15"/>
        <v xml:space="preserve">65501285111STRGOB2 ED          </v>
      </c>
      <c r="B911" s="71">
        <v>65501372909</v>
      </c>
      <c r="C911" s="71" t="s">
        <v>741</v>
      </c>
      <c r="D911" s="71" t="s">
        <v>411</v>
      </c>
      <c r="E911" s="71" t="s">
        <v>623</v>
      </c>
      <c r="F911" s="71" t="s">
        <v>624</v>
      </c>
      <c r="G911" s="74">
        <v>8733529</v>
      </c>
      <c r="H911" s="72">
        <v>3.4985729999999999</v>
      </c>
      <c r="I911" s="73">
        <v>30554888.754117001</v>
      </c>
      <c r="J911" s="72">
        <v>3.4433976906700603</v>
      </c>
      <c r="K911" s="73">
        <v>481875.16411700001</v>
      </c>
      <c r="L911" s="74">
        <v>0</v>
      </c>
      <c r="M911" s="73">
        <v>0</v>
      </c>
      <c r="N911" s="74">
        <v>0</v>
      </c>
      <c r="O911" s="73">
        <v>0</v>
      </c>
      <c r="P911" s="74">
        <v>8733529</v>
      </c>
      <c r="Q911" s="73">
        <v>30554888.754117001</v>
      </c>
      <c r="R911" s="71" t="s">
        <v>625</v>
      </c>
      <c r="S911" s="71">
        <v>7414000005</v>
      </c>
      <c r="AB911"/>
      <c r="AC911"/>
    </row>
    <row r="912" spans="1:29" x14ac:dyDescent="0.25">
      <c r="A912" t="str">
        <f t="shared" si="15"/>
        <v xml:space="preserve">65501285111SVIVE60 ED          </v>
      </c>
      <c r="B912" s="71">
        <v>65501387259</v>
      </c>
      <c r="C912" s="71" t="s">
        <v>742</v>
      </c>
      <c r="D912" s="71" t="s">
        <v>480</v>
      </c>
      <c r="E912" s="71" t="s">
        <v>623</v>
      </c>
      <c r="F912" s="71" t="s">
        <v>624</v>
      </c>
      <c r="G912" s="74">
        <v>31744931</v>
      </c>
      <c r="H912" s="72">
        <v>3.612981</v>
      </c>
      <c r="I912" s="73">
        <v>114693832.549311</v>
      </c>
      <c r="J912" s="72">
        <v>3.5377382593775364</v>
      </c>
      <c r="K912" s="73">
        <v>2388575.609311</v>
      </c>
      <c r="L912" s="74">
        <v>0</v>
      </c>
      <c r="M912" s="73">
        <v>0</v>
      </c>
      <c r="N912" s="74">
        <v>0</v>
      </c>
      <c r="O912" s="73">
        <v>0</v>
      </c>
      <c r="P912" s="74">
        <v>31744931</v>
      </c>
      <c r="Q912" s="73">
        <v>114693832.549311</v>
      </c>
      <c r="R912" s="71" t="s">
        <v>625</v>
      </c>
      <c r="S912" s="71">
        <v>7414000005</v>
      </c>
      <c r="AB912"/>
      <c r="AC912"/>
    </row>
    <row r="913" spans="1:29" x14ac:dyDescent="0.25">
      <c r="A913" t="str">
        <f t="shared" si="15"/>
        <v xml:space="preserve">65501372909STERGOB B2          </v>
      </c>
      <c r="B913" s="71">
        <v>65501902345</v>
      </c>
      <c r="C913" s="71" t="s">
        <v>743</v>
      </c>
      <c r="D913" s="71" t="s">
        <v>431</v>
      </c>
      <c r="E913" s="71" t="s">
        <v>623</v>
      </c>
      <c r="F913" s="71" t="s">
        <v>624</v>
      </c>
      <c r="G913" s="74">
        <v>8590349</v>
      </c>
      <c r="H913" s="72">
        <v>3.4005040000000002</v>
      </c>
      <c r="I913" s="73">
        <v>29211516.135896001</v>
      </c>
      <c r="J913" s="72">
        <v>3.3522186281372268</v>
      </c>
      <c r="K913" s="73">
        <v>414788.19589600002</v>
      </c>
      <c r="L913" s="74">
        <v>0</v>
      </c>
      <c r="M913" s="73">
        <v>0</v>
      </c>
      <c r="N913" s="74">
        <v>0</v>
      </c>
      <c r="O913" s="73">
        <v>0</v>
      </c>
      <c r="P913" s="74">
        <v>8590349</v>
      </c>
      <c r="Q913" s="73">
        <v>29211516.135896001</v>
      </c>
      <c r="R913" s="71" t="s">
        <v>625</v>
      </c>
      <c r="S913" s="71">
        <v>7414000005</v>
      </c>
      <c r="AB913"/>
      <c r="AC913"/>
    </row>
    <row r="914" spans="1:29" x14ac:dyDescent="0.25">
      <c r="A914" t="str">
        <f t="shared" si="15"/>
        <v xml:space="preserve">65501387259STERGOB B4          </v>
      </c>
      <c r="B914" s="71">
        <v>65502128155</v>
      </c>
      <c r="C914" s="71" t="s">
        <v>744</v>
      </c>
      <c r="D914" s="71" t="s">
        <v>479</v>
      </c>
      <c r="E914" s="71" t="s">
        <v>623</v>
      </c>
      <c r="F914" s="71" t="s">
        <v>624</v>
      </c>
      <c r="G914" s="74">
        <v>41156258</v>
      </c>
      <c r="H914" s="72">
        <v>3.4588809999999999</v>
      </c>
      <c r="I914" s="73">
        <v>142354598.82729799</v>
      </c>
      <c r="J914" s="72">
        <v>3.3872863533900484</v>
      </c>
      <c r="K914" s="73">
        <v>2946567.7472979999</v>
      </c>
      <c r="L914" s="74">
        <v>0</v>
      </c>
      <c r="M914" s="73">
        <v>0</v>
      </c>
      <c r="N914" s="74">
        <v>0</v>
      </c>
      <c r="O914" s="73">
        <v>0</v>
      </c>
      <c r="P914" s="74">
        <v>41156258</v>
      </c>
      <c r="Q914" s="73">
        <v>142354598.82729799</v>
      </c>
      <c r="R914" s="71" t="s">
        <v>625</v>
      </c>
      <c r="S914" s="71">
        <v>7414000005</v>
      </c>
      <c r="AB914"/>
      <c r="AC914"/>
    </row>
    <row r="915" spans="1:29" x14ac:dyDescent="0.25">
      <c r="A915" t="str">
        <f t="shared" si="15"/>
        <v xml:space="preserve">65501902345STERGOB B1          </v>
      </c>
      <c r="B915" s="71">
        <v>65502262917</v>
      </c>
      <c r="C915" s="71" t="s">
        <v>745</v>
      </c>
      <c r="D915" s="71" t="s">
        <v>389</v>
      </c>
      <c r="E915" s="71" t="s">
        <v>623</v>
      </c>
      <c r="F915" s="71" t="s">
        <v>624</v>
      </c>
      <c r="G915" s="74">
        <v>7566899</v>
      </c>
      <c r="H915" s="72">
        <v>3.3967719999999999</v>
      </c>
      <c r="I915" s="73">
        <v>25703030.650028002</v>
      </c>
      <c r="J915" s="72">
        <v>3.0195272647355278</v>
      </c>
      <c r="K915" s="73">
        <v>2854572.8100279998</v>
      </c>
      <c r="L915" s="74">
        <v>0</v>
      </c>
      <c r="M915" s="73">
        <v>0</v>
      </c>
      <c r="N915" s="74">
        <v>0</v>
      </c>
      <c r="O915" s="73">
        <v>0</v>
      </c>
      <c r="P915" s="74">
        <v>7566899</v>
      </c>
      <c r="Q915" s="73">
        <v>25703030.650028002</v>
      </c>
      <c r="R915" s="71" t="s">
        <v>625</v>
      </c>
      <c r="S915" s="71">
        <v>7414000005</v>
      </c>
      <c r="AB915"/>
      <c r="AC915"/>
    </row>
    <row r="916" spans="1:29" x14ac:dyDescent="0.25">
      <c r="A916" t="str">
        <f t="shared" si="15"/>
        <v xml:space="preserve">65502128155STERGOB B5          </v>
      </c>
      <c r="B916" s="71">
        <v>65502313952</v>
      </c>
      <c r="C916" s="71" t="s">
        <v>746</v>
      </c>
      <c r="D916" s="71" t="s">
        <v>479</v>
      </c>
      <c r="E916" s="71" t="s">
        <v>623</v>
      </c>
      <c r="F916" s="71" t="s">
        <v>624</v>
      </c>
      <c r="G916" s="74">
        <v>482045523</v>
      </c>
      <c r="H916" s="72">
        <v>3.4588809999999999</v>
      </c>
      <c r="I916" s="73">
        <v>1667338100.6397631</v>
      </c>
      <c r="J916" s="72">
        <v>2.5021924553586197</v>
      </c>
      <c r="K916" s="73">
        <v>461167429.84976298</v>
      </c>
      <c r="L916" s="74">
        <v>0</v>
      </c>
      <c r="M916" s="73">
        <v>0</v>
      </c>
      <c r="N916" s="74">
        <v>0</v>
      </c>
      <c r="O916" s="73">
        <v>0</v>
      </c>
      <c r="P916" s="74">
        <v>482045523</v>
      </c>
      <c r="Q916" s="73">
        <v>1667338100.6397631</v>
      </c>
      <c r="R916" s="71" t="s">
        <v>625</v>
      </c>
      <c r="S916" s="71">
        <v>7414000005</v>
      </c>
      <c r="AB916"/>
      <c r="AC916"/>
    </row>
    <row r="917" spans="1:29" x14ac:dyDescent="0.25">
      <c r="A917" t="str">
        <f t="shared" si="15"/>
        <v xml:space="preserve">65502262917STERGOB ED          </v>
      </c>
      <c r="B917" s="71">
        <v>65502334887</v>
      </c>
      <c r="C917" s="71" t="s">
        <v>747</v>
      </c>
      <c r="D917" s="71" t="s">
        <v>434</v>
      </c>
      <c r="E917" s="71" t="s">
        <v>623</v>
      </c>
      <c r="F917" s="71" t="s">
        <v>624</v>
      </c>
      <c r="G917" s="74">
        <v>79330</v>
      </c>
      <c r="H917" s="72">
        <v>99.629997000000003</v>
      </c>
      <c r="I917" s="73">
        <v>7903647.6620100001</v>
      </c>
      <c r="J917" s="72">
        <v>99.126983839999994</v>
      </c>
      <c r="K917" s="73">
        <v>39904.0339828</v>
      </c>
      <c r="L917" s="74">
        <v>0</v>
      </c>
      <c r="M917" s="73">
        <v>0</v>
      </c>
      <c r="N917" s="74">
        <v>0</v>
      </c>
      <c r="O917" s="73">
        <v>0</v>
      </c>
      <c r="P917" s="74">
        <v>79330</v>
      </c>
      <c r="Q917" s="73">
        <v>7903647.6620100001</v>
      </c>
      <c r="R917" s="71" t="s">
        <v>625</v>
      </c>
      <c r="S917" s="71">
        <v>7414000005</v>
      </c>
      <c r="AB917"/>
      <c r="AC917"/>
    </row>
    <row r="918" spans="1:29" x14ac:dyDescent="0.25">
      <c r="A918" t="str">
        <f t="shared" si="15"/>
        <v xml:space="preserve">65502313952STERGOB B5          </v>
      </c>
      <c r="B918" s="71">
        <v>65502334887</v>
      </c>
      <c r="C918" s="71" t="s">
        <v>747</v>
      </c>
      <c r="D918" s="71" t="s">
        <v>375</v>
      </c>
      <c r="E918" s="71" t="s">
        <v>623</v>
      </c>
      <c r="F918" s="71" t="s">
        <v>624</v>
      </c>
      <c r="G918" s="74">
        <v>101210</v>
      </c>
      <c r="H918" s="72">
        <v>98.730349000000004</v>
      </c>
      <c r="I918" s="73">
        <v>9992498.6222900003</v>
      </c>
      <c r="J918" s="72">
        <v>103.92405345210058</v>
      </c>
      <c r="K918" s="73">
        <v>-525654.82759710005</v>
      </c>
      <c r="L918" s="74">
        <v>0</v>
      </c>
      <c r="M918" s="73">
        <v>0</v>
      </c>
      <c r="N918" s="74">
        <v>0</v>
      </c>
      <c r="O918" s="73">
        <v>0</v>
      </c>
      <c r="P918" s="74">
        <v>101210</v>
      </c>
      <c r="Q918" s="73">
        <v>9992498.6222900003</v>
      </c>
      <c r="R918" s="71" t="s">
        <v>625</v>
      </c>
      <c r="S918" s="71">
        <v>7414000005</v>
      </c>
      <c r="AB918"/>
      <c r="AC918"/>
    </row>
    <row r="919" spans="1:29" x14ac:dyDescent="0.25">
      <c r="A919" t="str">
        <f t="shared" si="15"/>
        <v xml:space="preserve">65502334887BPA182 270121       </v>
      </c>
      <c r="B919" s="71">
        <v>65502334887</v>
      </c>
      <c r="C919" s="71" t="s">
        <v>747</v>
      </c>
      <c r="D919" s="71" t="s">
        <v>376</v>
      </c>
      <c r="E919" s="71" t="s">
        <v>623</v>
      </c>
      <c r="F919" s="71" t="s">
        <v>624</v>
      </c>
      <c r="G919" s="74">
        <v>87888</v>
      </c>
      <c r="H919" s="72">
        <v>99.247497999999993</v>
      </c>
      <c r="I919" s="73">
        <v>8722664.1042240001</v>
      </c>
      <c r="J919" s="72">
        <v>109.95921347146482</v>
      </c>
      <c r="K919" s="73">
        <v>-941431.24935609999</v>
      </c>
      <c r="L919" s="74">
        <v>0</v>
      </c>
      <c r="M919" s="73">
        <v>0</v>
      </c>
      <c r="N919" s="74">
        <v>0</v>
      </c>
      <c r="O919" s="73">
        <v>0</v>
      </c>
      <c r="P919" s="74">
        <v>87888</v>
      </c>
      <c r="Q919" s="73">
        <v>8722664.1042240001</v>
      </c>
      <c r="R919" s="71" t="s">
        <v>625</v>
      </c>
      <c r="S919" s="71">
        <v>7414000005</v>
      </c>
      <c r="AB919"/>
      <c r="AC919"/>
    </row>
    <row r="920" spans="1:29" x14ac:dyDescent="0.25">
      <c r="A920" t="str">
        <f t="shared" si="15"/>
        <v xml:space="preserve">65502334887GOBFED 240905       </v>
      </c>
      <c r="B920" s="71">
        <v>65502334887</v>
      </c>
      <c r="C920" s="71" t="s">
        <v>747</v>
      </c>
      <c r="D920" s="71" t="s">
        <v>378</v>
      </c>
      <c r="E920" s="71" t="s">
        <v>623</v>
      </c>
      <c r="F920" s="71" t="s">
        <v>624</v>
      </c>
      <c r="G920" s="74">
        <v>39705</v>
      </c>
      <c r="H920" s="72">
        <v>91.911821000000003</v>
      </c>
      <c r="I920" s="73">
        <v>3649358.8528049998</v>
      </c>
      <c r="J920" s="72">
        <v>88.555839661137142</v>
      </c>
      <c r="K920" s="73">
        <v>133249.23905954999</v>
      </c>
      <c r="L920" s="74">
        <v>0</v>
      </c>
      <c r="M920" s="73">
        <v>0</v>
      </c>
      <c r="N920" s="74">
        <v>0</v>
      </c>
      <c r="O920" s="73">
        <v>0</v>
      </c>
      <c r="P920" s="74">
        <v>39705</v>
      </c>
      <c r="Q920" s="73">
        <v>3649358.8528049998</v>
      </c>
      <c r="R920" s="71" t="s">
        <v>625</v>
      </c>
      <c r="S920" s="71">
        <v>7414000005</v>
      </c>
      <c r="AB920"/>
      <c r="AC920"/>
    </row>
    <row r="921" spans="1:29" x14ac:dyDescent="0.25">
      <c r="A921" t="str">
        <f t="shared" si="15"/>
        <v xml:space="preserve">65502334887GOBFED 241205       </v>
      </c>
      <c r="B921" s="71">
        <v>65502334887</v>
      </c>
      <c r="C921" s="71" t="s">
        <v>747</v>
      </c>
      <c r="D921" s="71" t="s">
        <v>380</v>
      </c>
      <c r="E921" s="71" t="s">
        <v>623</v>
      </c>
      <c r="F921" s="71" t="s">
        <v>624</v>
      </c>
      <c r="G921" s="74">
        <v>82833</v>
      </c>
      <c r="H921" s="72">
        <v>93.314192000000006</v>
      </c>
      <c r="I921" s="73">
        <v>7729494.4659360005</v>
      </c>
      <c r="J921" s="72">
        <v>98.419059661250103</v>
      </c>
      <c r="K921" s="73">
        <v>-422851.50298433</v>
      </c>
      <c r="L921" s="74">
        <v>0</v>
      </c>
      <c r="M921" s="73">
        <v>0</v>
      </c>
      <c r="N921" s="74">
        <v>0</v>
      </c>
      <c r="O921" s="73">
        <v>0</v>
      </c>
      <c r="P921" s="74">
        <v>82833</v>
      </c>
      <c r="Q921" s="73">
        <v>7729494.4659360005</v>
      </c>
      <c r="R921" s="71" t="s">
        <v>625</v>
      </c>
      <c r="S921" s="71">
        <v>7414000005</v>
      </c>
      <c r="AB921"/>
      <c r="AC921"/>
    </row>
    <row r="922" spans="1:29" x14ac:dyDescent="0.25">
      <c r="A922" t="str">
        <f t="shared" si="15"/>
        <v xml:space="preserve">65502334887GOBFED 260305       </v>
      </c>
      <c r="B922" s="71">
        <v>65502334887</v>
      </c>
      <c r="C922" s="71" t="s">
        <v>747</v>
      </c>
      <c r="D922" s="71" t="s">
        <v>381</v>
      </c>
      <c r="E922" s="71" t="s">
        <v>623</v>
      </c>
      <c r="F922" s="71" t="s">
        <v>624</v>
      </c>
      <c r="G922" s="74">
        <v>251593</v>
      </c>
      <c r="H922" s="72">
        <v>94.870157000000006</v>
      </c>
      <c r="I922" s="73">
        <v>23868667.410101</v>
      </c>
      <c r="J922" s="72">
        <v>103.66754044143859</v>
      </c>
      <c r="K922" s="73">
        <v>-2213360.09218186</v>
      </c>
      <c r="L922" s="74">
        <v>0</v>
      </c>
      <c r="M922" s="73">
        <v>0</v>
      </c>
      <c r="N922" s="74">
        <v>0</v>
      </c>
      <c r="O922" s="73">
        <v>0</v>
      </c>
      <c r="P922" s="74">
        <v>251593</v>
      </c>
      <c r="Q922" s="73">
        <v>23868667.410101</v>
      </c>
      <c r="R922" s="71" t="s">
        <v>625</v>
      </c>
      <c r="S922" s="71">
        <v>7414000005</v>
      </c>
      <c r="AB922"/>
      <c r="AC922"/>
    </row>
    <row r="923" spans="1:29" x14ac:dyDescent="0.25">
      <c r="A923" t="str">
        <f t="shared" si="15"/>
        <v xml:space="preserve">65502334887GOBFED 270603       </v>
      </c>
      <c r="B923" s="71">
        <v>65502334887</v>
      </c>
      <c r="C923" s="71" t="s">
        <v>747</v>
      </c>
      <c r="D923" s="71" t="s">
        <v>382</v>
      </c>
      <c r="E923" s="71" t="s">
        <v>623</v>
      </c>
      <c r="F923" s="71" t="s">
        <v>624</v>
      </c>
      <c r="G923" s="74">
        <v>1396890</v>
      </c>
      <c r="H923" s="72">
        <v>89.489464999999996</v>
      </c>
      <c r="I923" s="73">
        <v>125006938.76385</v>
      </c>
      <c r="J923" s="72">
        <v>94.429479527766901</v>
      </c>
      <c r="K923" s="73">
        <v>-6900656.8936922997</v>
      </c>
      <c r="L923" s="74">
        <v>0</v>
      </c>
      <c r="M923" s="73">
        <v>0</v>
      </c>
      <c r="N923" s="74">
        <v>0</v>
      </c>
      <c r="O923" s="73">
        <v>0</v>
      </c>
      <c r="P923" s="74">
        <v>1396890</v>
      </c>
      <c r="Q923" s="73">
        <v>125006938.76385</v>
      </c>
      <c r="R923" s="71" t="s">
        <v>625</v>
      </c>
      <c r="S923" s="71">
        <v>7414000005</v>
      </c>
      <c r="AB923"/>
      <c r="AC923"/>
    </row>
    <row r="924" spans="1:29" x14ac:dyDescent="0.25">
      <c r="A924" t="str">
        <f t="shared" si="15"/>
        <v xml:space="preserve">65502334887GOBFED 290531       </v>
      </c>
      <c r="B924" s="71">
        <v>65502334887</v>
      </c>
      <c r="C924" s="71" t="s">
        <v>747</v>
      </c>
      <c r="D924" s="71" t="s">
        <v>383</v>
      </c>
      <c r="E924" s="71" t="s">
        <v>623</v>
      </c>
      <c r="F924" s="71" t="s">
        <v>624</v>
      </c>
      <c r="G924" s="74">
        <v>1215270</v>
      </c>
      <c r="H924" s="72">
        <v>86.197128000000006</v>
      </c>
      <c r="I924" s="73">
        <v>104752783.74456</v>
      </c>
      <c r="J924" s="72">
        <v>91.512189790675734</v>
      </c>
      <c r="K924" s="73">
        <v>-6459235.1423544995</v>
      </c>
      <c r="L924" s="74">
        <v>0</v>
      </c>
      <c r="M924" s="73">
        <v>0</v>
      </c>
      <c r="N924" s="74">
        <v>0</v>
      </c>
      <c r="O924" s="73">
        <v>0</v>
      </c>
      <c r="P924" s="74">
        <v>1215270</v>
      </c>
      <c r="Q924" s="73">
        <v>104752783.74456</v>
      </c>
      <c r="R924" s="71" t="s">
        <v>625</v>
      </c>
      <c r="S924" s="71">
        <v>7414000005</v>
      </c>
      <c r="AB924"/>
      <c r="AC924"/>
    </row>
    <row r="925" spans="1:29" x14ac:dyDescent="0.25">
      <c r="A925" t="str">
        <f t="shared" si="15"/>
        <v xml:space="preserve">65502334887GOBFED 310529       </v>
      </c>
      <c r="B925" s="71">
        <v>65502334887</v>
      </c>
      <c r="C925" s="71" t="s">
        <v>747</v>
      </c>
      <c r="D925" s="71" t="s">
        <v>427</v>
      </c>
      <c r="E925" s="71" t="s">
        <v>623</v>
      </c>
      <c r="F925" s="71" t="s">
        <v>624</v>
      </c>
      <c r="G925" s="74">
        <v>201516</v>
      </c>
      <c r="H925" s="72">
        <v>86.469353999999996</v>
      </c>
      <c r="I925" s="73">
        <v>17424958.340663999</v>
      </c>
      <c r="J925" s="72">
        <v>96.442378827576775</v>
      </c>
      <c r="K925" s="73">
        <v>-2009724.07115396</v>
      </c>
      <c r="L925" s="74">
        <v>0</v>
      </c>
      <c r="M925" s="73">
        <v>0</v>
      </c>
      <c r="N925" s="74">
        <v>0</v>
      </c>
      <c r="O925" s="73">
        <v>0</v>
      </c>
      <c r="P925" s="74">
        <v>201516</v>
      </c>
      <c r="Q925" s="73">
        <v>17424958.340663999</v>
      </c>
      <c r="R925" s="71" t="s">
        <v>625</v>
      </c>
      <c r="S925" s="71">
        <v>7414000005</v>
      </c>
      <c r="AB925"/>
      <c r="AC925"/>
    </row>
    <row r="926" spans="1:29" x14ac:dyDescent="0.25">
      <c r="A926" t="str">
        <f t="shared" si="15"/>
        <v xml:space="preserve">65502334887GOBFED 330526       </v>
      </c>
      <c r="B926" s="71">
        <v>65502334887</v>
      </c>
      <c r="C926" s="71" t="s">
        <v>747</v>
      </c>
      <c r="D926" s="71" t="s">
        <v>418</v>
      </c>
      <c r="E926" s="71" t="s">
        <v>623</v>
      </c>
      <c r="F926" s="71" t="s">
        <v>624</v>
      </c>
      <c r="G926" s="74">
        <v>37130</v>
      </c>
      <c r="H926" s="72">
        <v>101.45096599999999</v>
      </c>
      <c r="I926" s="73">
        <v>3766874.3675799998</v>
      </c>
      <c r="J926" s="72">
        <v>113.80792308148936</v>
      </c>
      <c r="K926" s="73">
        <v>-458813.81643569999</v>
      </c>
      <c r="L926" s="74">
        <v>0</v>
      </c>
      <c r="M926" s="73">
        <v>0</v>
      </c>
      <c r="N926" s="74">
        <v>0</v>
      </c>
      <c r="O926" s="73">
        <v>0</v>
      </c>
      <c r="P926" s="74">
        <v>37130</v>
      </c>
      <c r="Q926" s="73">
        <v>3766874.3675799998</v>
      </c>
      <c r="R926" s="71" t="s">
        <v>625</v>
      </c>
      <c r="S926" s="71">
        <v>7414000005</v>
      </c>
      <c r="AB926"/>
      <c r="AC926"/>
    </row>
    <row r="927" spans="1:29" x14ac:dyDescent="0.25">
      <c r="A927" t="str">
        <f t="shared" si="15"/>
        <v xml:space="preserve">65502334887GOBFED 341123       </v>
      </c>
      <c r="B927" s="71">
        <v>65502334887</v>
      </c>
      <c r="C927" s="71" t="s">
        <v>747</v>
      </c>
      <c r="D927" s="71" t="s">
        <v>408</v>
      </c>
      <c r="E927" s="71" t="s">
        <v>623</v>
      </c>
      <c r="F927" s="71" t="s">
        <v>624</v>
      </c>
      <c r="G927" s="74">
        <v>109154</v>
      </c>
      <c r="H927" s="72">
        <v>89.643172000000007</v>
      </c>
      <c r="I927" s="73">
        <v>9784910.7964880001</v>
      </c>
      <c r="J927" s="72">
        <v>106.3161803750087</v>
      </c>
      <c r="K927" s="73">
        <v>-1819925.5561657001</v>
      </c>
      <c r="L927" s="74">
        <v>0</v>
      </c>
      <c r="M927" s="73">
        <v>0</v>
      </c>
      <c r="N927" s="74">
        <v>0</v>
      </c>
      <c r="O927" s="73">
        <v>0</v>
      </c>
      <c r="P927" s="74">
        <v>109154</v>
      </c>
      <c r="Q927" s="73">
        <v>9784910.7964880001</v>
      </c>
      <c r="R927" s="71" t="s">
        <v>625</v>
      </c>
      <c r="S927" s="71">
        <v>7414000005</v>
      </c>
      <c r="AB927"/>
      <c r="AC927"/>
    </row>
    <row r="928" spans="1:29" x14ac:dyDescent="0.25">
      <c r="A928" t="str">
        <f t="shared" si="15"/>
        <v xml:space="preserve">65502334887GOBFED 361120       </v>
      </c>
      <c r="B928" s="71">
        <v>65502334887</v>
      </c>
      <c r="C928" s="71" t="s">
        <v>747</v>
      </c>
      <c r="D928" s="71" t="s">
        <v>459</v>
      </c>
      <c r="E928" s="71" t="s">
        <v>623</v>
      </c>
      <c r="F928" s="71" t="s">
        <v>624</v>
      </c>
      <c r="G928" s="74">
        <v>14461203</v>
      </c>
      <c r="H928" s="72">
        <v>4.5848760000000004</v>
      </c>
      <c r="I928" s="73">
        <v>66302822.565828003</v>
      </c>
      <c r="J928" s="72">
        <v>4.0227219996842587</v>
      </c>
      <c r="K928" s="73">
        <v>8129423.115828</v>
      </c>
      <c r="L928" s="74">
        <v>0</v>
      </c>
      <c r="M928" s="73">
        <v>0</v>
      </c>
      <c r="N928" s="74">
        <v>0</v>
      </c>
      <c r="O928" s="73">
        <v>0</v>
      </c>
      <c r="P928" s="74">
        <v>14461203</v>
      </c>
      <c r="Q928" s="73">
        <v>66302822.565828003</v>
      </c>
      <c r="R928" s="71" t="s">
        <v>625</v>
      </c>
      <c r="S928" s="71">
        <v>7414000005</v>
      </c>
      <c r="AB928"/>
      <c r="AC928"/>
    </row>
    <row r="929" spans="1:29" x14ac:dyDescent="0.25">
      <c r="A929" t="str">
        <f t="shared" si="15"/>
        <v xml:space="preserve">65502334887GOBFED 381118       </v>
      </c>
      <c r="B929" s="71">
        <v>65502334887</v>
      </c>
      <c r="C929" s="71" t="s">
        <v>747</v>
      </c>
      <c r="D929" s="71" t="s">
        <v>389</v>
      </c>
      <c r="E929" s="71" t="s">
        <v>623</v>
      </c>
      <c r="F929" s="71" t="s">
        <v>624</v>
      </c>
      <c r="G929" s="74">
        <v>3464902</v>
      </c>
      <c r="H929" s="72">
        <v>3.3967719999999999</v>
      </c>
      <c r="I929" s="73">
        <v>11769482.096344</v>
      </c>
      <c r="J929" s="72">
        <v>3.3772509987295458</v>
      </c>
      <c r="K929" s="73">
        <v>67638.356344</v>
      </c>
      <c r="L929" s="74">
        <v>0</v>
      </c>
      <c r="M929" s="73">
        <v>0</v>
      </c>
      <c r="N929" s="74">
        <v>0</v>
      </c>
      <c r="O929" s="73">
        <v>0</v>
      </c>
      <c r="P929" s="74">
        <v>3464902</v>
      </c>
      <c r="Q929" s="73">
        <v>11769482.096344</v>
      </c>
      <c r="R929" s="71" t="s">
        <v>625</v>
      </c>
      <c r="S929" s="71">
        <v>7414000005</v>
      </c>
      <c r="AB929"/>
      <c r="AC929"/>
    </row>
    <row r="930" spans="1:29" x14ac:dyDescent="0.25">
      <c r="A930" t="str">
        <f t="shared" si="15"/>
        <v xml:space="preserve">65502334887STER-OP ED          </v>
      </c>
      <c r="B930" s="71">
        <v>65502334887</v>
      </c>
      <c r="C930" s="71" t="s">
        <v>747</v>
      </c>
      <c r="D930" s="71" t="s">
        <v>417</v>
      </c>
      <c r="E930" s="71" t="s">
        <v>623</v>
      </c>
      <c r="F930" s="71" t="s">
        <v>624</v>
      </c>
      <c r="G930" s="74">
        <v>27598227</v>
      </c>
      <c r="H930" s="72">
        <v>3.8832339999999999</v>
      </c>
      <c r="I930" s="73">
        <v>107170373.426118</v>
      </c>
      <c r="J930" s="72">
        <v>3.7159555314912076</v>
      </c>
      <c r="K930" s="73">
        <v>4616589.1461180001</v>
      </c>
      <c r="L930" s="74">
        <v>0</v>
      </c>
      <c r="M930" s="73">
        <v>0</v>
      </c>
      <c r="N930" s="74">
        <v>0</v>
      </c>
      <c r="O930" s="73">
        <v>0</v>
      </c>
      <c r="P930" s="74">
        <v>27598227</v>
      </c>
      <c r="Q930" s="73">
        <v>107170373.426118</v>
      </c>
      <c r="R930" s="71" t="s">
        <v>625</v>
      </c>
      <c r="S930" s="71">
        <v>7414000005</v>
      </c>
      <c r="AB930"/>
      <c r="AC930"/>
    </row>
    <row r="931" spans="1:29" x14ac:dyDescent="0.25">
      <c r="A931" t="str">
        <f t="shared" si="15"/>
        <v xml:space="preserve">65502334887STERGOB ED          </v>
      </c>
      <c r="B931" s="71">
        <v>65502334887</v>
      </c>
      <c r="C931" s="71" t="s">
        <v>747</v>
      </c>
      <c r="D931" s="71" t="s">
        <v>391</v>
      </c>
      <c r="E931" s="71" t="s">
        <v>623</v>
      </c>
      <c r="F931" s="71" t="s">
        <v>624</v>
      </c>
      <c r="G931" s="74">
        <v>27623</v>
      </c>
      <c r="H931" s="72">
        <v>775.69178699999998</v>
      </c>
      <c r="I931" s="73">
        <v>21426934.232301001</v>
      </c>
      <c r="J931" s="72">
        <v>648.12360268982366</v>
      </c>
      <c r="K931" s="73">
        <v>3523815.9552000002</v>
      </c>
      <c r="L931" s="74">
        <v>0</v>
      </c>
      <c r="M931" s="73">
        <v>0</v>
      </c>
      <c r="N931" s="74">
        <v>0</v>
      </c>
      <c r="O931" s="73">
        <v>0</v>
      </c>
      <c r="P931" s="74">
        <v>27623</v>
      </c>
      <c r="Q931" s="73">
        <v>21426934.232301001</v>
      </c>
      <c r="R931" s="71" t="s">
        <v>625</v>
      </c>
      <c r="S931" s="71">
        <v>7414000005</v>
      </c>
      <c r="AB931"/>
      <c r="AC931"/>
    </row>
    <row r="932" spans="1:29" x14ac:dyDescent="0.25">
      <c r="A932" t="str">
        <f t="shared" si="15"/>
        <v xml:space="preserve">65502334887STRGOB2 ED          </v>
      </c>
      <c r="B932" s="71">
        <v>65502334887</v>
      </c>
      <c r="C932" s="71" t="s">
        <v>747</v>
      </c>
      <c r="D932" s="71" t="s">
        <v>392</v>
      </c>
      <c r="E932" s="71" t="s">
        <v>623</v>
      </c>
      <c r="F932" s="71" t="s">
        <v>624</v>
      </c>
      <c r="G932" s="74">
        <v>27534</v>
      </c>
      <c r="H932" s="72">
        <v>747.17843200000004</v>
      </c>
      <c r="I932" s="73">
        <v>20572810.946688</v>
      </c>
      <c r="J932" s="72">
        <v>722.20220892999998</v>
      </c>
      <c r="K932" s="73">
        <v>687695.32600938005</v>
      </c>
      <c r="L932" s="74">
        <v>0</v>
      </c>
      <c r="M932" s="73">
        <v>0</v>
      </c>
      <c r="N932" s="74">
        <v>0</v>
      </c>
      <c r="O932" s="73">
        <v>0</v>
      </c>
      <c r="P932" s="74">
        <v>27534</v>
      </c>
      <c r="Q932" s="73">
        <v>20572810.946688</v>
      </c>
      <c r="R932" s="71" t="s">
        <v>625</v>
      </c>
      <c r="S932" s="71">
        <v>7414000005</v>
      </c>
      <c r="AB932"/>
      <c r="AC932"/>
    </row>
    <row r="933" spans="1:29" x14ac:dyDescent="0.25">
      <c r="A933" t="str">
        <f t="shared" si="15"/>
        <v xml:space="preserve">65502334887UDIBONO 251204      </v>
      </c>
      <c r="B933" s="71">
        <v>65502334887</v>
      </c>
      <c r="C933" s="71" t="s">
        <v>747</v>
      </c>
      <c r="D933" s="71" t="s">
        <v>393</v>
      </c>
      <c r="E933" s="71" t="s">
        <v>623</v>
      </c>
      <c r="F933" s="71" t="s">
        <v>624</v>
      </c>
      <c r="G933" s="74">
        <v>24410</v>
      </c>
      <c r="H933" s="72">
        <v>765.92388300000005</v>
      </c>
      <c r="I933" s="73">
        <v>18696201.984030001</v>
      </c>
      <c r="J933" s="72">
        <v>647.13705560405731</v>
      </c>
      <c r="K933" s="73">
        <v>2899586.45673496</v>
      </c>
      <c r="L933" s="74">
        <v>0</v>
      </c>
      <c r="M933" s="73">
        <v>0</v>
      </c>
      <c r="N933" s="74">
        <v>0</v>
      </c>
      <c r="O933" s="73">
        <v>0</v>
      </c>
      <c r="P933" s="74">
        <v>24410</v>
      </c>
      <c r="Q933" s="73">
        <v>18696201.984030001</v>
      </c>
      <c r="R933" s="71" t="s">
        <v>625</v>
      </c>
      <c r="S933" s="71">
        <v>7414000005</v>
      </c>
      <c r="AB933"/>
      <c r="AC933"/>
    </row>
    <row r="934" spans="1:29" x14ac:dyDescent="0.25">
      <c r="A934" t="str">
        <f t="shared" si="15"/>
        <v xml:space="preserve">65502334887UDIBONO 261203      </v>
      </c>
      <c r="B934" s="71">
        <v>65502334887</v>
      </c>
      <c r="C934" s="71" t="s">
        <v>747</v>
      </c>
      <c r="D934" s="71" t="s">
        <v>394</v>
      </c>
      <c r="E934" s="71" t="s">
        <v>623</v>
      </c>
      <c r="F934" s="71" t="s">
        <v>624</v>
      </c>
      <c r="G934" s="74">
        <v>80570</v>
      </c>
      <c r="H934" s="72">
        <v>684.88915799999995</v>
      </c>
      <c r="I934" s="73">
        <v>55181519.46006</v>
      </c>
      <c r="J934" s="72">
        <v>685.12663329600343</v>
      </c>
      <c r="K934" s="73">
        <v>-19133.384599000001</v>
      </c>
      <c r="L934" s="74">
        <v>0</v>
      </c>
      <c r="M934" s="73">
        <v>0</v>
      </c>
      <c r="N934" s="74">
        <v>0</v>
      </c>
      <c r="O934" s="73">
        <v>0</v>
      </c>
      <c r="P934" s="74">
        <v>80570</v>
      </c>
      <c r="Q934" s="73">
        <v>55181519.46006</v>
      </c>
      <c r="R934" s="71" t="s">
        <v>625</v>
      </c>
      <c r="S934" s="71">
        <v>7414000005</v>
      </c>
      <c r="AB934"/>
      <c r="AC934"/>
    </row>
    <row r="935" spans="1:29" x14ac:dyDescent="0.25">
      <c r="A935" t="str">
        <f t="shared" si="15"/>
        <v xml:space="preserve">65502334887UDIBONO 281130      </v>
      </c>
      <c r="B935" s="71">
        <v>65502334887</v>
      </c>
      <c r="C935" s="71" t="s">
        <v>747</v>
      </c>
      <c r="D935" s="71" t="s">
        <v>395</v>
      </c>
      <c r="E935" s="71" t="s">
        <v>623</v>
      </c>
      <c r="F935" s="71" t="s">
        <v>624</v>
      </c>
      <c r="G935" s="74">
        <v>15354</v>
      </c>
      <c r="H935" s="72">
        <v>772.926965</v>
      </c>
      <c r="I935" s="73">
        <v>11867520.620610001</v>
      </c>
      <c r="J935" s="72">
        <v>673.78221765191608</v>
      </c>
      <c r="K935" s="73">
        <v>1522268.45078248</v>
      </c>
      <c r="L935" s="74">
        <v>0</v>
      </c>
      <c r="M935" s="73">
        <v>0</v>
      </c>
      <c r="N935" s="74">
        <v>0</v>
      </c>
      <c r="O935" s="73">
        <v>0</v>
      </c>
      <c r="P935" s="74">
        <v>15354</v>
      </c>
      <c r="Q935" s="73">
        <v>11867520.620610001</v>
      </c>
      <c r="R935" s="71" t="s">
        <v>625</v>
      </c>
      <c r="S935" s="71">
        <v>7414000005</v>
      </c>
      <c r="AB935"/>
      <c r="AC935"/>
    </row>
    <row r="936" spans="1:29" x14ac:dyDescent="0.25">
      <c r="A936" t="str">
        <f t="shared" si="15"/>
        <v xml:space="preserve">65502334887UDIBONO 311127      </v>
      </c>
      <c r="B936" s="71">
        <v>65502334887</v>
      </c>
      <c r="C936" s="71" t="s">
        <v>747</v>
      </c>
      <c r="D936" s="71" t="s">
        <v>396</v>
      </c>
      <c r="E936" s="71" t="s">
        <v>623</v>
      </c>
      <c r="F936" s="71" t="s">
        <v>624</v>
      </c>
      <c r="G936" s="74">
        <v>34797</v>
      </c>
      <c r="H936" s="72">
        <v>721.59464000000003</v>
      </c>
      <c r="I936" s="73">
        <v>25109328.688080002</v>
      </c>
      <c r="J936" s="72">
        <v>620.34572042494301</v>
      </c>
      <c r="K936" s="73">
        <v>3523158.6544532599</v>
      </c>
      <c r="L936" s="74">
        <v>0</v>
      </c>
      <c r="M936" s="73">
        <v>0</v>
      </c>
      <c r="N936" s="74">
        <v>0</v>
      </c>
      <c r="O936" s="73">
        <v>0</v>
      </c>
      <c r="P936" s="74">
        <v>34797</v>
      </c>
      <c r="Q936" s="73">
        <v>25109328.688080002</v>
      </c>
      <c r="R936" s="71" t="s">
        <v>625</v>
      </c>
      <c r="S936" s="71">
        <v>7414000005</v>
      </c>
      <c r="AB936"/>
      <c r="AC936"/>
    </row>
    <row r="937" spans="1:29" x14ac:dyDescent="0.25">
      <c r="A937" t="str">
        <f t="shared" si="15"/>
        <v xml:space="preserve">65502334887UDIBONO 351122      </v>
      </c>
      <c r="B937" s="71">
        <v>65502334887</v>
      </c>
      <c r="C937" s="71" t="s">
        <v>747</v>
      </c>
      <c r="D937" s="71" t="s">
        <v>398</v>
      </c>
      <c r="E937" s="71" t="s">
        <v>623</v>
      </c>
      <c r="F937" s="71" t="s">
        <v>624</v>
      </c>
      <c r="G937" s="74">
        <v>9908</v>
      </c>
      <c r="H937" s="72">
        <v>709.36974099999998</v>
      </c>
      <c r="I937" s="73">
        <v>7028435.3938279999</v>
      </c>
      <c r="J937" s="72">
        <v>665.8216117667622</v>
      </c>
      <c r="K937" s="73">
        <v>431474.86444292002</v>
      </c>
      <c r="L937" s="74">
        <v>0</v>
      </c>
      <c r="M937" s="73">
        <v>0</v>
      </c>
      <c r="N937" s="74">
        <v>0</v>
      </c>
      <c r="O937" s="73">
        <v>0</v>
      </c>
      <c r="P937" s="74">
        <v>9908</v>
      </c>
      <c r="Q937" s="73">
        <v>7028435.3938279999</v>
      </c>
      <c r="R937" s="71" t="s">
        <v>625</v>
      </c>
      <c r="S937" s="71">
        <v>7414000005</v>
      </c>
      <c r="AB937"/>
      <c r="AC937"/>
    </row>
    <row r="938" spans="1:29" x14ac:dyDescent="0.25">
      <c r="A938" t="str">
        <f t="shared" si="15"/>
        <v xml:space="preserve">65502334887UDIBONO 401115      </v>
      </c>
      <c r="B938" s="71">
        <v>65502334887</v>
      </c>
      <c r="C938" s="71" t="s">
        <v>747</v>
      </c>
      <c r="D938" s="71" t="s">
        <v>399</v>
      </c>
      <c r="E938" s="71" t="s">
        <v>623</v>
      </c>
      <c r="F938" s="71" t="s">
        <v>624</v>
      </c>
      <c r="G938" s="74">
        <v>26173</v>
      </c>
      <c r="H938" s="72">
        <v>694.41118700000004</v>
      </c>
      <c r="I938" s="73">
        <v>18174823.997350998</v>
      </c>
      <c r="J938" s="72">
        <v>730.29799159825086</v>
      </c>
      <c r="K938" s="73">
        <v>-939265.33675002004</v>
      </c>
      <c r="L938" s="74">
        <v>0</v>
      </c>
      <c r="M938" s="73">
        <v>0</v>
      </c>
      <c r="N938" s="74">
        <v>0</v>
      </c>
      <c r="O938" s="73">
        <v>0</v>
      </c>
      <c r="P938" s="74">
        <v>26173</v>
      </c>
      <c r="Q938" s="73">
        <v>18174823.997350998</v>
      </c>
      <c r="R938" s="71" t="s">
        <v>625</v>
      </c>
      <c r="S938" s="71">
        <v>7414000005</v>
      </c>
      <c r="AB938"/>
      <c r="AC938"/>
    </row>
    <row r="939" spans="1:29" x14ac:dyDescent="0.25">
      <c r="A939" t="str">
        <f t="shared" si="15"/>
        <v xml:space="preserve">65502334887UDIBONO 461108      </v>
      </c>
      <c r="B939" s="71">
        <v>65502397418</v>
      </c>
      <c r="C939" s="71" t="s">
        <v>748</v>
      </c>
      <c r="D939" s="71" t="s">
        <v>389</v>
      </c>
      <c r="E939" s="71" t="s">
        <v>623</v>
      </c>
      <c r="F939" s="71" t="s">
        <v>624</v>
      </c>
      <c r="G939" s="74">
        <v>2655745</v>
      </c>
      <c r="H939" s="72">
        <v>3.3967719999999999</v>
      </c>
      <c r="I939" s="73">
        <v>9020960.2551399991</v>
      </c>
      <c r="J939" s="72">
        <v>2.8641049648968555</v>
      </c>
      <c r="K939" s="73">
        <v>1414627.8151400001</v>
      </c>
      <c r="L939" s="74">
        <v>0</v>
      </c>
      <c r="M939" s="73">
        <v>0</v>
      </c>
      <c r="N939" s="74">
        <v>0</v>
      </c>
      <c r="O939" s="73">
        <v>0</v>
      </c>
      <c r="P939" s="74">
        <v>2655745</v>
      </c>
      <c r="Q939" s="73">
        <v>9020960.2551399991</v>
      </c>
      <c r="R939" s="71" t="s">
        <v>625</v>
      </c>
      <c r="S939" s="71">
        <v>7414000005</v>
      </c>
      <c r="AB939"/>
      <c r="AC939"/>
    </row>
    <row r="940" spans="1:29" x14ac:dyDescent="0.25">
      <c r="A940" t="str">
        <f t="shared" si="15"/>
        <v xml:space="preserve">65502334887UDIBONO 501103      </v>
      </c>
      <c r="B940" s="71">
        <v>65502397418</v>
      </c>
      <c r="C940" s="71" t="s">
        <v>748</v>
      </c>
      <c r="D940" s="71" t="s">
        <v>417</v>
      </c>
      <c r="E940" s="71" t="s">
        <v>623</v>
      </c>
      <c r="F940" s="71" t="s">
        <v>624</v>
      </c>
      <c r="G940" s="74">
        <v>1056796</v>
      </c>
      <c r="H940" s="72">
        <v>3.8832339999999999</v>
      </c>
      <c r="I940" s="73">
        <v>4103786.158264</v>
      </c>
      <c r="J940" s="72">
        <v>2.7845099527250294</v>
      </c>
      <c r="K940" s="73">
        <v>1161127.178264</v>
      </c>
      <c r="L940" s="74">
        <v>0</v>
      </c>
      <c r="M940" s="73">
        <v>0</v>
      </c>
      <c r="N940" s="74">
        <v>0</v>
      </c>
      <c r="O940" s="73">
        <v>0</v>
      </c>
      <c r="P940" s="74">
        <v>1056796</v>
      </c>
      <c r="Q940" s="73">
        <v>4103786.158264</v>
      </c>
      <c r="R940" s="71" t="s">
        <v>625</v>
      </c>
      <c r="S940" s="71">
        <v>7414000005</v>
      </c>
      <c r="AB940"/>
      <c r="AC940"/>
    </row>
    <row r="941" spans="1:29" x14ac:dyDescent="0.25">
      <c r="A941" t="str">
        <f t="shared" si="15"/>
        <v xml:space="preserve">65502397418STERGOB ED          </v>
      </c>
      <c r="B941" s="71">
        <v>65502397418</v>
      </c>
      <c r="C941" s="71" t="s">
        <v>748</v>
      </c>
      <c r="D941" s="71" t="s">
        <v>407</v>
      </c>
      <c r="E941" s="71" t="s">
        <v>623</v>
      </c>
      <c r="F941" s="71" t="s">
        <v>624</v>
      </c>
      <c r="G941" s="74">
        <v>3111042</v>
      </c>
      <c r="H941" s="72">
        <v>2.7668819999999998</v>
      </c>
      <c r="I941" s="73">
        <v>8607886.1110440008</v>
      </c>
      <c r="J941" s="72">
        <v>2.3501810004493673</v>
      </c>
      <c r="K941" s="73">
        <v>1296374.3110440001</v>
      </c>
      <c r="L941" s="74">
        <v>0</v>
      </c>
      <c r="M941" s="73">
        <v>0</v>
      </c>
      <c r="N941" s="74">
        <v>0</v>
      </c>
      <c r="O941" s="73">
        <v>0</v>
      </c>
      <c r="P941" s="74">
        <v>3111042</v>
      </c>
      <c r="Q941" s="73">
        <v>8607886.1110440008</v>
      </c>
      <c r="R941" s="71" t="s">
        <v>625</v>
      </c>
      <c r="S941" s="71">
        <v>7414000005</v>
      </c>
      <c r="AB941"/>
      <c r="AC941"/>
    </row>
    <row r="942" spans="1:29" x14ac:dyDescent="0.25">
      <c r="A942" t="str">
        <f t="shared" si="15"/>
        <v xml:space="preserve">65502397418STRGOB2 ED          </v>
      </c>
      <c r="B942" s="71">
        <v>65502425394</v>
      </c>
      <c r="C942" s="71" t="s">
        <v>749</v>
      </c>
      <c r="D942" s="71" t="s">
        <v>480</v>
      </c>
      <c r="E942" s="71" t="s">
        <v>623</v>
      </c>
      <c r="F942" s="71" t="s">
        <v>624</v>
      </c>
      <c r="G942" s="74">
        <v>29051667</v>
      </c>
      <c r="H942" s="72">
        <v>3.612981</v>
      </c>
      <c r="I942" s="73">
        <v>104963120.889327</v>
      </c>
      <c r="J942" s="72">
        <v>3.5375360677237557</v>
      </c>
      <c r="K942" s="73">
        <v>2191801.049327</v>
      </c>
      <c r="L942" s="74">
        <v>0</v>
      </c>
      <c r="M942" s="73">
        <v>0</v>
      </c>
      <c r="N942" s="74">
        <v>0</v>
      </c>
      <c r="O942" s="73">
        <v>0</v>
      </c>
      <c r="P942" s="74">
        <v>29051667</v>
      </c>
      <c r="Q942" s="73">
        <v>104963120.889327</v>
      </c>
      <c r="R942" s="71" t="s">
        <v>625</v>
      </c>
      <c r="S942" s="71">
        <v>7414000005</v>
      </c>
      <c r="AB942"/>
      <c r="AC942"/>
    </row>
    <row r="943" spans="1:29" x14ac:dyDescent="0.25">
      <c r="A943" t="str">
        <f t="shared" si="15"/>
        <v xml:space="preserve">65502397418SVIVE60 ED          </v>
      </c>
      <c r="B943" s="71">
        <v>65502898380</v>
      </c>
      <c r="C943" s="71" t="s">
        <v>750</v>
      </c>
      <c r="D943" s="71" t="s">
        <v>366</v>
      </c>
      <c r="E943" s="71" t="s">
        <v>623</v>
      </c>
      <c r="F943" s="71" t="s">
        <v>624</v>
      </c>
      <c r="G943" s="74">
        <v>0</v>
      </c>
      <c r="H943" s="72">
        <v>0</v>
      </c>
      <c r="I943" s="73">
        <v>10978925.859999999</v>
      </c>
      <c r="J943" s="72">
        <v>0</v>
      </c>
      <c r="K943" s="73">
        <v>0</v>
      </c>
      <c r="L943" s="74">
        <v>0</v>
      </c>
      <c r="M943" s="73">
        <v>0</v>
      </c>
      <c r="N943" s="74">
        <v>0</v>
      </c>
      <c r="O943" s="73">
        <v>0</v>
      </c>
      <c r="P943" s="74">
        <v>0</v>
      </c>
      <c r="Q943" s="73">
        <v>10978925.859999999</v>
      </c>
      <c r="R943" s="71" t="s">
        <v>625</v>
      </c>
      <c r="S943" s="71">
        <v>7414000005</v>
      </c>
      <c r="AB943"/>
      <c r="AC943"/>
    </row>
    <row r="944" spans="1:29" x14ac:dyDescent="0.25">
      <c r="A944" t="str">
        <f t="shared" si="15"/>
        <v xml:space="preserve">65502425394STERGOB B4          </v>
      </c>
      <c r="B944" s="71">
        <v>65502898380</v>
      </c>
      <c r="C944" s="71" t="s">
        <v>750</v>
      </c>
      <c r="D944" s="71" t="s">
        <v>429</v>
      </c>
      <c r="E944" s="71" t="s">
        <v>623</v>
      </c>
      <c r="F944" s="71" t="s">
        <v>624</v>
      </c>
      <c r="G944" s="74">
        <v>51099</v>
      </c>
      <c r="H944" s="72">
        <v>98.007834000000003</v>
      </c>
      <c r="I944" s="73">
        <v>5008102.3095659995</v>
      </c>
      <c r="J944" s="72">
        <v>92.780336949152428</v>
      </c>
      <c r="K944" s="73">
        <v>267119.87180125999</v>
      </c>
      <c r="L944" s="74">
        <v>0</v>
      </c>
      <c r="M944" s="73">
        <v>0</v>
      </c>
      <c r="N944" s="74">
        <v>0</v>
      </c>
      <c r="O944" s="73">
        <v>0</v>
      </c>
      <c r="P944" s="74">
        <v>51099</v>
      </c>
      <c r="Q944" s="73">
        <v>5008102.3095659995</v>
      </c>
      <c r="R944" s="71" t="s">
        <v>625</v>
      </c>
      <c r="S944" s="71">
        <v>7414000005</v>
      </c>
      <c r="AB944"/>
      <c r="AC944"/>
    </row>
    <row r="945" spans="1:29" x14ac:dyDescent="0.25">
      <c r="A945" t="str">
        <f t="shared" si="15"/>
        <v>65502898380EFECTIVO</v>
      </c>
      <c r="B945" s="71">
        <v>65502898437</v>
      </c>
      <c r="C945" s="71" t="s">
        <v>751</v>
      </c>
      <c r="D945" s="71" t="s">
        <v>393</v>
      </c>
      <c r="E945" s="71" t="s">
        <v>623</v>
      </c>
      <c r="F945" s="71" t="s">
        <v>624</v>
      </c>
      <c r="G945" s="74">
        <v>0</v>
      </c>
      <c r="H945" s="72">
        <v>0</v>
      </c>
      <c r="I945" s="73">
        <v>0</v>
      </c>
      <c r="J945" s="72">
        <v>0</v>
      </c>
      <c r="K945" s="73">
        <v>0</v>
      </c>
      <c r="L945" s="74">
        <v>0</v>
      </c>
      <c r="M945" s="73">
        <v>0</v>
      </c>
      <c r="N945" s="74">
        <v>0</v>
      </c>
      <c r="O945" s="73">
        <v>0</v>
      </c>
      <c r="P945" s="74">
        <v>0</v>
      </c>
      <c r="Q945" s="73">
        <v>0</v>
      </c>
      <c r="R945" s="71" t="s">
        <v>625</v>
      </c>
      <c r="S945" s="71">
        <v>7414000005</v>
      </c>
      <c r="AB945"/>
      <c r="AC945"/>
    </row>
    <row r="946" spans="1:29" x14ac:dyDescent="0.25">
      <c r="A946" t="str">
        <f t="shared" si="15"/>
        <v xml:space="preserve">65502898380PEMEX 13-2          </v>
      </c>
      <c r="B946" s="71">
        <v>65502898437</v>
      </c>
      <c r="C946" s="71" t="s">
        <v>751</v>
      </c>
      <c r="D946" s="71" t="s">
        <v>394</v>
      </c>
      <c r="E946" s="71" t="s">
        <v>623</v>
      </c>
      <c r="F946" s="71" t="s">
        <v>624</v>
      </c>
      <c r="G946" s="74">
        <v>0</v>
      </c>
      <c r="H946" s="72">
        <v>0</v>
      </c>
      <c r="I946" s="73">
        <v>0</v>
      </c>
      <c r="J946" s="72">
        <v>0</v>
      </c>
      <c r="K946" s="73">
        <v>0</v>
      </c>
      <c r="L946" s="74">
        <v>0</v>
      </c>
      <c r="M946" s="73">
        <v>0</v>
      </c>
      <c r="N946" s="74">
        <v>0</v>
      </c>
      <c r="O946" s="73">
        <v>0</v>
      </c>
      <c r="P946" s="74">
        <v>0</v>
      </c>
      <c r="Q946" s="73">
        <v>0</v>
      </c>
      <c r="R946" s="71" t="s">
        <v>625</v>
      </c>
      <c r="S946" s="71">
        <v>7414000005</v>
      </c>
      <c r="AB946"/>
      <c r="AC946"/>
    </row>
    <row r="947" spans="1:29" x14ac:dyDescent="0.25">
      <c r="A947" t="str">
        <f t="shared" si="15"/>
        <v xml:space="preserve">65502898437UDIBONO 281130      </v>
      </c>
      <c r="B947" s="71">
        <v>65503040718</v>
      </c>
      <c r="C947" s="71" t="s">
        <v>752</v>
      </c>
      <c r="D947" s="71" t="s">
        <v>389</v>
      </c>
      <c r="E947" s="71" t="s">
        <v>623</v>
      </c>
      <c r="F947" s="71" t="s">
        <v>624</v>
      </c>
      <c r="G947" s="74">
        <v>52715089</v>
      </c>
      <c r="H947" s="72">
        <v>3.3967719999999999</v>
      </c>
      <c r="I947" s="73">
        <v>179061138.29270801</v>
      </c>
      <c r="J947" s="72">
        <v>2.7071831934116624</v>
      </c>
      <c r="K947" s="73">
        <v>36351735.312707998</v>
      </c>
      <c r="L947" s="74">
        <v>0</v>
      </c>
      <c r="M947" s="73">
        <v>0</v>
      </c>
      <c r="N947" s="74">
        <v>0</v>
      </c>
      <c r="O947" s="73">
        <v>0</v>
      </c>
      <c r="P947" s="74">
        <v>52715089</v>
      </c>
      <c r="Q947" s="73">
        <v>179061138.29270801</v>
      </c>
      <c r="R947" s="71" t="s">
        <v>625</v>
      </c>
      <c r="S947" s="71">
        <v>7414000005</v>
      </c>
      <c r="AB947"/>
      <c r="AC947"/>
    </row>
    <row r="948" spans="1:29" x14ac:dyDescent="0.25">
      <c r="A948" t="str">
        <f t="shared" si="15"/>
        <v xml:space="preserve">65502898437UDIBONO 311127      </v>
      </c>
      <c r="B948" s="71">
        <v>65503071575</v>
      </c>
      <c r="C948" s="71" t="s">
        <v>753</v>
      </c>
      <c r="D948" s="71" t="s">
        <v>480</v>
      </c>
      <c r="E948" s="71" t="s">
        <v>623</v>
      </c>
      <c r="F948" s="71" t="s">
        <v>624</v>
      </c>
      <c r="G948" s="74">
        <v>58014462</v>
      </c>
      <c r="H948" s="72">
        <v>3.612981</v>
      </c>
      <c r="I948" s="73">
        <v>209605148.93122199</v>
      </c>
      <c r="J948" s="72">
        <v>2.2814275197449905</v>
      </c>
      <c r="K948" s="73">
        <v>77249358.781222001</v>
      </c>
      <c r="L948" s="74">
        <v>0</v>
      </c>
      <c r="M948" s="73">
        <v>0</v>
      </c>
      <c r="N948" s="74">
        <v>0</v>
      </c>
      <c r="O948" s="73">
        <v>0</v>
      </c>
      <c r="P948" s="74">
        <v>58014462</v>
      </c>
      <c r="Q948" s="73">
        <v>209605148.93122199</v>
      </c>
      <c r="R948" s="71" t="s">
        <v>625</v>
      </c>
      <c r="S948" s="71">
        <v>7414000005</v>
      </c>
      <c r="AB948"/>
      <c r="AC948"/>
    </row>
    <row r="949" spans="1:29" x14ac:dyDescent="0.25">
      <c r="A949" t="str">
        <f t="shared" si="15"/>
        <v xml:space="preserve">65503040718STERGOB ED          </v>
      </c>
      <c r="B949" s="71">
        <v>65503523505</v>
      </c>
      <c r="C949" s="71" t="s">
        <v>754</v>
      </c>
      <c r="D949" s="71" t="s">
        <v>412</v>
      </c>
      <c r="E949" s="71" t="s">
        <v>623</v>
      </c>
      <c r="F949" s="71" t="s">
        <v>624</v>
      </c>
      <c r="G949" s="74">
        <v>1503</v>
      </c>
      <c r="H949" s="72">
        <v>3.137273</v>
      </c>
      <c r="I949" s="73">
        <v>4715.3213189999997</v>
      </c>
      <c r="J949" s="72">
        <v>1.9571390552228876</v>
      </c>
      <c r="K949" s="73">
        <v>1773.741319</v>
      </c>
      <c r="L949" s="74">
        <v>0</v>
      </c>
      <c r="M949" s="73">
        <v>0</v>
      </c>
      <c r="N949" s="74">
        <v>0</v>
      </c>
      <c r="O949" s="73">
        <v>0</v>
      </c>
      <c r="P949" s="74">
        <v>1503</v>
      </c>
      <c r="Q949" s="73">
        <v>4715.3213189999997</v>
      </c>
      <c r="R949" s="71" t="s">
        <v>625</v>
      </c>
      <c r="S949" s="71">
        <v>7414000005</v>
      </c>
      <c r="AB949"/>
      <c r="AC949"/>
    </row>
    <row r="950" spans="1:29" x14ac:dyDescent="0.25">
      <c r="A950" t="str">
        <f t="shared" si="15"/>
        <v xml:space="preserve">65503071575STERGOB B4          </v>
      </c>
      <c r="B950" s="71">
        <v>65503525966</v>
      </c>
      <c r="C950" s="71" t="s">
        <v>755</v>
      </c>
      <c r="D950" s="71" t="s">
        <v>389</v>
      </c>
      <c r="E950" s="71" t="s">
        <v>623</v>
      </c>
      <c r="F950" s="71" t="s">
        <v>624</v>
      </c>
      <c r="G950" s="74">
        <v>167258</v>
      </c>
      <c r="H950" s="72">
        <v>3.3967719999999999</v>
      </c>
      <c r="I950" s="73">
        <v>568137.29117600003</v>
      </c>
      <c r="J950" s="72">
        <v>2.9511611402743068</v>
      </c>
      <c r="K950" s="73">
        <v>74531.981176000001</v>
      </c>
      <c r="L950" s="74">
        <v>0</v>
      </c>
      <c r="M950" s="73">
        <v>0</v>
      </c>
      <c r="N950" s="74">
        <v>0</v>
      </c>
      <c r="O950" s="73">
        <v>0</v>
      </c>
      <c r="P950" s="74">
        <v>167258</v>
      </c>
      <c r="Q950" s="73">
        <v>568137.29117600003</v>
      </c>
      <c r="R950" s="71" t="s">
        <v>625</v>
      </c>
      <c r="S950" s="71">
        <v>7414000005</v>
      </c>
      <c r="AB950"/>
      <c r="AC950"/>
    </row>
    <row r="951" spans="1:29" x14ac:dyDescent="0.25">
      <c r="A951" t="str">
        <f t="shared" si="15"/>
        <v xml:space="preserve">65503523505STERGOB B0          </v>
      </c>
      <c r="B951" s="71">
        <v>65503525966</v>
      </c>
      <c r="C951" s="71" t="s">
        <v>755</v>
      </c>
      <c r="D951" s="71" t="s">
        <v>481</v>
      </c>
      <c r="E951" s="71" t="s">
        <v>623</v>
      </c>
      <c r="F951" s="71" t="s">
        <v>624</v>
      </c>
      <c r="G951" s="74">
        <v>1098</v>
      </c>
      <c r="H951" s="72">
        <v>2.6243750000000001</v>
      </c>
      <c r="I951" s="73">
        <v>2881.5637499999998</v>
      </c>
      <c r="J951" s="72">
        <v>1.635255009107468</v>
      </c>
      <c r="K951" s="73">
        <v>1086.05375</v>
      </c>
      <c r="L951" s="74">
        <v>0</v>
      </c>
      <c r="M951" s="73">
        <v>0</v>
      </c>
      <c r="N951" s="74">
        <v>0</v>
      </c>
      <c r="O951" s="73">
        <v>0</v>
      </c>
      <c r="P951" s="74">
        <v>1098</v>
      </c>
      <c r="Q951" s="73">
        <v>2881.5637499999998</v>
      </c>
      <c r="R951" s="71" t="s">
        <v>625</v>
      </c>
      <c r="S951" s="71">
        <v>7414000005</v>
      </c>
      <c r="AB951"/>
      <c r="AC951"/>
    </row>
    <row r="952" spans="1:29" x14ac:dyDescent="0.25">
      <c r="A952" t="str">
        <f t="shared" si="15"/>
        <v xml:space="preserve">65503525966STERGOB ED          </v>
      </c>
      <c r="B952" s="71">
        <v>65503691935</v>
      </c>
      <c r="C952" s="71" t="s">
        <v>756</v>
      </c>
      <c r="D952" s="71" t="s">
        <v>431</v>
      </c>
      <c r="E952" s="71" t="s">
        <v>623</v>
      </c>
      <c r="F952" s="71" t="s">
        <v>624</v>
      </c>
      <c r="G952" s="74">
        <v>4312941</v>
      </c>
      <c r="H952" s="72">
        <v>3.4005040000000002</v>
      </c>
      <c r="I952" s="73">
        <v>14666173.122264</v>
      </c>
      <c r="J952" s="72">
        <v>3.3541308680086281</v>
      </c>
      <c r="K952" s="73">
        <v>200004.582264</v>
      </c>
      <c r="L952" s="74">
        <v>0</v>
      </c>
      <c r="M952" s="73">
        <v>0</v>
      </c>
      <c r="N952" s="74">
        <v>0</v>
      </c>
      <c r="O952" s="73">
        <v>0</v>
      </c>
      <c r="P952" s="74">
        <v>4312941</v>
      </c>
      <c r="Q952" s="73">
        <v>14666173.122264</v>
      </c>
      <c r="R952" s="71" t="s">
        <v>625</v>
      </c>
      <c r="S952" s="71">
        <v>7414000005</v>
      </c>
      <c r="AB952"/>
      <c r="AC952"/>
    </row>
    <row r="953" spans="1:29" x14ac:dyDescent="0.25">
      <c r="A953" t="str">
        <f t="shared" si="15"/>
        <v xml:space="preserve">65503525966SVIVE60 C1          </v>
      </c>
      <c r="B953" s="71">
        <v>65503867094</v>
      </c>
      <c r="C953" s="71" t="s">
        <v>757</v>
      </c>
      <c r="D953" s="71" t="s">
        <v>480</v>
      </c>
      <c r="E953" s="71" t="s">
        <v>623</v>
      </c>
      <c r="F953" s="71" t="s">
        <v>624</v>
      </c>
      <c r="G953" s="74">
        <v>25603</v>
      </c>
      <c r="H953" s="72">
        <v>3.612981</v>
      </c>
      <c r="I953" s="73">
        <v>92503.152543000004</v>
      </c>
      <c r="J953" s="72">
        <v>3.5483490215990314</v>
      </c>
      <c r="K953" s="73">
        <v>1654.772543</v>
      </c>
      <c r="L953" s="74">
        <v>0</v>
      </c>
      <c r="M953" s="73">
        <v>0</v>
      </c>
      <c r="N953" s="74">
        <v>0</v>
      </c>
      <c r="O953" s="73">
        <v>0</v>
      </c>
      <c r="P953" s="74">
        <v>25603</v>
      </c>
      <c r="Q953" s="73">
        <v>92503.152543000004</v>
      </c>
      <c r="R953" s="71" t="s">
        <v>625</v>
      </c>
      <c r="S953" s="71">
        <v>7414000005</v>
      </c>
      <c r="AB953"/>
      <c r="AC953"/>
    </row>
    <row r="954" spans="1:29" x14ac:dyDescent="0.25">
      <c r="A954" t="str">
        <f t="shared" si="15"/>
        <v xml:space="preserve">65503691935STERGOB B1          </v>
      </c>
      <c r="B954" s="71">
        <v>65504832250</v>
      </c>
      <c r="C954" s="71" t="s">
        <v>758</v>
      </c>
      <c r="D954" s="71" t="s">
        <v>419</v>
      </c>
      <c r="E954" s="71" t="s">
        <v>623</v>
      </c>
      <c r="F954" s="71" t="s">
        <v>624</v>
      </c>
      <c r="G954" s="74">
        <v>0</v>
      </c>
      <c r="H954" s="72">
        <v>0</v>
      </c>
      <c r="I954" s="73">
        <v>0</v>
      </c>
      <c r="J954" s="72">
        <v>0</v>
      </c>
      <c r="K954" s="73">
        <v>0</v>
      </c>
      <c r="L954" s="74">
        <v>0</v>
      </c>
      <c r="M954" s="73">
        <v>0</v>
      </c>
      <c r="N954" s="74">
        <v>0</v>
      </c>
      <c r="O954" s="73">
        <v>0</v>
      </c>
      <c r="P954" s="74">
        <v>0</v>
      </c>
      <c r="Q954" s="73">
        <v>0</v>
      </c>
      <c r="R954" s="71" t="s">
        <v>625</v>
      </c>
      <c r="S954" s="71">
        <v>7414000005</v>
      </c>
      <c r="AB954"/>
      <c r="AC954"/>
    </row>
    <row r="955" spans="1:29" x14ac:dyDescent="0.25">
      <c r="A955" t="str">
        <f t="shared" si="15"/>
        <v xml:space="preserve">65503867094STERGOB B4          </v>
      </c>
      <c r="B955" s="71">
        <v>65505285253</v>
      </c>
      <c r="C955" s="71" t="s">
        <v>759</v>
      </c>
      <c r="D955" s="71" t="s">
        <v>431</v>
      </c>
      <c r="E955" s="71" t="s">
        <v>623</v>
      </c>
      <c r="F955" s="71" t="s">
        <v>624</v>
      </c>
      <c r="G955" s="74">
        <v>75762</v>
      </c>
      <c r="H955" s="72">
        <v>3.4005040000000002</v>
      </c>
      <c r="I955" s="73">
        <v>257628.98404800001</v>
      </c>
      <c r="J955" s="72">
        <v>3.3420464084897441</v>
      </c>
      <c r="K955" s="73">
        <v>4428.8640480000004</v>
      </c>
      <c r="L955" s="74">
        <v>0</v>
      </c>
      <c r="M955" s="73">
        <v>0</v>
      </c>
      <c r="N955" s="74">
        <v>0</v>
      </c>
      <c r="O955" s="73">
        <v>0</v>
      </c>
      <c r="P955" s="74">
        <v>75762</v>
      </c>
      <c r="Q955" s="73">
        <v>257628.98404800001</v>
      </c>
      <c r="R955" s="71" t="s">
        <v>625</v>
      </c>
      <c r="S955" s="71">
        <v>7414000005</v>
      </c>
      <c r="AB955"/>
      <c r="AC955"/>
    </row>
    <row r="956" spans="1:29" x14ac:dyDescent="0.25">
      <c r="A956" t="str">
        <f t="shared" si="15"/>
        <v xml:space="preserve">65504832250IENOVA *            </v>
      </c>
      <c r="B956" s="71">
        <v>65505597846</v>
      </c>
      <c r="C956" s="71" t="s">
        <v>760</v>
      </c>
      <c r="D956" s="71" t="s">
        <v>389</v>
      </c>
      <c r="E956" s="71" t="s">
        <v>623</v>
      </c>
      <c r="F956" s="71" t="s">
        <v>624</v>
      </c>
      <c r="G956" s="74">
        <v>905405</v>
      </c>
      <c r="H956" s="72">
        <v>3.3967719999999999</v>
      </c>
      <c r="I956" s="73">
        <v>3075454.3526599999</v>
      </c>
      <c r="J956" s="72">
        <v>2.5825996763879147</v>
      </c>
      <c r="K956" s="73">
        <v>737155.69265999994</v>
      </c>
      <c r="L956" s="74">
        <v>0</v>
      </c>
      <c r="M956" s="73">
        <v>0</v>
      </c>
      <c r="N956" s="74">
        <v>0</v>
      </c>
      <c r="O956" s="73">
        <v>0</v>
      </c>
      <c r="P956" s="74">
        <v>905405</v>
      </c>
      <c r="Q956" s="73">
        <v>3075454.3526599999</v>
      </c>
      <c r="R956" s="71" t="s">
        <v>625</v>
      </c>
      <c r="S956" s="71">
        <v>7414000005</v>
      </c>
      <c r="AB956"/>
      <c r="AC956"/>
    </row>
    <row r="957" spans="1:29" x14ac:dyDescent="0.25">
      <c r="A957" t="str">
        <f t="shared" si="15"/>
        <v xml:space="preserve">65505285253STERGOB B1          </v>
      </c>
      <c r="B957" s="71">
        <v>65505597846</v>
      </c>
      <c r="C957" s="71" t="s">
        <v>760</v>
      </c>
      <c r="D957" s="71" t="s">
        <v>420</v>
      </c>
      <c r="E957" s="71" t="s">
        <v>623</v>
      </c>
      <c r="F957" s="71" t="s">
        <v>624</v>
      </c>
      <c r="G957" s="74">
        <v>46557518</v>
      </c>
      <c r="H957" s="72">
        <v>2.106938</v>
      </c>
      <c r="I957" s="73">
        <v>98093803.859883994</v>
      </c>
      <c r="J957" s="72">
        <v>1.4363535904126161</v>
      </c>
      <c r="K957" s="73">
        <v>31220745.719884001</v>
      </c>
      <c r="L957" s="74">
        <v>0</v>
      </c>
      <c r="M957" s="73">
        <v>0</v>
      </c>
      <c r="N957" s="74">
        <v>0</v>
      </c>
      <c r="O957" s="73">
        <v>0</v>
      </c>
      <c r="P957" s="74">
        <v>46557518</v>
      </c>
      <c r="Q957" s="73">
        <v>98093803.859883994</v>
      </c>
      <c r="R957" s="71" t="s">
        <v>625</v>
      </c>
      <c r="S957" s="71">
        <v>7414000005</v>
      </c>
      <c r="AB957"/>
      <c r="AC957"/>
    </row>
    <row r="958" spans="1:29" x14ac:dyDescent="0.25">
      <c r="A958" t="str">
        <f t="shared" si="15"/>
        <v xml:space="preserve">65505597846STERGOB ED          </v>
      </c>
      <c r="B958" s="71">
        <v>65505597846</v>
      </c>
      <c r="C958" s="71" t="s">
        <v>760</v>
      </c>
      <c r="D958" s="71" t="s">
        <v>482</v>
      </c>
      <c r="E958" s="71" t="s">
        <v>623</v>
      </c>
      <c r="F958" s="71" t="s">
        <v>624</v>
      </c>
      <c r="G958" s="74">
        <v>36294819</v>
      </c>
      <c r="H958" s="72">
        <v>2.7842250000000002</v>
      </c>
      <c r="I958" s="73">
        <v>101052942.43027499</v>
      </c>
      <c r="J958" s="72">
        <v>1.8498402339463382</v>
      </c>
      <c r="K958" s="73">
        <v>33913325.960275002</v>
      </c>
      <c r="L958" s="74">
        <v>0</v>
      </c>
      <c r="M958" s="73">
        <v>0</v>
      </c>
      <c r="N958" s="74">
        <v>0</v>
      </c>
      <c r="O958" s="73">
        <v>0</v>
      </c>
      <c r="P958" s="74">
        <v>36294819</v>
      </c>
      <c r="Q958" s="73">
        <v>101052942.43027499</v>
      </c>
      <c r="R958" s="71" t="s">
        <v>625</v>
      </c>
      <c r="S958" s="71">
        <v>7414000005</v>
      </c>
      <c r="AB958"/>
      <c r="AC958"/>
    </row>
    <row r="959" spans="1:29" x14ac:dyDescent="0.25">
      <c r="A959" t="str">
        <f t="shared" si="15"/>
        <v xml:space="preserve">65505597846SVIVE50 C3          </v>
      </c>
      <c r="B959" s="71">
        <v>65506131264</v>
      </c>
      <c r="C959" s="71" t="s">
        <v>761</v>
      </c>
      <c r="D959" s="71" t="s">
        <v>366</v>
      </c>
      <c r="E959" s="71" t="s">
        <v>623</v>
      </c>
      <c r="F959" s="71" t="s">
        <v>624</v>
      </c>
      <c r="G959" s="74">
        <v>0</v>
      </c>
      <c r="H959" s="72">
        <v>0</v>
      </c>
      <c r="I959" s="73">
        <v>-4494.99</v>
      </c>
      <c r="J959" s="72">
        <v>0</v>
      </c>
      <c r="K959" s="73">
        <v>0</v>
      </c>
      <c r="L959" s="74">
        <v>0</v>
      </c>
      <c r="M959" s="73">
        <v>0</v>
      </c>
      <c r="N959" s="74">
        <v>0</v>
      </c>
      <c r="O959" s="73">
        <v>0</v>
      </c>
      <c r="P959" s="74">
        <v>0</v>
      </c>
      <c r="Q959" s="73">
        <v>-4494.99</v>
      </c>
      <c r="R959" s="71" t="s">
        <v>625</v>
      </c>
      <c r="S959" s="71">
        <v>7414000005</v>
      </c>
      <c r="AB959"/>
      <c r="AC959"/>
    </row>
    <row r="960" spans="1:29" x14ac:dyDescent="0.25">
      <c r="A960" t="str">
        <f t="shared" si="15"/>
        <v xml:space="preserve">65505597846SVIVE60 C3          </v>
      </c>
      <c r="B960" s="71">
        <v>65506131264</v>
      </c>
      <c r="C960" s="71" t="s">
        <v>761</v>
      </c>
      <c r="D960" s="71" t="s">
        <v>389</v>
      </c>
      <c r="E960" s="71" t="s">
        <v>623</v>
      </c>
      <c r="F960" s="71" t="s">
        <v>624</v>
      </c>
      <c r="G960" s="74">
        <v>13163</v>
      </c>
      <c r="H960" s="72">
        <v>3.3967719999999999</v>
      </c>
      <c r="I960" s="73">
        <v>44711.709836000002</v>
      </c>
      <c r="J960" s="72">
        <v>3.3926832788877914</v>
      </c>
      <c r="K960" s="73">
        <v>53.819836000000002</v>
      </c>
      <c r="L960" s="74">
        <v>0</v>
      </c>
      <c r="M960" s="73">
        <v>0</v>
      </c>
      <c r="N960" s="74">
        <v>0</v>
      </c>
      <c r="O960" s="73">
        <v>0</v>
      </c>
      <c r="P960" s="74">
        <v>13163</v>
      </c>
      <c r="Q960" s="73">
        <v>44711.709836000002</v>
      </c>
      <c r="R960" s="71" t="s">
        <v>625</v>
      </c>
      <c r="S960" s="71">
        <v>7414000005</v>
      </c>
      <c r="AB960"/>
      <c r="AC960"/>
    </row>
    <row r="961" spans="1:29" x14ac:dyDescent="0.25">
      <c r="A961" t="str">
        <f t="shared" si="15"/>
        <v>65506131264EFECTIVO</v>
      </c>
      <c r="B961" s="71">
        <v>65506131264</v>
      </c>
      <c r="C961" s="71" t="s">
        <v>761</v>
      </c>
      <c r="D961" s="71" t="s">
        <v>404</v>
      </c>
      <c r="E961" s="71" t="s">
        <v>623</v>
      </c>
      <c r="F961" s="71" t="s">
        <v>624</v>
      </c>
      <c r="G961" s="74">
        <v>14492</v>
      </c>
      <c r="H961" s="72">
        <v>137.94899000000001</v>
      </c>
      <c r="I961" s="73">
        <v>1999156.7630799999</v>
      </c>
      <c r="J961" s="72">
        <v>115.64243306651946</v>
      </c>
      <c r="K961" s="73">
        <v>323266.62307999999</v>
      </c>
      <c r="L961" s="74">
        <v>0</v>
      </c>
      <c r="M961" s="73">
        <v>0</v>
      </c>
      <c r="N961" s="74">
        <v>0</v>
      </c>
      <c r="O961" s="73">
        <v>0</v>
      </c>
      <c r="P961" s="74">
        <v>14492</v>
      </c>
      <c r="Q961" s="73">
        <v>1999156.7630799999</v>
      </c>
      <c r="R961" s="71" t="s">
        <v>625</v>
      </c>
      <c r="S961" s="71">
        <v>7414000005</v>
      </c>
      <c r="AB961"/>
      <c r="AC961"/>
    </row>
    <row r="962" spans="1:29" x14ac:dyDescent="0.25">
      <c r="A962" t="str">
        <f t="shared" si="15"/>
        <v xml:space="preserve">65506131264STERGOB ED          </v>
      </c>
      <c r="B962" s="71">
        <v>65506131264</v>
      </c>
      <c r="C962" s="71" t="s">
        <v>761</v>
      </c>
      <c r="D962" s="71" t="s">
        <v>405</v>
      </c>
      <c r="E962" s="71" t="s">
        <v>623</v>
      </c>
      <c r="F962" s="71" t="s">
        <v>624</v>
      </c>
      <c r="G962" s="74">
        <v>7411197</v>
      </c>
      <c r="H962" s="72">
        <v>3.6096119999999998</v>
      </c>
      <c r="I962" s="73">
        <v>26751545.625564002</v>
      </c>
      <c r="J962" s="72">
        <v>3.0108941470588353</v>
      </c>
      <c r="K962" s="73">
        <v>4437215.9555639997</v>
      </c>
      <c r="L962" s="74">
        <v>0</v>
      </c>
      <c r="M962" s="73">
        <v>0</v>
      </c>
      <c r="N962" s="74">
        <v>0</v>
      </c>
      <c r="O962" s="73">
        <v>0</v>
      </c>
      <c r="P962" s="74">
        <v>7411197</v>
      </c>
      <c r="Q962" s="73">
        <v>26751545.625564002</v>
      </c>
      <c r="R962" s="71" t="s">
        <v>625</v>
      </c>
      <c r="S962" s="71">
        <v>7414000005</v>
      </c>
      <c r="AB962"/>
      <c r="AC962"/>
    </row>
    <row r="963" spans="1:29" x14ac:dyDescent="0.25">
      <c r="A963" t="str">
        <f t="shared" si="15"/>
        <v xml:space="preserve">65506131264SVIVE20 ED          </v>
      </c>
      <c r="B963" s="71">
        <v>65506131264</v>
      </c>
      <c r="C963" s="71" t="s">
        <v>761</v>
      </c>
      <c r="D963" s="71" t="s">
        <v>406</v>
      </c>
      <c r="E963" s="71" t="s">
        <v>623</v>
      </c>
      <c r="F963" s="71" t="s">
        <v>624</v>
      </c>
      <c r="G963" s="74">
        <v>3975555</v>
      </c>
      <c r="H963" s="72">
        <v>2.1897980000000001</v>
      </c>
      <c r="I963" s="73">
        <v>8705662.3878899999</v>
      </c>
      <c r="J963" s="72">
        <v>1.973393018081752</v>
      </c>
      <c r="K963" s="73">
        <v>860329.90789000003</v>
      </c>
      <c r="L963" s="74">
        <v>0</v>
      </c>
      <c r="M963" s="73">
        <v>0</v>
      </c>
      <c r="N963" s="74">
        <v>0</v>
      </c>
      <c r="O963" s="73">
        <v>0</v>
      </c>
      <c r="P963" s="74">
        <v>3975555</v>
      </c>
      <c r="Q963" s="73">
        <v>8705662.3878899999</v>
      </c>
      <c r="R963" s="71" t="s">
        <v>625</v>
      </c>
      <c r="S963" s="71">
        <v>7414000005</v>
      </c>
      <c r="AB963"/>
      <c r="AC963"/>
    </row>
    <row r="964" spans="1:29" x14ac:dyDescent="0.25">
      <c r="A964" t="str">
        <f t="shared" si="15"/>
        <v xml:space="preserve">65506131264SVIVE35 ED          </v>
      </c>
      <c r="B964" s="71">
        <v>65506131264</v>
      </c>
      <c r="C964" s="71" t="s">
        <v>761</v>
      </c>
      <c r="D964" s="71" t="s">
        <v>407</v>
      </c>
      <c r="E964" s="71" t="s">
        <v>623</v>
      </c>
      <c r="F964" s="71" t="s">
        <v>624</v>
      </c>
      <c r="G964" s="74">
        <v>53678</v>
      </c>
      <c r="H964" s="72">
        <v>2.7668819999999998</v>
      </c>
      <c r="I964" s="73">
        <v>148520.69199600001</v>
      </c>
      <c r="J964" s="72">
        <v>2.390523305637319</v>
      </c>
      <c r="K964" s="73">
        <v>20202.181995999999</v>
      </c>
      <c r="L964" s="74">
        <v>0</v>
      </c>
      <c r="M964" s="73">
        <v>0</v>
      </c>
      <c r="N964" s="74">
        <v>0</v>
      </c>
      <c r="O964" s="73">
        <v>0</v>
      </c>
      <c r="P964" s="74">
        <v>53678</v>
      </c>
      <c r="Q964" s="73">
        <v>148520.69199600001</v>
      </c>
      <c r="R964" s="71" t="s">
        <v>625</v>
      </c>
      <c r="S964" s="71">
        <v>7414000005</v>
      </c>
      <c r="AB964"/>
      <c r="AC964"/>
    </row>
    <row r="965" spans="1:29" x14ac:dyDescent="0.25">
      <c r="A965" t="str">
        <f t="shared" si="15"/>
        <v xml:space="preserve">65506131264SVIVE50 ED          </v>
      </c>
      <c r="B965" s="71">
        <v>65507052215</v>
      </c>
      <c r="C965" s="71" t="s">
        <v>760</v>
      </c>
      <c r="D965" s="71" t="s">
        <v>431</v>
      </c>
      <c r="E965" s="71" t="s">
        <v>623</v>
      </c>
      <c r="F965" s="71" t="s">
        <v>624</v>
      </c>
      <c r="G965" s="74">
        <v>2326612</v>
      </c>
      <c r="H965" s="72">
        <v>3.4005040000000002</v>
      </c>
      <c r="I965" s="73">
        <v>7911653.4124480002</v>
      </c>
      <c r="J965" s="72">
        <v>3.3321816056996183</v>
      </c>
      <c r="K965" s="73">
        <v>158959.702448</v>
      </c>
      <c r="L965" s="74">
        <v>0</v>
      </c>
      <c r="M965" s="73">
        <v>0</v>
      </c>
      <c r="N965" s="74">
        <v>0</v>
      </c>
      <c r="O965" s="73">
        <v>0</v>
      </c>
      <c r="P965" s="74">
        <v>2326612</v>
      </c>
      <c r="Q965" s="73">
        <v>7911653.4124480002</v>
      </c>
      <c r="R965" s="71" t="s">
        <v>625</v>
      </c>
      <c r="S965" s="71">
        <v>7414000005</v>
      </c>
      <c r="AB965"/>
      <c r="AC965"/>
    </row>
    <row r="966" spans="1:29" x14ac:dyDescent="0.25">
      <c r="A966" t="str">
        <f t="shared" si="15"/>
        <v xml:space="preserve">65506131264SVIVE60 ED          </v>
      </c>
      <c r="B966" s="71">
        <v>65507052277</v>
      </c>
      <c r="C966" s="71" t="s">
        <v>760</v>
      </c>
      <c r="D966" s="71" t="s">
        <v>412</v>
      </c>
      <c r="E966" s="71" t="s">
        <v>623</v>
      </c>
      <c r="F966" s="71" t="s">
        <v>624</v>
      </c>
      <c r="G966" s="74">
        <v>1617553</v>
      </c>
      <c r="H966" s="72">
        <v>3.137273</v>
      </c>
      <c r="I966" s="73">
        <v>5074705.3529690001</v>
      </c>
      <c r="J966" s="72">
        <v>3.0779545647035986</v>
      </c>
      <c r="K966" s="73">
        <v>95950.712969</v>
      </c>
      <c r="L966" s="74">
        <v>0</v>
      </c>
      <c r="M966" s="73">
        <v>0</v>
      </c>
      <c r="N966" s="74">
        <v>0</v>
      </c>
      <c r="O966" s="73">
        <v>0</v>
      </c>
      <c r="P966" s="74">
        <v>1617553</v>
      </c>
      <c r="Q966" s="73">
        <v>5074705.3529690001</v>
      </c>
      <c r="R966" s="71" t="s">
        <v>625</v>
      </c>
      <c r="S966" s="71">
        <v>7414000005</v>
      </c>
      <c r="AB966"/>
      <c r="AC966"/>
    </row>
    <row r="967" spans="1:29" x14ac:dyDescent="0.25">
      <c r="A967" t="str">
        <f t="shared" ref="A967:A1030" si="16">B965&amp;D965</f>
        <v xml:space="preserve">65507052215STERGOB B1          </v>
      </c>
      <c r="B967" s="71">
        <v>65507052294</v>
      </c>
      <c r="C967" s="71" t="s">
        <v>760</v>
      </c>
      <c r="D967" s="71" t="s">
        <v>431</v>
      </c>
      <c r="E967" s="71" t="s">
        <v>623</v>
      </c>
      <c r="F967" s="71" t="s">
        <v>624</v>
      </c>
      <c r="G967" s="74">
        <v>2272024</v>
      </c>
      <c r="H967" s="72">
        <v>3.4005040000000002</v>
      </c>
      <c r="I967" s="73">
        <v>7726026.700096</v>
      </c>
      <c r="J967" s="72">
        <v>3.3321820676190042</v>
      </c>
      <c r="K967" s="73">
        <v>155229.07009600001</v>
      </c>
      <c r="L967" s="74">
        <v>0</v>
      </c>
      <c r="M967" s="73">
        <v>0</v>
      </c>
      <c r="N967" s="74">
        <v>0</v>
      </c>
      <c r="O967" s="73">
        <v>0</v>
      </c>
      <c r="P967" s="74">
        <v>2272024</v>
      </c>
      <c r="Q967" s="73">
        <v>7726026.700096</v>
      </c>
      <c r="R967" s="71" t="s">
        <v>625</v>
      </c>
      <c r="S967" s="71">
        <v>7414000005</v>
      </c>
      <c r="AB967"/>
      <c r="AC967"/>
    </row>
    <row r="968" spans="1:29" x14ac:dyDescent="0.25">
      <c r="A968" t="str">
        <f t="shared" si="16"/>
        <v xml:space="preserve">65507052277STERGOB B0          </v>
      </c>
      <c r="B968" s="71">
        <v>65507142173</v>
      </c>
      <c r="C968" s="71" t="s">
        <v>762</v>
      </c>
      <c r="D968" s="71" t="s">
        <v>412</v>
      </c>
      <c r="E968" s="71" t="s">
        <v>623</v>
      </c>
      <c r="F968" s="71" t="s">
        <v>624</v>
      </c>
      <c r="G968" s="74">
        <v>235705</v>
      </c>
      <c r="H968" s="72">
        <v>3.137273</v>
      </c>
      <c r="I968" s="73">
        <v>739470.93246499996</v>
      </c>
      <c r="J968" s="72">
        <v>3.0779630894550389</v>
      </c>
      <c r="K968" s="73">
        <v>13979.642465000001</v>
      </c>
      <c r="L968" s="74">
        <v>0</v>
      </c>
      <c r="M968" s="73">
        <v>0</v>
      </c>
      <c r="N968" s="74">
        <v>0</v>
      </c>
      <c r="O968" s="73">
        <v>0</v>
      </c>
      <c r="P968" s="74">
        <v>235705</v>
      </c>
      <c r="Q968" s="73">
        <v>739470.93246499996</v>
      </c>
      <c r="R968" s="71" t="s">
        <v>625</v>
      </c>
      <c r="S968" s="71">
        <v>7414000005</v>
      </c>
      <c r="AB968"/>
      <c r="AC968"/>
    </row>
    <row r="969" spans="1:29" x14ac:dyDescent="0.25">
      <c r="A969" t="str">
        <f t="shared" si="16"/>
        <v xml:space="preserve">65507052294STERGOB B1          </v>
      </c>
      <c r="B969" s="71">
        <v>65507143699</v>
      </c>
      <c r="C969" s="71" t="s">
        <v>762</v>
      </c>
      <c r="D969" s="71" t="s">
        <v>412</v>
      </c>
      <c r="E969" s="71" t="s">
        <v>623</v>
      </c>
      <c r="F969" s="71" t="s">
        <v>624</v>
      </c>
      <c r="G969" s="74">
        <v>149673</v>
      </c>
      <c r="H969" s="72">
        <v>3.137273</v>
      </c>
      <c r="I969" s="73">
        <v>469565.06172900001</v>
      </c>
      <c r="J969" s="72">
        <v>3.0779635605620252</v>
      </c>
      <c r="K969" s="73">
        <v>8877.0217290000001</v>
      </c>
      <c r="L969" s="74">
        <v>0</v>
      </c>
      <c r="M969" s="73">
        <v>0</v>
      </c>
      <c r="N969" s="74">
        <v>0</v>
      </c>
      <c r="O969" s="73">
        <v>0</v>
      </c>
      <c r="P969" s="74">
        <v>149673</v>
      </c>
      <c r="Q969" s="73">
        <v>469565.06172900001</v>
      </c>
      <c r="R969" s="71" t="s">
        <v>625</v>
      </c>
      <c r="S969" s="71">
        <v>7414000005</v>
      </c>
      <c r="AB969"/>
      <c r="AC969"/>
    </row>
    <row r="970" spans="1:29" x14ac:dyDescent="0.25">
      <c r="A970" t="str">
        <f t="shared" si="16"/>
        <v xml:space="preserve">65507142173STERGOB B0          </v>
      </c>
      <c r="B970" s="71">
        <v>65507143745</v>
      </c>
      <c r="C970" s="71" t="s">
        <v>762</v>
      </c>
      <c r="D970" s="71" t="s">
        <v>412</v>
      </c>
      <c r="E970" s="71" t="s">
        <v>623</v>
      </c>
      <c r="F970" s="71" t="s">
        <v>624</v>
      </c>
      <c r="G970" s="74">
        <v>94563</v>
      </c>
      <c r="H970" s="72">
        <v>3.137273</v>
      </c>
      <c r="I970" s="73">
        <v>296669.94669900002</v>
      </c>
      <c r="J970" s="72">
        <v>3.0779480346435708</v>
      </c>
      <c r="K970" s="73">
        <v>5609.9466990000001</v>
      </c>
      <c r="L970" s="74">
        <v>0</v>
      </c>
      <c r="M970" s="73">
        <v>0</v>
      </c>
      <c r="N970" s="74">
        <v>0</v>
      </c>
      <c r="O970" s="73">
        <v>0</v>
      </c>
      <c r="P970" s="74">
        <v>94563</v>
      </c>
      <c r="Q970" s="73">
        <v>296669.94669900002</v>
      </c>
      <c r="R970" s="71" t="s">
        <v>625</v>
      </c>
      <c r="S970" s="71">
        <v>7414000005</v>
      </c>
      <c r="AB970"/>
      <c r="AC970"/>
    </row>
    <row r="971" spans="1:29" x14ac:dyDescent="0.25">
      <c r="A971" t="str">
        <f t="shared" si="16"/>
        <v xml:space="preserve">65507143699STERGOB B0          </v>
      </c>
      <c r="B971" s="71">
        <v>65507298252</v>
      </c>
      <c r="C971" s="71" t="s">
        <v>763</v>
      </c>
      <c r="D971" s="71" t="s">
        <v>483</v>
      </c>
      <c r="E971" s="71" t="s">
        <v>623</v>
      </c>
      <c r="F971" s="71" t="s">
        <v>624</v>
      </c>
      <c r="G971" s="74">
        <v>498833</v>
      </c>
      <c r="H971" s="72">
        <v>91.663769000000002</v>
      </c>
      <c r="I971" s="73">
        <v>45724912.881577</v>
      </c>
      <c r="J971" s="72">
        <v>100.08954932813187</v>
      </c>
      <c r="K971" s="73">
        <v>-4203057.2784230001</v>
      </c>
      <c r="L971" s="74">
        <v>0</v>
      </c>
      <c r="M971" s="73">
        <v>0</v>
      </c>
      <c r="N971" s="74">
        <v>0</v>
      </c>
      <c r="O971" s="73">
        <v>0</v>
      </c>
      <c r="P971" s="74">
        <v>498833</v>
      </c>
      <c r="Q971" s="73">
        <v>45724912.881577</v>
      </c>
      <c r="R971" s="71" t="s">
        <v>625</v>
      </c>
      <c r="S971" s="71">
        <v>7414000005</v>
      </c>
      <c r="AB971"/>
      <c r="AC971"/>
    </row>
    <row r="972" spans="1:29" x14ac:dyDescent="0.25">
      <c r="A972" t="str">
        <f t="shared" si="16"/>
        <v xml:space="preserve">65507143745STERGOB B0          </v>
      </c>
      <c r="B972" s="71">
        <v>65507298252</v>
      </c>
      <c r="C972" s="71" t="s">
        <v>763</v>
      </c>
      <c r="D972" s="71" t="s">
        <v>358</v>
      </c>
      <c r="E972" s="71" t="s">
        <v>623</v>
      </c>
      <c r="F972" s="71" t="s">
        <v>624</v>
      </c>
      <c r="G972" s="74">
        <v>0</v>
      </c>
      <c r="H972" s="72">
        <v>0</v>
      </c>
      <c r="I972" s="73">
        <v>0</v>
      </c>
      <c r="J972" s="72">
        <v>0</v>
      </c>
      <c r="K972" s="73">
        <v>0</v>
      </c>
      <c r="L972" s="74">
        <v>0</v>
      </c>
      <c r="M972" s="73">
        <v>0</v>
      </c>
      <c r="N972" s="74">
        <v>0</v>
      </c>
      <c r="O972" s="73">
        <v>0</v>
      </c>
      <c r="P972" s="74">
        <v>0</v>
      </c>
      <c r="Q972" s="73">
        <v>0</v>
      </c>
      <c r="R972" s="71" t="s">
        <v>625</v>
      </c>
      <c r="S972" s="71">
        <v>7414000005</v>
      </c>
      <c r="AB972"/>
      <c r="AC972"/>
    </row>
    <row r="973" spans="1:29" x14ac:dyDescent="0.25">
      <c r="A973" t="str">
        <f t="shared" si="16"/>
        <v xml:space="preserve">65507298252ACBE 17             </v>
      </c>
      <c r="B973" s="71">
        <v>65507298252</v>
      </c>
      <c r="C973" s="71" t="s">
        <v>763</v>
      </c>
      <c r="D973" s="71" t="s">
        <v>484</v>
      </c>
      <c r="E973" s="71" t="s">
        <v>623</v>
      </c>
      <c r="F973" s="71" t="s">
        <v>624</v>
      </c>
      <c r="G973" s="74">
        <v>216884</v>
      </c>
      <c r="H973" s="72">
        <v>90.182721000000001</v>
      </c>
      <c r="I973" s="73">
        <v>19559189.261364002</v>
      </c>
      <c r="J973" s="72">
        <v>100</v>
      </c>
      <c r="K973" s="73">
        <v>-2129210.7386360001</v>
      </c>
      <c r="L973" s="74">
        <v>0</v>
      </c>
      <c r="M973" s="73">
        <v>0</v>
      </c>
      <c r="N973" s="74">
        <v>0</v>
      </c>
      <c r="O973" s="73">
        <v>0</v>
      </c>
      <c r="P973" s="74">
        <v>216884</v>
      </c>
      <c r="Q973" s="73">
        <v>19559189.261364002</v>
      </c>
      <c r="R973" s="71" t="s">
        <v>625</v>
      </c>
      <c r="S973" s="71">
        <v>7414000005</v>
      </c>
      <c r="AB973"/>
      <c r="AC973"/>
    </row>
    <row r="974" spans="1:29" x14ac:dyDescent="0.25">
      <c r="A974" t="str">
        <f t="shared" si="16"/>
        <v xml:space="preserve">65507298252ACWI *              </v>
      </c>
      <c r="B974" s="71">
        <v>65507298252</v>
      </c>
      <c r="C974" s="71" t="s">
        <v>763</v>
      </c>
      <c r="D974" s="71" t="s">
        <v>502</v>
      </c>
      <c r="E974" s="71" t="s">
        <v>623</v>
      </c>
      <c r="F974" s="71" t="s">
        <v>624</v>
      </c>
      <c r="G974" s="74">
        <v>1251</v>
      </c>
      <c r="H974" s="72">
        <v>9469.6491050000004</v>
      </c>
      <c r="I974" s="73">
        <v>11846531.030355001</v>
      </c>
      <c r="J974" s="72">
        <v>9977.4</v>
      </c>
      <c r="K974" s="73">
        <v>-635196.36964499997</v>
      </c>
      <c r="L974" s="74">
        <v>0</v>
      </c>
      <c r="M974" s="73">
        <v>0</v>
      </c>
      <c r="N974" s="74">
        <v>0</v>
      </c>
      <c r="O974" s="73">
        <v>0</v>
      </c>
      <c r="P974" s="74">
        <v>1251</v>
      </c>
      <c r="Q974" s="73">
        <v>11846531.030355001</v>
      </c>
      <c r="R974" s="71" t="s">
        <v>625</v>
      </c>
      <c r="S974" s="71">
        <v>7414000005</v>
      </c>
      <c r="AB974"/>
      <c r="AC974"/>
    </row>
    <row r="975" spans="1:29" x14ac:dyDescent="0.25">
      <c r="A975" t="str">
        <f t="shared" si="16"/>
        <v xml:space="preserve">65507298252ALSEA 17-2          </v>
      </c>
      <c r="B975" s="71">
        <v>65507298252</v>
      </c>
      <c r="C975" s="71" t="s">
        <v>763</v>
      </c>
      <c r="D975" s="71" t="s">
        <v>485</v>
      </c>
      <c r="E975" s="71" t="s">
        <v>623</v>
      </c>
      <c r="F975" s="71" t="s">
        <v>624</v>
      </c>
      <c r="G975" s="74">
        <v>361643</v>
      </c>
      <c r="H975" s="72">
        <v>98.348472000000001</v>
      </c>
      <c r="I975" s="73">
        <v>35567036.459495999</v>
      </c>
      <c r="J975" s="72">
        <v>99.379753789999995</v>
      </c>
      <c r="K975" s="73">
        <v>-372955.84038096998</v>
      </c>
      <c r="L975" s="74">
        <v>0</v>
      </c>
      <c r="M975" s="73">
        <v>0</v>
      </c>
      <c r="N975" s="74">
        <v>0</v>
      </c>
      <c r="O975" s="73">
        <v>0</v>
      </c>
      <c r="P975" s="74">
        <v>361643</v>
      </c>
      <c r="Q975" s="73">
        <v>35567036.459495999</v>
      </c>
      <c r="R975" s="71" t="s">
        <v>625</v>
      </c>
      <c r="S975" s="71">
        <v>7414000005</v>
      </c>
      <c r="AB975"/>
      <c r="AC975"/>
    </row>
    <row r="976" spans="1:29" x14ac:dyDescent="0.25">
      <c r="A976" t="str">
        <f t="shared" si="16"/>
        <v xml:space="preserve">65507298252AMX 0131X           </v>
      </c>
      <c r="B976" s="71">
        <v>65507298252</v>
      </c>
      <c r="C976" s="71" t="s">
        <v>763</v>
      </c>
      <c r="D976" s="71" t="s">
        <v>471</v>
      </c>
      <c r="E976" s="71" t="s">
        <v>623</v>
      </c>
      <c r="F976" s="71" t="s">
        <v>624</v>
      </c>
      <c r="G976" s="74">
        <v>0</v>
      </c>
      <c r="H976" s="72">
        <v>0</v>
      </c>
      <c r="I976" s="73">
        <v>0</v>
      </c>
      <c r="J976" s="72">
        <v>0</v>
      </c>
      <c r="K976" s="73">
        <v>0</v>
      </c>
      <c r="L976" s="74">
        <v>0</v>
      </c>
      <c r="M976" s="73">
        <v>0</v>
      </c>
      <c r="N976" s="74">
        <v>0</v>
      </c>
      <c r="O976" s="73">
        <v>0</v>
      </c>
      <c r="P976" s="74">
        <v>0</v>
      </c>
      <c r="Q976" s="73">
        <v>0</v>
      </c>
      <c r="R976" s="71" t="s">
        <v>625</v>
      </c>
      <c r="S976" s="71">
        <v>7414000005</v>
      </c>
      <c r="AB976"/>
      <c r="AC976"/>
    </row>
    <row r="977" spans="1:29" x14ac:dyDescent="0.25">
      <c r="A977" t="str">
        <f t="shared" si="16"/>
        <v xml:space="preserve">65507298252BINBUR 14-7         </v>
      </c>
      <c r="B977" s="71">
        <v>65507298252</v>
      </c>
      <c r="C977" s="71" t="s">
        <v>763</v>
      </c>
      <c r="D977" s="71" t="s">
        <v>363</v>
      </c>
      <c r="E977" s="71" t="s">
        <v>623</v>
      </c>
      <c r="F977" s="71" t="s">
        <v>624</v>
      </c>
      <c r="G977" s="74">
        <v>415371</v>
      </c>
      <c r="H977" s="72">
        <v>9.4935880000000008</v>
      </c>
      <c r="I977" s="73">
        <v>3943361.141148</v>
      </c>
      <c r="J977" s="72">
        <v>8.2405490399999994</v>
      </c>
      <c r="K977" s="73">
        <v>520476.04585415998</v>
      </c>
      <c r="L977" s="74">
        <v>0</v>
      </c>
      <c r="M977" s="73">
        <v>0</v>
      </c>
      <c r="N977" s="74">
        <v>0</v>
      </c>
      <c r="O977" s="73">
        <v>0</v>
      </c>
      <c r="P977" s="74">
        <v>415371</v>
      </c>
      <c r="Q977" s="73">
        <v>3943361.141148</v>
      </c>
      <c r="R977" s="71" t="s">
        <v>625</v>
      </c>
      <c r="S977" s="71">
        <v>7414000005</v>
      </c>
      <c r="AB977"/>
      <c r="AC977"/>
    </row>
    <row r="978" spans="1:29" x14ac:dyDescent="0.25">
      <c r="A978" t="str">
        <f t="shared" si="16"/>
        <v xml:space="preserve">65507298252CETES 230601        </v>
      </c>
      <c r="B978" s="71">
        <v>65507298252</v>
      </c>
      <c r="C978" s="71" t="s">
        <v>763</v>
      </c>
      <c r="D978" s="71" t="s">
        <v>364</v>
      </c>
      <c r="E978" s="71" t="s">
        <v>623</v>
      </c>
      <c r="F978" s="71" t="s">
        <v>624</v>
      </c>
      <c r="G978" s="74">
        <v>15133840</v>
      </c>
      <c r="H978" s="72">
        <v>9.190137</v>
      </c>
      <c r="I978" s="73">
        <v>139082062.93608001</v>
      </c>
      <c r="J978" s="72">
        <v>8.1978244938435321</v>
      </c>
      <c r="K978" s="73">
        <v>15017498.698171001</v>
      </c>
      <c r="L978" s="74">
        <v>0</v>
      </c>
      <c r="M978" s="73">
        <v>0</v>
      </c>
      <c r="N978" s="74">
        <v>0</v>
      </c>
      <c r="O978" s="73">
        <v>0</v>
      </c>
      <c r="P978" s="74">
        <v>15133840</v>
      </c>
      <c r="Q978" s="73">
        <v>139082062.93608001</v>
      </c>
      <c r="R978" s="71" t="s">
        <v>625</v>
      </c>
      <c r="S978" s="71">
        <v>7414000005</v>
      </c>
      <c r="AB978"/>
      <c r="AC978"/>
    </row>
    <row r="979" spans="1:29" x14ac:dyDescent="0.25">
      <c r="A979" t="str">
        <f t="shared" si="16"/>
        <v xml:space="preserve">65507298252CETES 241003        </v>
      </c>
      <c r="B979" s="71">
        <v>65507298252</v>
      </c>
      <c r="C979" s="71" t="s">
        <v>763</v>
      </c>
      <c r="D979" s="71" t="s">
        <v>615</v>
      </c>
      <c r="E979" s="71" t="s">
        <v>623</v>
      </c>
      <c r="F979" s="71" t="s">
        <v>624</v>
      </c>
      <c r="G979" s="74">
        <v>2500000</v>
      </c>
      <c r="H979" s="72">
        <v>9.0839700000000008</v>
      </c>
      <c r="I979" s="73">
        <v>22709925</v>
      </c>
      <c r="J979" s="72">
        <v>8.9878796600000008</v>
      </c>
      <c r="K979" s="73">
        <v>240225.85</v>
      </c>
      <c r="L979" s="74">
        <v>0</v>
      </c>
      <c r="M979" s="73">
        <v>0</v>
      </c>
      <c r="N979" s="74">
        <v>0</v>
      </c>
      <c r="O979" s="73">
        <v>0</v>
      </c>
      <c r="P979" s="74">
        <v>2500000</v>
      </c>
      <c r="Q979" s="73">
        <v>22709925</v>
      </c>
      <c r="R979" s="71" t="s">
        <v>625</v>
      </c>
      <c r="S979" s="71">
        <v>7414000005</v>
      </c>
      <c r="AB979"/>
      <c r="AC979"/>
    </row>
    <row r="980" spans="1:29" x14ac:dyDescent="0.25">
      <c r="A980" t="str">
        <f t="shared" si="16"/>
        <v xml:space="preserve">65507298252CETES 250123        </v>
      </c>
      <c r="B980" s="71">
        <v>65507298252</v>
      </c>
      <c r="C980" s="71" t="s">
        <v>763</v>
      </c>
      <c r="D980" s="71" t="s">
        <v>554</v>
      </c>
      <c r="E980" s="71" t="s">
        <v>623</v>
      </c>
      <c r="F980" s="71" t="s">
        <v>624</v>
      </c>
      <c r="G980" s="74">
        <v>2829590</v>
      </c>
      <c r="H980" s="72">
        <v>8.3813510000000004</v>
      </c>
      <c r="I980" s="73">
        <v>23715786.976089999</v>
      </c>
      <c r="J980" s="72">
        <v>8.2842867899999995</v>
      </c>
      <c r="K980" s="73">
        <v>274651.91797389998</v>
      </c>
      <c r="L980" s="74">
        <v>0</v>
      </c>
      <c r="M980" s="73">
        <v>0</v>
      </c>
      <c r="N980" s="74">
        <v>0</v>
      </c>
      <c r="O980" s="73">
        <v>0</v>
      </c>
      <c r="P980" s="74">
        <v>2829590</v>
      </c>
      <c r="Q980" s="73">
        <v>23715786.976089999</v>
      </c>
      <c r="R980" s="71" t="s">
        <v>625</v>
      </c>
      <c r="S980" s="71">
        <v>7414000005</v>
      </c>
      <c r="AB980"/>
      <c r="AC980"/>
    </row>
    <row r="981" spans="1:29" x14ac:dyDescent="0.25">
      <c r="A981" t="str">
        <f t="shared" si="16"/>
        <v xml:space="preserve">65507298252CETES 250306        </v>
      </c>
      <c r="B981" s="71">
        <v>65507298252</v>
      </c>
      <c r="C981" s="71" t="s">
        <v>763</v>
      </c>
      <c r="D981" s="71" t="s">
        <v>424</v>
      </c>
      <c r="E981" s="71" t="s">
        <v>623</v>
      </c>
      <c r="F981" s="71" t="s">
        <v>624</v>
      </c>
      <c r="G981" s="74">
        <v>332340</v>
      </c>
      <c r="H981" s="72">
        <v>93.248425999999995</v>
      </c>
      <c r="I981" s="73">
        <v>30990181.896839999</v>
      </c>
      <c r="J981" s="72">
        <v>96.771887774684956</v>
      </c>
      <c r="K981" s="73">
        <v>-1170987.2861988</v>
      </c>
      <c r="L981" s="74">
        <v>0</v>
      </c>
      <c r="M981" s="73">
        <v>0</v>
      </c>
      <c r="N981" s="74">
        <v>0</v>
      </c>
      <c r="O981" s="73">
        <v>0</v>
      </c>
      <c r="P981" s="74">
        <v>332340</v>
      </c>
      <c r="Q981" s="73">
        <v>30990181.896839999</v>
      </c>
      <c r="R981" s="71" t="s">
        <v>625</v>
      </c>
      <c r="S981" s="71">
        <v>7414000005</v>
      </c>
      <c r="AB981"/>
      <c r="AC981"/>
    </row>
    <row r="982" spans="1:29" x14ac:dyDescent="0.25">
      <c r="A982" t="str">
        <f t="shared" si="16"/>
        <v xml:space="preserve">65507298252CETES 251224        </v>
      </c>
      <c r="B982" s="71">
        <v>65507298252</v>
      </c>
      <c r="C982" s="71" t="s">
        <v>763</v>
      </c>
      <c r="D982" s="71" t="s">
        <v>486</v>
      </c>
      <c r="E982" s="71" t="s">
        <v>623</v>
      </c>
      <c r="F982" s="71" t="s">
        <v>624</v>
      </c>
      <c r="G982" s="74">
        <v>289179</v>
      </c>
      <c r="H982" s="72">
        <v>89.923210999999995</v>
      </c>
      <c r="I982" s="73">
        <v>26003904.233769</v>
      </c>
      <c r="J982" s="72">
        <v>100.39498338</v>
      </c>
      <c r="K982" s="73">
        <v>-3028216.6650760202</v>
      </c>
      <c r="L982" s="74">
        <v>0</v>
      </c>
      <c r="M982" s="73">
        <v>0</v>
      </c>
      <c r="N982" s="74">
        <v>0</v>
      </c>
      <c r="O982" s="73">
        <v>0</v>
      </c>
      <c r="P982" s="74">
        <v>289179</v>
      </c>
      <c r="Q982" s="73">
        <v>26003904.233769</v>
      </c>
      <c r="R982" s="71" t="s">
        <v>625</v>
      </c>
      <c r="S982" s="71">
        <v>7414000005</v>
      </c>
      <c r="AB982"/>
      <c r="AC982"/>
    </row>
    <row r="983" spans="1:29" x14ac:dyDescent="0.25">
      <c r="A983" t="str">
        <f t="shared" si="16"/>
        <v xml:space="preserve">65507298252CFE 14-2            </v>
      </c>
      <c r="B983" s="71">
        <v>65507298252</v>
      </c>
      <c r="C983" s="71" t="s">
        <v>763</v>
      </c>
      <c r="D983" s="71" t="s">
        <v>487</v>
      </c>
      <c r="E983" s="71" t="s">
        <v>623</v>
      </c>
      <c r="F983" s="71" t="s">
        <v>624</v>
      </c>
      <c r="G983" s="74">
        <v>88561</v>
      </c>
      <c r="H983" s="72">
        <v>91.196223000000003</v>
      </c>
      <c r="I983" s="73">
        <v>8076428.7051029997</v>
      </c>
      <c r="J983" s="72">
        <v>103.24206287</v>
      </c>
      <c r="K983" s="73">
        <v>-1066791.6247270701</v>
      </c>
      <c r="L983" s="74">
        <v>0</v>
      </c>
      <c r="M983" s="73">
        <v>0</v>
      </c>
      <c r="N983" s="74">
        <v>0</v>
      </c>
      <c r="O983" s="73">
        <v>0</v>
      </c>
      <c r="P983" s="74">
        <v>88561</v>
      </c>
      <c r="Q983" s="73">
        <v>8076428.7051029997</v>
      </c>
      <c r="R983" s="71" t="s">
        <v>625</v>
      </c>
      <c r="S983" s="71">
        <v>7414000005</v>
      </c>
      <c r="AB983"/>
      <c r="AC983"/>
    </row>
    <row r="984" spans="1:29" x14ac:dyDescent="0.25">
      <c r="A984" t="str">
        <f t="shared" si="16"/>
        <v xml:space="preserve">65507298252CFE 17              </v>
      </c>
      <c r="B984" s="71">
        <v>65507298252</v>
      </c>
      <c r="C984" s="71" t="s">
        <v>763</v>
      </c>
      <c r="D984" s="71" t="s">
        <v>366</v>
      </c>
      <c r="E984" s="71" t="s">
        <v>623</v>
      </c>
      <c r="F984" s="71" t="s">
        <v>624</v>
      </c>
      <c r="G984" s="74">
        <v>0</v>
      </c>
      <c r="H984" s="72">
        <v>0</v>
      </c>
      <c r="I984" s="73">
        <v>70548482.469999999</v>
      </c>
      <c r="J984" s="72">
        <v>0</v>
      </c>
      <c r="K984" s="73">
        <v>0</v>
      </c>
      <c r="L984" s="74">
        <v>0</v>
      </c>
      <c r="M984" s="73">
        <v>0</v>
      </c>
      <c r="N984" s="74">
        <v>0</v>
      </c>
      <c r="O984" s="73">
        <v>0</v>
      </c>
      <c r="P984" s="74">
        <v>0</v>
      </c>
      <c r="Q984" s="73">
        <v>70548482.469999999</v>
      </c>
      <c r="R984" s="71" t="s">
        <v>625</v>
      </c>
      <c r="S984" s="71">
        <v>7414000005</v>
      </c>
      <c r="AB984"/>
      <c r="AC984"/>
    </row>
    <row r="985" spans="1:29" x14ac:dyDescent="0.25">
      <c r="A985" t="str">
        <f t="shared" si="16"/>
        <v xml:space="preserve">65507298252DANHOS 17           </v>
      </c>
      <c r="B985" s="71">
        <v>65507298252</v>
      </c>
      <c r="C985" s="71" t="s">
        <v>763</v>
      </c>
      <c r="D985" s="71" t="s">
        <v>488</v>
      </c>
      <c r="E985" s="71" t="s">
        <v>623</v>
      </c>
      <c r="F985" s="71" t="s">
        <v>624</v>
      </c>
      <c r="G985" s="74">
        <v>451511</v>
      </c>
      <c r="H985" s="72">
        <v>92.468708000000007</v>
      </c>
      <c r="I985" s="73">
        <v>41750638.817787997</v>
      </c>
      <c r="J985" s="72">
        <v>98.484768880000004</v>
      </c>
      <c r="K985" s="73">
        <v>-2716317.6639896799</v>
      </c>
      <c r="L985" s="74">
        <v>0</v>
      </c>
      <c r="M985" s="73">
        <v>0</v>
      </c>
      <c r="N985" s="74">
        <v>0</v>
      </c>
      <c r="O985" s="73">
        <v>0</v>
      </c>
      <c r="P985" s="74">
        <v>451511</v>
      </c>
      <c r="Q985" s="73">
        <v>41750638.817787997</v>
      </c>
      <c r="R985" s="71" t="s">
        <v>625</v>
      </c>
      <c r="S985" s="71">
        <v>7414000005</v>
      </c>
      <c r="AB985"/>
      <c r="AC985"/>
    </row>
    <row r="986" spans="1:29" x14ac:dyDescent="0.25">
      <c r="A986" t="str">
        <f t="shared" si="16"/>
        <v>65507298252EFECTIVO</v>
      </c>
      <c r="B986" s="71">
        <v>65507298252</v>
      </c>
      <c r="C986" s="71" t="s">
        <v>763</v>
      </c>
      <c r="D986" s="71" t="s">
        <v>489</v>
      </c>
      <c r="E986" s="71" t="s">
        <v>623</v>
      </c>
      <c r="F986" s="71" t="s">
        <v>624</v>
      </c>
      <c r="G986" s="74">
        <v>413372</v>
      </c>
      <c r="H986" s="72">
        <v>91.505291999999997</v>
      </c>
      <c r="I986" s="73">
        <v>37825725.564623997</v>
      </c>
      <c r="J986" s="72">
        <v>100.00000423</v>
      </c>
      <c r="K986" s="73">
        <v>-3511476.1839395599</v>
      </c>
      <c r="L986" s="74">
        <v>0</v>
      </c>
      <c r="M986" s="73">
        <v>0</v>
      </c>
      <c r="N986" s="74">
        <v>0</v>
      </c>
      <c r="O986" s="73">
        <v>0</v>
      </c>
      <c r="P986" s="74">
        <v>413372</v>
      </c>
      <c r="Q986" s="73">
        <v>37825725.564623997</v>
      </c>
      <c r="R986" s="71" t="s">
        <v>625</v>
      </c>
      <c r="S986" s="71">
        <v>7414000005</v>
      </c>
      <c r="AB986"/>
      <c r="AC986"/>
    </row>
    <row r="987" spans="1:29" x14ac:dyDescent="0.25">
      <c r="A987" t="str">
        <f t="shared" si="16"/>
        <v xml:space="preserve">65507298252FUNO 17             </v>
      </c>
      <c r="B987" s="71">
        <v>65507298252</v>
      </c>
      <c r="C987" s="71" t="s">
        <v>763</v>
      </c>
      <c r="D987" s="71" t="s">
        <v>380</v>
      </c>
      <c r="E987" s="71" t="s">
        <v>623</v>
      </c>
      <c r="F987" s="71" t="s">
        <v>624</v>
      </c>
      <c r="G987" s="74">
        <v>608050</v>
      </c>
      <c r="H987" s="72">
        <v>93.314192000000006</v>
      </c>
      <c r="I987" s="73">
        <v>56739694.445600003</v>
      </c>
      <c r="J987" s="72">
        <v>110.16760435222153</v>
      </c>
      <c r="K987" s="73">
        <v>-10247717.380768299</v>
      </c>
      <c r="L987" s="74">
        <v>0</v>
      </c>
      <c r="M987" s="73">
        <v>0</v>
      </c>
      <c r="N987" s="74">
        <v>0</v>
      </c>
      <c r="O987" s="73">
        <v>0</v>
      </c>
      <c r="P987" s="74">
        <v>608050</v>
      </c>
      <c r="Q987" s="73">
        <v>56739694.445600003</v>
      </c>
      <c r="R987" s="71" t="s">
        <v>625</v>
      </c>
      <c r="S987" s="71">
        <v>7414000005</v>
      </c>
      <c r="AB987"/>
      <c r="AC987"/>
    </row>
    <row r="988" spans="1:29" x14ac:dyDescent="0.25">
      <c r="A988" t="str">
        <f t="shared" si="16"/>
        <v xml:space="preserve">65507298252GMXT 17             </v>
      </c>
      <c r="B988" s="71">
        <v>65507298252</v>
      </c>
      <c r="C988" s="71" t="s">
        <v>763</v>
      </c>
      <c r="D988" s="71" t="s">
        <v>381</v>
      </c>
      <c r="E988" s="71" t="s">
        <v>623</v>
      </c>
      <c r="F988" s="71" t="s">
        <v>624</v>
      </c>
      <c r="G988" s="74">
        <v>3359452</v>
      </c>
      <c r="H988" s="72">
        <v>94.870157000000006</v>
      </c>
      <c r="I988" s="73">
        <v>318711738.67396402</v>
      </c>
      <c r="J988" s="72">
        <v>98.254289750684009</v>
      </c>
      <c r="K988" s="73">
        <v>-11368831.53755088</v>
      </c>
      <c r="L988" s="74">
        <v>0</v>
      </c>
      <c r="M988" s="73">
        <v>0</v>
      </c>
      <c r="N988" s="74">
        <v>0</v>
      </c>
      <c r="O988" s="73">
        <v>0</v>
      </c>
      <c r="P988" s="74">
        <v>3359452</v>
      </c>
      <c r="Q988" s="73">
        <v>318711738.67396402</v>
      </c>
      <c r="R988" s="71" t="s">
        <v>625</v>
      </c>
      <c r="S988" s="71">
        <v>7414000005</v>
      </c>
      <c r="AB988"/>
      <c r="AC988"/>
    </row>
    <row r="989" spans="1:29" x14ac:dyDescent="0.25">
      <c r="A989" t="str">
        <f t="shared" si="16"/>
        <v xml:space="preserve">65507298252GOBFED 270603       </v>
      </c>
      <c r="B989" s="71">
        <v>65507298252</v>
      </c>
      <c r="C989" s="71" t="s">
        <v>763</v>
      </c>
      <c r="D989" s="71" t="s">
        <v>382</v>
      </c>
      <c r="E989" s="71" t="s">
        <v>623</v>
      </c>
      <c r="F989" s="71" t="s">
        <v>624</v>
      </c>
      <c r="G989" s="74">
        <v>3987641</v>
      </c>
      <c r="H989" s="72">
        <v>89.489464999999996</v>
      </c>
      <c r="I989" s="73">
        <v>356851859.70206499</v>
      </c>
      <c r="J989" s="72">
        <v>91.739808376252356</v>
      </c>
      <c r="K989" s="73">
        <v>-8973561.5112223402</v>
      </c>
      <c r="L989" s="74">
        <v>0</v>
      </c>
      <c r="M989" s="73">
        <v>0</v>
      </c>
      <c r="N989" s="74">
        <v>0</v>
      </c>
      <c r="O989" s="73">
        <v>0</v>
      </c>
      <c r="P989" s="74">
        <v>3987641</v>
      </c>
      <c r="Q989" s="73">
        <v>356851859.70206499</v>
      </c>
      <c r="R989" s="71" t="s">
        <v>625</v>
      </c>
      <c r="S989" s="71">
        <v>7414000005</v>
      </c>
      <c r="AB989"/>
      <c r="AC989"/>
    </row>
    <row r="990" spans="1:29" x14ac:dyDescent="0.25">
      <c r="A990" t="str">
        <f t="shared" si="16"/>
        <v xml:space="preserve">65507298252GOBFED 290531       </v>
      </c>
      <c r="B990" s="71">
        <v>65507298252</v>
      </c>
      <c r="C990" s="71" t="s">
        <v>763</v>
      </c>
      <c r="D990" s="71" t="s">
        <v>383</v>
      </c>
      <c r="E990" s="71" t="s">
        <v>623</v>
      </c>
      <c r="F990" s="71" t="s">
        <v>624</v>
      </c>
      <c r="G990" s="74">
        <v>2950940</v>
      </c>
      <c r="H990" s="72">
        <v>86.197128000000006</v>
      </c>
      <c r="I990" s="73">
        <v>254362552.90031999</v>
      </c>
      <c r="J990" s="72">
        <v>90.365245438784896</v>
      </c>
      <c r="K990" s="73">
        <v>-12299864.474807899</v>
      </c>
      <c r="L990" s="74">
        <v>0</v>
      </c>
      <c r="M990" s="73">
        <v>0</v>
      </c>
      <c r="N990" s="74">
        <v>0</v>
      </c>
      <c r="O990" s="73">
        <v>0</v>
      </c>
      <c r="P990" s="74">
        <v>2950940</v>
      </c>
      <c r="Q990" s="73">
        <v>254362552.90031999</v>
      </c>
      <c r="R990" s="71" t="s">
        <v>625</v>
      </c>
      <c r="S990" s="71">
        <v>7414000005</v>
      </c>
      <c r="AB990"/>
      <c r="AC990"/>
    </row>
    <row r="991" spans="1:29" x14ac:dyDescent="0.25">
      <c r="A991" t="str">
        <f t="shared" si="16"/>
        <v xml:space="preserve">65507298252GOBFED 310529       </v>
      </c>
      <c r="B991" s="71">
        <v>65507298252</v>
      </c>
      <c r="C991" s="71" t="s">
        <v>763</v>
      </c>
      <c r="D991" s="71" t="s">
        <v>427</v>
      </c>
      <c r="E991" s="71" t="s">
        <v>623</v>
      </c>
      <c r="F991" s="71" t="s">
        <v>624</v>
      </c>
      <c r="G991" s="74">
        <v>455830</v>
      </c>
      <c r="H991" s="72">
        <v>86.469353999999996</v>
      </c>
      <c r="I991" s="73">
        <v>39415325.633819997</v>
      </c>
      <c r="J991" s="72">
        <v>89.838096089999993</v>
      </c>
      <c r="K991" s="73">
        <v>-1535573.7068847001</v>
      </c>
      <c r="L991" s="74">
        <v>0</v>
      </c>
      <c r="M991" s="73">
        <v>0</v>
      </c>
      <c r="N991" s="74">
        <v>0</v>
      </c>
      <c r="O991" s="73">
        <v>0</v>
      </c>
      <c r="P991" s="74">
        <v>455830</v>
      </c>
      <c r="Q991" s="73">
        <v>39415325.633819997</v>
      </c>
      <c r="R991" s="71" t="s">
        <v>625</v>
      </c>
      <c r="S991" s="71">
        <v>7414000005</v>
      </c>
      <c r="AB991"/>
      <c r="AC991"/>
    </row>
    <row r="992" spans="1:29" x14ac:dyDescent="0.25">
      <c r="A992" t="str">
        <f t="shared" si="16"/>
        <v xml:space="preserve">65507298252GOBFED 330526       </v>
      </c>
      <c r="B992" s="71">
        <v>65507298252</v>
      </c>
      <c r="C992" s="71" t="s">
        <v>763</v>
      </c>
      <c r="D992" s="71" t="s">
        <v>490</v>
      </c>
      <c r="E992" s="71" t="s">
        <v>623</v>
      </c>
      <c r="F992" s="71" t="s">
        <v>624</v>
      </c>
      <c r="G992" s="74">
        <v>372066</v>
      </c>
      <c r="H992" s="72">
        <v>93.083737999999997</v>
      </c>
      <c r="I992" s="73">
        <v>34633294.062707998</v>
      </c>
      <c r="J992" s="72">
        <v>100</v>
      </c>
      <c r="K992" s="73">
        <v>-2573305.9372919998</v>
      </c>
      <c r="L992" s="74">
        <v>0</v>
      </c>
      <c r="M992" s="73">
        <v>0</v>
      </c>
      <c r="N992" s="74">
        <v>0</v>
      </c>
      <c r="O992" s="73">
        <v>0</v>
      </c>
      <c r="P992" s="74">
        <v>372066</v>
      </c>
      <c r="Q992" s="73">
        <v>34633294.062707998</v>
      </c>
      <c r="R992" s="71" t="s">
        <v>625</v>
      </c>
      <c r="S992" s="71">
        <v>7414000005</v>
      </c>
      <c r="AB992"/>
      <c r="AC992"/>
    </row>
    <row r="993" spans="1:29" x14ac:dyDescent="0.25">
      <c r="A993" t="str">
        <f t="shared" si="16"/>
        <v xml:space="preserve">65507298252GOBFED 341123       </v>
      </c>
      <c r="B993" s="71">
        <v>65507298252</v>
      </c>
      <c r="C993" s="71" t="s">
        <v>763</v>
      </c>
      <c r="D993" s="71" t="s">
        <v>491</v>
      </c>
      <c r="E993" s="71" t="s">
        <v>623</v>
      </c>
      <c r="F993" s="71" t="s">
        <v>624</v>
      </c>
      <c r="G993" s="74">
        <v>186033</v>
      </c>
      <c r="H993" s="72">
        <v>92.321154000000007</v>
      </c>
      <c r="I993" s="73">
        <v>17174781.242082</v>
      </c>
      <c r="J993" s="72">
        <v>100</v>
      </c>
      <c r="K993" s="73">
        <v>-1428518.757918</v>
      </c>
      <c r="L993" s="74">
        <v>0</v>
      </c>
      <c r="M993" s="73">
        <v>0</v>
      </c>
      <c r="N993" s="74">
        <v>0</v>
      </c>
      <c r="O993" s="73">
        <v>0</v>
      </c>
      <c r="P993" s="74">
        <v>186033</v>
      </c>
      <c r="Q993" s="73">
        <v>17174781.242082</v>
      </c>
      <c r="R993" s="71" t="s">
        <v>625</v>
      </c>
      <c r="S993" s="71">
        <v>7414000005</v>
      </c>
      <c r="AB993"/>
      <c r="AC993"/>
    </row>
    <row r="994" spans="1:29" x14ac:dyDescent="0.25">
      <c r="A994" t="str">
        <f t="shared" si="16"/>
        <v xml:space="preserve">65507298252HSBC 17-2           </v>
      </c>
      <c r="B994" s="71">
        <v>65507298252</v>
      </c>
      <c r="C994" s="71" t="s">
        <v>763</v>
      </c>
      <c r="D994" s="71" t="s">
        <v>429</v>
      </c>
      <c r="E994" s="71" t="s">
        <v>623</v>
      </c>
      <c r="F994" s="71" t="s">
        <v>624</v>
      </c>
      <c r="G994" s="74">
        <v>957110</v>
      </c>
      <c r="H994" s="72">
        <v>98.007834000000003</v>
      </c>
      <c r="I994" s="73">
        <v>93804277.999740005</v>
      </c>
      <c r="J994" s="72">
        <v>92.201123724699144</v>
      </c>
      <c r="K994" s="73">
        <v>5557660.4715932002</v>
      </c>
      <c r="L994" s="74">
        <v>0</v>
      </c>
      <c r="M994" s="73">
        <v>0</v>
      </c>
      <c r="N994" s="74">
        <v>0</v>
      </c>
      <c r="O994" s="73">
        <v>0</v>
      </c>
      <c r="P994" s="74">
        <v>957110</v>
      </c>
      <c r="Q994" s="73">
        <v>93804277.999740005</v>
      </c>
      <c r="R994" s="71" t="s">
        <v>625</v>
      </c>
      <c r="S994" s="71">
        <v>7414000005</v>
      </c>
      <c r="AB994"/>
      <c r="AC994"/>
    </row>
    <row r="995" spans="1:29" x14ac:dyDescent="0.25">
      <c r="A995" t="str">
        <f t="shared" si="16"/>
        <v xml:space="preserve">65507298252LALA 18             </v>
      </c>
      <c r="B995" s="71">
        <v>65507298252</v>
      </c>
      <c r="C995" s="71" t="s">
        <v>763</v>
      </c>
      <c r="D995" s="71" t="s">
        <v>492</v>
      </c>
      <c r="E995" s="71" t="s">
        <v>623</v>
      </c>
      <c r="F995" s="71" t="s">
        <v>624</v>
      </c>
      <c r="G995" s="74">
        <v>161365</v>
      </c>
      <c r="H995" s="72">
        <v>80.194873000000001</v>
      </c>
      <c r="I995" s="73">
        <v>12940645.681645</v>
      </c>
      <c r="J995" s="72">
        <v>97.241272269999996</v>
      </c>
      <c r="K995" s="73">
        <v>-2750692.2182035502</v>
      </c>
      <c r="L995" s="74">
        <v>0</v>
      </c>
      <c r="M995" s="73">
        <v>0</v>
      </c>
      <c r="N995" s="74">
        <v>0</v>
      </c>
      <c r="O995" s="73">
        <v>0</v>
      </c>
      <c r="P995" s="74">
        <v>161365</v>
      </c>
      <c r="Q995" s="73">
        <v>12940645.681645</v>
      </c>
      <c r="R995" s="71" t="s">
        <v>625</v>
      </c>
      <c r="S995" s="71">
        <v>7414000005</v>
      </c>
      <c r="AB995"/>
      <c r="AC995"/>
    </row>
    <row r="996" spans="1:29" x14ac:dyDescent="0.25">
      <c r="A996" t="str">
        <f t="shared" si="16"/>
        <v xml:space="preserve">65507298252PEMEX 13-2          </v>
      </c>
      <c r="B996" s="71">
        <v>65507298252</v>
      </c>
      <c r="C996" s="71" t="s">
        <v>763</v>
      </c>
      <c r="D996" s="71" t="s">
        <v>391</v>
      </c>
      <c r="E996" s="71" t="s">
        <v>623</v>
      </c>
      <c r="F996" s="71" t="s">
        <v>624</v>
      </c>
      <c r="G996" s="74">
        <v>96866</v>
      </c>
      <c r="H996" s="72">
        <v>775.69178699999998</v>
      </c>
      <c r="I996" s="73">
        <v>75138160.639541999</v>
      </c>
      <c r="J996" s="72">
        <v>700.92797722962575</v>
      </c>
      <c r="K996" s="73">
        <v>7242071.1972170696</v>
      </c>
      <c r="L996" s="74">
        <v>0</v>
      </c>
      <c r="M996" s="73">
        <v>0</v>
      </c>
      <c r="N996" s="74">
        <v>0</v>
      </c>
      <c r="O996" s="73">
        <v>0</v>
      </c>
      <c r="P996" s="74">
        <v>96866</v>
      </c>
      <c r="Q996" s="73">
        <v>75138160.639541999</v>
      </c>
      <c r="R996" s="71" t="s">
        <v>625</v>
      </c>
      <c r="S996" s="71">
        <v>7414000005</v>
      </c>
      <c r="AB996"/>
      <c r="AC996"/>
    </row>
    <row r="997" spans="1:29" x14ac:dyDescent="0.25">
      <c r="A997" t="str">
        <f t="shared" si="16"/>
        <v xml:space="preserve">65507298252TELMEX 07           </v>
      </c>
      <c r="B997" s="71">
        <v>65507298252</v>
      </c>
      <c r="C997" s="71" t="s">
        <v>763</v>
      </c>
      <c r="D997" s="71" t="s">
        <v>393</v>
      </c>
      <c r="E997" s="71" t="s">
        <v>623</v>
      </c>
      <c r="F997" s="71" t="s">
        <v>624</v>
      </c>
      <c r="G997" s="74">
        <v>315757</v>
      </c>
      <c r="H997" s="72">
        <v>765.92388300000005</v>
      </c>
      <c r="I997" s="73">
        <v>241845827.52443099</v>
      </c>
      <c r="J997" s="72">
        <v>720.84939207989862</v>
      </c>
      <c r="K997" s="73">
        <v>14232586.029458441</v>
      </c>
      <c r="L997" s="74">
        <v>0</v>
      </c>
      <c r="M997" s="73">
        <v>0</v>
      </c>
      <c r="N997" s="74">
        <v>0</v>
      </c>
      <c r="O997" s="73">
        <v>0</v>
      </c>
      <c r="P997" s="74">
        <v>315757</v>
      </c>
      <c r="Q997" s="73">
        <v>241845827.52443099</v>
      </c>
      <c r="R997" s="71" t="s">
        <v>625</v>
      </c>
      <c r="S997" s="71">
        <v>7414000005</v>
      </c>
      <c r="AB997"/>
      <c r="AC997"/>
    </row>
    <row r="998" spans="1:29" x14ac:dyDescent="0.25">
      <c r="A998" t="str">
        <f t="shared" si="16"/>
        <v xml:space="preserve">65507298252UDIBONO 251204      </v>
      </c>
      <c r="B998" s="71">
        <v>65507298252</v>
      </c>
      <c r="C998" s="71" t="s">
        <v>763</v>
      </c>
      <c r="D998" s="71" t="s">
        <v>394</v>
      </c>
      <c r="E998" s="71" t="s">
        <v>623</v>
      </c>
      <c r="F998" s="71" t="s">
        <v>624</v>
      </c>
      <c r="G998" s="74">
        <v>1303272</v>
      </c>
      <c r="H998" s="72">
        <v>684.88915799999995</v>
      </c>
      <c r="I998" s="73">
        <v>892596862.72497594</v>
      </c>
      <c r="J998" s="72">
        <v>680.37312381453808</v>
      </c>
      <c r="K998" s="73">
        <v>5885620.9049553601</v>
      </c>
      <c r="L998" s="74">
        <v>0</v>
      </c>
      <c r="M998" s="73">
        <v>0</v>
      </c>
      <c r="N998" s="74">
        <v>0</v>
      </c>
      <c r="O998" s="73">
        <v>0</v>
      </c>
      <c r="P998" s="74">
        <v>1303272</v>
      </c>
      <c r="Q998" s="73">
        <v>892596862.72497594</v>
      </c>
      <c r="R998" s="71" t="s">
        <v>625</v>
      </c>
      <c r="S998" s="71">
        <v>7414000005</v>
      </c>
      <c r="AB998"/>
      <c r="AC998"/>
    </row>
    <row r="999" spans="1:29" x14ac:dyDescent="0.25">
      <c r="A999" t="str">
        <f t="shared" si="16"/>
        <v xml:space="preserve">65507298252UDIBONO 281130      </v>
      </c>
      <c r="B999" s="71">
        <v>65507430562</v>
      </c>
      <c r="C999" s="71" t="s">
        <v>764</v>
      </c>
      <c r="D999" s="71" t="s">
        <v>389</v>
      </c>
      <c r="E999" s="71" t="s">
        <v>623</v>
      </c>
      <c r="F999" s="71" t="s">
        <v>624</v>
      </c>
      <c r="G999" s="74">
        <v>64582159</v>
      </c>
      <c r="H999" s="72">
        <v>3.3967719999999999</v>
      </c>
      <c r="I999" s="73">
        <v>219370869.39074799</v>
      </c>
      <c r="J999" s="72">
        <v>3.3099701106307085</v>
      </c>
      <c r="K999" s="73">
        <v>5605853.420748</v>
      </c>
      <c r="L999" s="74">
        <v>0</v>
      </c>
      <c r="M999" s="73">
        <v>0</v>
      </c>
      <c r="N999" s="74">
        <v>0</v>
      </c>
      <c r="O999" s="73">
        <v>0</v>
      </c>
      <c r="P999" s="74">
        <v>64582159</v>
      </c>
      <c r="Q999" s="73">
        <v>219370869.39074799</v>
      </c>
      <c r="R999" s="71" t="s">
        <v>625</v>
      </c>
      <c r="S999" s="71">
        <v>7414000005</v>
      </c>
      <c r="AB999"/>
      <c r="AC999"/>
    </row>
    <row r="1000" spans="1:29" x14ac:dyDescent="0.25">
      <c r="A1000" t="str">
        <f t="shared" si="16"/>
        <v xml:space="preserve">65507298252UDIBONO 311127      </v>
      </c>
      <c r="B1000" s="71">
        <v>65507504761</v>
      </c>
      <c r="C1000" s="71" t="s">
        <v>760</v>
      </c>
      <c r="D1000" s="71" t="s">
        <v>493</v>
      </c>
      <c r="E1000" s="71" t="s">
        <v>623</v>
      </c>
      <c r="F1000" s="71" t="s">
        <v>624</v>
      </c>
      <c r="G1000" s="74">
        <v>130000</v>
      </c>
      <c r="H1000" s="72">
        <v>2.9440539999999999</v>
      </c>
      <c r="I1000" s="73">
        <v>382727.02</v>
      </c>
      <c r="J1000" s="72">
        <v>3.0539399999999999</v>
      </c>
      <c r="K1000" s="73">
        <v>-14285.18</v>
      </c>
      <c r="L1000" s="74">
        <v>0</v>
      </c>
      <c r="M1000" s="73">
        <v>0</v>
      </c>
      <c r="N1000" s="74">
        <v>0</v>
      </c>
      <c r="O1000" s="73">
        <v>0</v>
      </c>
      <c r="P1000" s="74">
        <v>130000</v>
      </c>
      <c r="Q1000" s="73">
        <v>382727.02</v>
      </c>
      <c r="R1000" s="71" t="s">
        <v>625</v>
      </c>
      <c r="S1000" s="71">
        <v>7414000005</v>
      </c>
      <c r="AB1000"/>
      <c r="AC1000"/>
    </row>
    <row r="1001" spans="1:29" x14ac:dyDescent="0.25">
      <c r="A1001" t="str">
        <f t="shared" si="16"/>
        <v xml:space="preserve">65507430562STERGOB ED          </v>
      </c>
      <c r="B1001" s="71">
        <v>65507504761</v>
      </c>
      <c r="C1001" s="71" t="s">
        <v>760</v>
      </c>
      <c r="D1001" s="71" t="s">
        <v>459</v>
      </c>
      <c r="E1001" s="71" t="s">
        <v>623</v>
      </c>
      <c r="F1001" s="71" t="s">
        <v>624</v>
      </c>
      <c r="G1001" s="74">
        <v>532955</v>
      </c>
      <c r="H1001" s="72">
        <v>4.5848760000000004</v>
      </c>
      <c r="I1001" s="73">
        <v>2443532.5885800002</v>
      </c>
      <c r="J1001" s="72">
        <v>4.5043092193524785</v>
      </c>
      <c r="K1001" s="73">
        <v>42938.468580000001</v>
      </c>
      <c r="L1001" s="74">
        <v>0</v>
      </c>
      <c r="M1001" s="73">
        <v>0</v>
      </c>
      <c r="N1001" s="74">
        <v>0</v>
      </c>
      <c r="O1001" s="73">
        <v>0</v>
      </c>
      <c r="P1001" s="74">
        <v>532955</v>
      </c>
      <c r="Q1001" s="73">
        <v>2443532.5885800002</v>
      </c>
      <c r="R1001" s="71" t="s">
        <v>625</v>
      </c>
      <c r="S1001" s="71">
        <v>7414000005</v>
      </c>
      <c r="AB1001"/>
      <c r="AC1001"/>
    </row>
    <row r="1002" spans="1:29" x14ac:dyDescent="0.25">
      <c r="A1002" t="str">
        <f t="shared" si="16"/>
        <v xml:space="preserve">65507504761METROCB 07          </v>
      </c>
      <c r="B1002" s="71">
        <v>65507504761</v>
      </c>
      <c r="C1002" s="71" t="s">
        <v>760</v>
      </c>
      <c r="D1002" s="71" t="s">
        <v>389</v>
      </c>
      <c r="E1002" s="71" t="s">
        <v>623</v>
      </c>
      <c r="F1002" s="71" t="s">
        <v>624</v>
      </c>
      <c r="G1002" s="74">
        <v>1432577</v>
      </c>
      <c r="H1002" s="72">
        <v>3.3967719999999999</v>
      </c>
      <c r="I1002" s="73">
        <v>4866137.4414440002</v>
      </c>
      <c r="J1002" s="72">
        <v>3.3318918634042012</v>
      </c>
      <c r="K1002" s="73">
        <v>92945.791444000002</v>
      </c>
      <c r="L1002" s="74">
        <v>0</v>
      </c>
      <c r="M1002" s="73">
        <v>0</v>
      </c>
      <c r="N1002" s="74">
        <v>0</v>
      </c>
      <c r="O1002" s="73">
        <v>0</v>
      </c>
      <c r="P1002" s="74">
        <v>1432577</v>
      </c>
      <c r="Q1002" s="73">
        <v>4866137.4414440002</v>
      </c>
      <c r="R1002" s="71" t="s">
        <v>625</v>
      </c>
      <c r="S1002" s="71">
        <v>7414000005</v>
      </c>
      <c r="AB1002"/>
      <c r="AC1002"/>
    </row>
    <row r="1003" spans="1:29" x14ac:dyDescent="0.25">
      <c r="A1003" t="str">
        <f t="shared" si="16"/>
        <v xml:space="preserve">65507504761STER-OP ED          </v>
      </c>
      <c r="B1003" s="71">
        <v>65507504761</v>
      </c>
      <c r="C1003" s="71" t="s">
        <v>760</v>
      </c>
      <c r="D1003" s="71" t="s">
        <v>407</v>
      </c>
      <c r="E1003" s="71" t="s">
        <v>623</v>
      </c>
      <c r="F1003" s="71" t="s">
        <v>624</v>
      </c>
      <c r="G1003" s="74">
        <v>4983656</v>
      </c>
      <c r="H1003" s="72">
        <v>2.7668819999999998</v>
      </c>
      <c r="I1003" s="73">
        <v>13789188.080592001</v>
      </c>
      <c r="J1003" s="72">
        <v>2.7844124775064731</v>
      </c>
      <c r="K1003" s="73">
        <v>-87365.869407999999</v>
      </c>
      <c r="L1003" s="74">
        <v>0</v>
      </c>
      <c r="M1003" s="73">
        <v>0</v>
      </c>
      <c r="N1003" s="74">
        <v>0</v>
      </c>
      <c r="O1003" s="73">
        <v>0</v>
      </c>
      <c r="P1003" s="74">
        <v>4983656</v>
      </c>
      <c r="Q1003" s="73">
        <v>13789188.080592001</v>
      </c>
      <c r="R1003" s="71" t="s">
        <v>625</v>
      </c>
      <c r="S1003" s="71">
        <v>7414000005</v>
      </c>
      <c r="AB1003"/>
      <c r="AC1003"/>
    </row>
    <row r="1004" spans="1:29" x14ac:dyDescent="0.25">
      <c r="A1004" t="str">
        <f t="shared" si="16"/>
        <v xml:space="preserve">65507504761STERGOB ED          </v>
      </c>
      <c r="B1004" s="71">
        <v>65507528155</v>
      </c>
      <c r="C1004" s="71" t="s">
        <v>760</v>
      </c>
      <c r="D1004" s="71" t="s">
        <v>459</v>
      </c>
      <c r="E1004" s="71" t="s">
        <v>623</v>
      </c>
      <c r="F1004" s="71" t="s">
        <v>624</v>
      </c>
      <c r="G1004" s="74">
        <v>285498</v>
      </c>
      <c r="H1004" s="72">
        <v>4.5848760000000004</v>
      </c>
      <c r="I1004" s="73">
        <v>1308972.9282480001</v>
      </c>
      <c r="J1004" s="72">
        <v>4.4467832699353407</v>
      </c>
      <c r="K1004" s="73">
        <v>39425.198248000001</v>
      </c>
      <c r="L1004" s="74">
        <v>0</v>
      </c>
      <c r="M1004" s="73">
        <v>0</v>
      </c>
      <c r="N1004" s="74">
        <v>0</v>
      </c>
      <c r="O1004" s="73">
        <v>0</v>
      </c>
      <c r="P1004" s="74">
        <v>285498</v>
      </c>
      <c r="Q1004" s="73">
        <v>1308972.9282480001</v>
      </c>
      <c r="R1004" s="71" t="s">
        <v>625</v>
      </c>
      <c r="S1004" s="71">
        <v>7414000005</v>
      </c>
      <c r="AB1004"/>
      <c r="AC1004"/>
    </row>
    <row r="1005" spans="1:29" x14ac:dyDescent="0.25">
      <c r="A1005" t="str">
        <f t="shared" si="16"/>
        <v xml:space="preserve">65507504761SVIVE60 ED          </v>
      </c>
      <c r="B1005" s="71">
        <v>65507528155</v>
      </c>
      <c r="C1005" s="71" t="s">
        <v>760</v>
      </c>
      <c r="D1005" s="71" t="s">
        <v>389</v>
      </c>
      <c r="E1005" s="71" t="s">
        <v>623</v>
      </c>
      <c r="F1005" s="71" t="s">
        <v>624</v>
      </c>
      <c r="G1005" s="74">
        <v>827180</v>
      </c>
      <c r="H1005" s="72">
        <v>3.3967719999999999</v>
      </c>
      <c r="I1005" s="73">
        <v>2809741.8629600001</v>
      </c>
      <c r="J1005" s="72">
        <v>3.3318899030440776</v>
      </c>
      <c r="K1005" s="73">
        <v>53669.172960000004</v>
      </c>
      <c r="L1005" s="74">
        <v>0</v>
      </c>
      <c r="M1005" s="73">
        <v>0</v>
      </c>
      <c r="N1005" s="74">
        <v>0</v>
      </c>
      <c r="O1005" s="73">
        <v>0</v>
      </c>
      <c r="P1005" s="74">
        <v>827180</v>
      </c>
      <c r="Q1005" s="73">
        <v>2809741.8629600001</v>
      </c>
      <c r="R1005" s="71" t="s">
        <v>625</v>
      </c>
      <c r="S1005" s="71">
        <v>7414000005</v>
      </c>
      <c r="AB1005"/>
      <c r="AC1005"/>
    </row>
    <row r="1006" spans="1:29" x14ac:dyDescent="0.25">
      <c r="A1006" t="str">
        <f t="shared" si="16"/>
        <v xml:space="preserve">65507528155STER-OP ED          </v>
      </c>
      <c r="B1006" s="71">
        <v>65507528155</v>
      </c>
      <c r="C1006" s="71" t="s">
        <v>760</v>
      </c>
      <c r="D1006" s="71" t="s">
        <v>407</v>
      </c>
      <c r="E1006" s="71" t="s">
        <v>623</v>
      </c>
      <c r="F1006" s="71" t="s">
        <v>624</v>
      </c>
      <c r="G1006" s="74">
        <v>2667938</v>
      </c>
      <c r="H1006" s="72">
        <v>2.7668819999999998</v>
      </c>
      <c r="I1006" s="73">
        <v>7381869.6293160003</v>
      </c>
      <c r="J1006" s="72">
        <v>2.753500643568179</v>
      </c>
      <c r="K1006" s="73">
        <v>35700.629315999999</v>
      </c>
      <c r="L1006" s="74">
        <v>0</v>
      </c>
      <c r="M1006" s="73">
        <v>0</v>
      </c>
      <c r="N1006" s="74">
        <v>0</v>
      </c>
      <c r="O1006" s="73">
        <v>0</v>
      </c>
      <c r="P1006" s="74">
        <v>2667938</v>
      </c>
      <c r="Q1006" s="73">
        <v>7381869.6293160003</v>
      </c>
      <c r="R1006" s="71" t="s">
        <v>625</v>
      </c>
      <c r="S1006" s="71">
        <v>7414000005</v>
      </c>
      <c r="AB1006"/>
      <c r="AC1006"/>
    </row>
    <row r="1007" spans="1:29" x14ac:dyDescent="0.25">
      <c r="A1007" t="str">
        <f t="shared" si="16"/>
        <v xml:space="preserve">65507528155STERGOB ED          </v>
      </c>
      <c r="B1007" s="71">
        <v>65507528400</v>
      </c>
      <c r="C1007" s="71" t="s">
        <v>760</v>
      </c>
      <c r="D1007" s="71" t="s">
        <v>459</v>
      </c>
      <c r="E1007" s="71" t="s">
        <v>623</v>
      </c>
      <c r="F1007" s="71" t="s">
        <v>624</v>
      </c>
      <c r="G1007" s="74">
        <v>2802321</v>
      </c>
      <c r="H1007" s="72">
        <v>4.5848760000000004</v>
      </c>
      <c r="I1007" s="73">
        <v>12848294.297196001</v>
      </c>
      <c r="J1007" s="72">
        <v>3.8009839343886727</v>
      </c>
      <c r="K1007" s="73">
        <v>2196717.1971959998</v>
      </c>
      <c r="L1007" s="74">
        <v>0</v>
      </c>
      <c r="M1007" s="73">
        <v>0</v>
      </c>
      <c r="N1007" s="74">
        <v>0</v>
      </c>
      <c r="O1007" s="73">
        <v>0</v>
      </c>
      <c r="P1007" s="74">
        <v>2802321</v>
      </c>
      <c r="Q1007" s="73">
        <v>12848294.297196001</v>
      </c>
      <c r="R1007" s="71" t="s">
        <v>625</v>
      </c>
      <c r="S1007" s="71">
        <v>7414000005</v>
      </c>
      <c r="AB1007"/>
      <c r="AC1007"/>
    </row>
    <row r="1008" spans="1:29" x14ac:dyDescent="0.25">
      <c r="A1008" t="str">
        <f t="shared" si="16"/>
        <v xml:space="preserve">65507528155SVIVE60 ED          </v>
      </c>
      <c r="B1008" s="71">
        <v>65507528400</v>
      </c>
      <c r="C1008" s="71" t="s">
        <v>760</v>
      </c>
      <c r="D1008" s="71" t="s">
        <v>389</v>
      </c>
      <c r="E1008" s="71" t="s">
        <v>623</v>
      </c>
      <c r="F1008" s="71" t="s">
        <v>624</v>
      </c>
      <c r="G1008" s="74">
        <v>7999846</v>
      </c>
      <c r="H1008" s="72">
        <v>3.3967719999999999</v>
      </c>
      <c r="I1008" s="73">
        <v>27173652.897112001</v>
      </c>
      <c r="J1008" s="72">
        <v>3.0149077419740329</v>
      </c>
      <c r="K1008" s="73">
        <v>3054855.2571120001</v>
      </c>
      <c r="L1008" s="74">
        <v>0</v>
      </c>
      <c r="M1008" s="73">
        <v>0</v>
      </c>
      <c r="N1008" s="74">
        <v>0</v>
      </c>
      <c r="O1008" s="73">
        <v>0</v>
      </c>
      <c r="P1008" s="74">
        <v>7999846</v>
      </c>
      <c r="Q1008" s="73">
        <v>27173652.897112001</v>
      </c>
      <c r="R1008" s="71" t="s">
        <v>625</v>
      </c>
      <c r="S1008" s="71">
        <v>7414000005</v>
      </c>
      <c r="AB1008"/>
      <c r="AC1008"/>
    </row>
    <row r="1009" spans="1:29" x14ac:dyDescent="0.25">
      <c r="A1009" t="str">
        <f t="shared" si="16"/>
        <v xml:space="preserve">65507528400STER-OP ED          </v>
      </c>
      <c r="B1009" s="71">
        <v>65507528400</v>
      </c>
      <c r="C1009" s="71" t="s">
        <v>760</v>
      </c>
      <c r="D1009" s="71" t="s">
        <v>407</v>
      </c>
      <c r="E1009" s="71" t="s">
        <v>623</v>
      </c>
      <c r="F1009" s="71" t="s">
        <v>624</v>
      </c>
      <c r="G1009" s="74">
        <v>26007587</v>
      </c>
      <c r="H1009" s="72">
        <v>2.7668819999999998</v>
      </c>
      <c r="I1009" s="73">
        <v>71959924.333734006</v>
      </c>
      <c r="J1009" s="72">
        <v>2.3800462268952516</v>
      </c>
      <c r="K1009" s="73">
        <v>10060665.023734</v>
      </c>
      <c r="L1009" s="74">
        <v>0</v>
      </c>
      <c r="M1009" s="73">
        <v>0</v>
      </c>
      <c r="N1009" s="74">
        <v>0</v>
      </c>
      <c r="O1009" s="73">
        <v>0</v>
      </c>
      <c r="P1009" s="74">
        <v>26007587</v>
      </c>
      <c r="Q1009" s="73">
        <v>71959924.333734006</v>
      </c>
      <c r="R1009" s="71" t="s">
        <v>625</v>
      </c>
      <c r="S1009" s="71">
        <v>7414000005</v>
      </c>
      <c r="AB1009"/>
      <c r="AC1009"/>
    </row>
    <row r="1010" spans="1:29" x14ac:dyDescent="0.25">
      <c r="A1010" t="str">
        <f t="shared" si="16"/>
        <v xml:space="preserve">65507528400STERGOB ED          </v>
      </c>
      <c r="B1010" s="71">
        <v>65507671187</v>
      </c>
      <c r="C1010" s="71" t="s">
        <v>760</v>
      </c>
      <c r="D1010" s="71" t="s">
        <v>459</v>
      </c>
      <c r="E1010" s="71" t="s">
        <v>623</v>
      </c>
      <c r="F1010" s="71" t="s">
        <v>624</v>
      </c>
      <c r="G1010" s="74">
        <v>1387386</v>
      </c>
      <c r="H1010" s="72">
        <v>4.5848760000000004</v>
      </c>
      <c r="I1010" s="73">
        <v>6360992.7741360003</v>
      </c>
      <c r="J1010" s="72">
        <v>3.7480388010258139</v>
      </c>
      <c r="K1010" s="73">
        <v>1161016.214136</v>
      </c>
      <c r="L1010" s="74">
        <v>0</v>
      </c>
      <c r="M1010" s="73">
        <v>0</v>
      </c>
      <c r="N1010" s="74">
        <v>0</v>
      </c>
      <c r="O1010" s="73">
        <v>0</v>
      </c>
      <c r="P1010" s="74">
        <v>1387386</v>
      </c>
      <c r="Q1010" s="73">
        <v>6360992.7741360003</v>
      </c>
      <c r="R1010" s="71" t="s">
        <v>625</v>
      </c>
      <c r="S1010" s="71">
        <v>7414000005</v>
      </c>
      <c r="AB1010"/>
      <c r="AC1010"/>
    </row>
    <row r="1011" spans="1:29" x14ac:dyDescent="0.25">
      <c r="A1011" t="str">
        <f t="shared" si="16"/>
        <v xml:space="preserve">65507528400SVIVE60 ED          </v>
      </c>
      <c r="B1011" s="71">
        <v>65507671187</v>
      </c>
      <c r="C1011" s="71" t="s">
        <v>760</v>
      </c>
      <c r="D1011" s="71" t="s">
        <v>389</v>
      </c>
      <c r="E1011" s="71" t="s">
        <v>623</v>
      </c>
      <c r="F1011" s="71" t="s">
        <v>624</v>
      </c>
      <c r="G1011" s="74">
        <v>3959730</v>
      </c>
      <c r="H1011" s="72">
        <v>3.3967719999999999</v>
      </c>
      <c r="I1011" s="73">
        <v>13450299.991560001</v>
      </c>
      <c r="J1011" s="72">
        <v>2.9583808618264378</v>
      </c>
      <c r="K1011" s="73">
        <v>1735910.54156</v>
      </c>
      <c r="L1011" s="74">
        <v>0</v>
      </c>
      <c r="M1011" s="73">
        <v>0</v>
      </c>
      <c r="N1011" s="74">
        <v>0</v>
      </c>
      <c r="O1011" s="73">
        <v>0</v>
      </c>
      <c r="P1011" s="74">
        <v>3959730</v>
      </c>
      <c r="Q1011" s="73">
        <v>13450299.991560001</v>
      </c>
      <c r="R1011" s="71" t="s">
        <v>625</v>
      </c>
      <c r="S1011" s="71">
        <v>7414000005</v>
      </c>
      <c r="AB1011"/>
      <c r="AC1011"/>
    </row>
    <row r="1012" spans="1:29" x14ac:dyDescent="0.25">
      <c r="A1012" t="str">
        <f t="shared" si="16"/>
        <v xml:space="preserve">65507671187STER-OP ED          </v>
      </c>
      <c r="B1012" s="71">
        <v>65507671187</v>
      </c>
      <c r="C1012" s="71" t="s">
        <v>760</v>
      </c>
      <c r="D1012" s="71" t="s">
        <v>407</v>
      </c>
      <c r="E1012" s="71" t="s">
        <v>623</v>
      </c>
      <c r="F1012" s="71" t="s">
        <v>624</v>
      </c>
      <c r="G1012" s="74">
        <v>12874573</v>
      </c>
      <c r="H1012" s="72">
        <v>2.7668819999999998</v>
      </c>
      <c r="I1012" s="73">
        <v>35622424.291386001</v>
      </c>
      <c r="J1012" s="72">
        <v>2.3518498330002866</v>
      </c>
      <c r="K1012" s="73">
        <v>5343361.9313859995</v>
      </c>
      <c r="L1012" s="74">
        <v>0</v>
      </c>
      <c r="M1012" s="73">
        <v>0</v>
      </c>
      <c r="N1012" s="74">
        <v>0</v>
      </c>
      <c r="O1012" s="73">
        <v>0</v>
      </c>
      <c r="P1012" s="74">
        <v>12874573</v>
      </c>
      <c r="Q1012" s="73">
        <v>35622424.291386001</v>
      </c>
      <c r="R1012" s="71" t="s">
        <v>625</v>
      </c>
      <c r="S1012" s="71">
        <v>7414000005</v>
      </c>
      <c r="AB1012"/>
      <c r="AC1012"/>
    </row>
    <row r="1013" spans="1:29" x14ac:dyDescent="0.25">
      <c r="A1013" t="str">
        <f t="shared" si="16"/>
        <v xml:space="preserve">65507671187STERGOB ED          </v>
      </c>
      <c r="B1013" s="71">
        <v>65507684270</v>
      </c>
      <c r="C1013" s="71" t="s">
        <v>760</v>
      </c>
      <c r="D1013" s="71" t="s">
        <v>459</v>
      </c>
      <c r="E1013" s="71" t="s">
        <v>623</v>
      </c>
      <c r="F1013" s="71" t="s">
        <v>624</v>
      </c>
      <c r="G1013" s="74">
        <v>1831441</v>
      </c>
      <c r="H1013" s="72">
        <v>4.5848760000000004</v>
      </c>
      <c r="I1013" s="73">
        <v>8396929.8863159996</v>
      </c>
      <c r="J1013" s="72">
        <v>4.3415386736455064</v>
      </c>
      <c r="K1013" s="73">
        <v>445657.95631600003</v>
      </c>
      <c r="L1013" s="74">
        <v>0</v>
      </c>
      <c r="M1013" s="73">
        <v>0</v>
      </c>
      <c r="N1013" s="74">
        <v>0</v>
      </c>
      <c r="O1013" s="73">
        <v>0</v>
      </c>
      <c r="P1013" s="74">
        <v>1831441</v>
      </c>
      <c r="Q1013" s="73">
        <v>8396929.8863159996</v>
      </c>
      <c r="R1013" s="71" t="s">
        <v>625</v>
      </c>
      <c r="S1013" s="71">
        <v>7414000005</v>
      </c>
      <c r="AB1013"/>
      <c r="AC1013"/>
    </row>
    <row r="1014" spans="1:29" x14ac:dyDescent="0.25">
      <c r="A1014" t="str">
        <f t="shared" si="16"/>
        <v xml:space="preserve">65507671187SVIVE60 ED          </v>
      </c>
      <c r="B1014" s="71">
        <v>65507684270</v>
      </c>
      <c r="C1014" s="71" t="s">
        <v>760</v>
      </c>
      <c r="D1014" s="71" t="s">
        <v>389</v>
      </c>
      <c r="E1014" s="71" t="s">
        <v>623</v>
      </c>
      <c r="F1014" s="71" t="s">
        <v>624</v>
      </c>
      <c r="G1014" s="74">
        <v>5271949</v>
      </c>
      <c r="H1014" s="72">
        <v>3.3967719999999999</v>
      </c>
      <c r="I1014" s="73">
        <v>17907608.748628002</v>
      </c>
      <c r="J1014" s="72">
        <v>3.3318869795591723</v>
      </c>
      <c r="K1014" s="73">
        <v>342070.51862799999</v>
      </c>
      <c r="L1014" s="74">
        <v>0</v>
      </c>
      <c r="M1014" s="73">
        <v>0</v>
      </c>
      <c r="N1014" s="74">
        <v>0</v>
      </c>
      <c r="O1014" s="73">
        <v>0</v>
      </c>
      <c r="P1014" s="74">
        <v>5271949</v>
      </c>
      <c r="Q1014" s="73">
        <v>17907608.748628002</v>
      </c>
      <c r="R1014" s="71" t="s">
        <v>625</v>
      </c>
      <c r="S1014" s="71">
        <v>7414000005</v>
      </c>
      <c r="AB1014"/>
      <c r="AC1014"/>
    </row>
    <row r="1015" spans="1:29" x14ac:dyDescent="0.25">
      <c r="A1015" t="str">
        <f t="shared" si="16"/>
        <v xml:space="preserve">65507684270STER-OP ED          </v>
      </c>
      <c r="B1015" s="71">
        <v>65507684270</v>
      </c>
      <c r="C1015" s="71" t="s">
        <v>760</v>
      </c>
      <c r="D1015" s="71" t="s">
        <v>407</v>
      </c>
      <c r="E1015" s="71" t="s">
        <v>623</v>
      </c>
      <c r="F1015" s="71" t="s">
        <v>624</v>
      </c>
      <c r="G1015" s="74">
        <v>17064907</v>
      </c>
      <c r="H1015" s="72">
        <v>2.7668819999999998</v>
      </c>
      <c r="I1015" s="73">
        <v>47216584.009974003</v>
      </c>
      <c r="J1015" s="72">
        <v>2.6774071051192956</v>
      </c>
      <c r="K1015" s="73">
        <v>1526880.759974</v>
      </c>
      <c r="L1015" s="74">
        <v>0</v>
      </c>
      <c r="M1015" s="73">
        <v>0</v>
      </c>
      <c r="N1015" s="74">
        <v>0</v>
      </c>
      <c r="O1015" s="73">
        <v>0</v>
      </c>
      <c r="P1015" s="74">
        <v>17064907</v>
      </c>
      <c r="Q1015" s="73">
        <v>47216584.009974003</v>
      </c>
      <c r="R1015" s="71" t="s">
        <v>625</v>
      </c>
      <c r="S1015" s="71">
        <v>7414000005</v>
      </c>
      <c r="AB1015"/>
      <c r="AC1015"/>
    </row>
    <row r="1016" spans="1:29" x14ac:dyDescent="0.25">
      <c r="A1016" t="str">
        <f t="shared" si="16"/>
        <v xml:space="preserve">65507684270STERGOB ED          </v>
      </c>
      <c r="B1016" s="71">
        <v>65507684389</v>
      </c>
      <c r="C1016" s="71" t="s">
        <v>760</v>
      </c>
      <c r="D1016" s="71" t="s">
        <v>459</v>
      </c>
      <c r="E1016" s="71" t="s">
        <v>623</v>
      </c>
      <c r="F1016" s="71" t="s">
        <v>624</v>
      </c>
      <c r="G1016" s="74">
        <v>11635107</v>
      </c>
      <c r="H1016" s="72">
        <v>4.5848760000000004</v>
      </c>
      <c r="I1016" s="73">
        <v>53345522.841732003</v>
      </c>
      <c r="J1016" s="72">
        <v>3.7227900061426165</v>
      </c>
      <c r="K1016" s="73">
        <v>10030462.781732</v>
      </c>
      <c r="L1016" s="74">
        <v>0</v>
      </c>
      <c r="M1016" s="73">
        <v>0</v>
      </c>
      <c r="N1016" s="74">
        <v>0</v>
      </c>
      <c r="O1016" s="73">
        <v>0</v>
      </c>
      <c r="P1016" s="74">
        <v>11635107</v>
      </c>
      <c r="Q1016" s="73">
        <v>53345522.841732003</v>
      </c>
      <c r="R1016" s="71" t="s">
        <v>625</v>
      </c>
      <c r="S1016" s="71">
        <v>7414000005</v>
      </c>
      <c r="AB1016"/>
      <c r="AC1016"/>
    </row>
    <row r="1017" spans="1:29" x14ac:dyDescent="0.25">
      <c r="A1017" t="str">
        <f t="shared" si="16"/>
        <v xml:space="preserve">65507684270SVIVE60 ED          </v>
      </c>
      <c r="B1017" s="71">
        <v>65507684389</v>
      </c>
      <c r="C1017" s="71" t="s">
        <v>760</v>
      </c>
      <c r="D1017" s="71" t="s">
        <v>389</v>
      </c>
      <c r="E1017" s="71" t="s">
        <v>623</v>
      </c>
      <c r="F1017" s="71" t="s">
        <v>624</v>
      </c>
      <c r="G1017" s="74">
        <v>33209896</v>
      </c>
      <c r="H1017" s="72">
        <v>3.3967719999999999</v>
      </c>
      <c r="I1017" s="73">
        <v>112806444.855712</v>
      </c>
      <c r="J1017" s="72">
        <v>2.9672430982620361</v>
      </c>
      <c r="K1017" s="73">
        <v>14264610.155711999</v>
      </c>
      <c r="L1017" s="74">
        <v>0</v>
      </c>
      <c r="M1017" s="73">
        <v>0</v>
      </c>
      <c r="N1017" s="74">
        <v>0</v>
      </c>
      <c r="O1017" s="73">
        <v>0</v>
      </c>
      <c r="P1017" s="74">
        <v>33209896</v>
      </c>
      <c r="Q1017" s="73">
        <v>112806444.855712</v>
      </c>
      <c r="R1017" s="71" t="s">
        <v>625</v>
      </c>
      <c r="S1017" s="71">
        <v>7414000005</v>
      </c>
      <c r="AB1017"/>
      <c r="AC1017"/>
    </row>
    <row r="1018" spans="1:29" x14ac:dyDescent="0.25">
      <c r="A1018" t="str">
        <f t="shared" si="16"/>
        <v xml:space="preserve">65507684389STER-OP ED          </v>
      </c>
      <c r="B1018" s="71">
        <v>65507684389</v>
      </c>
      <c r="C1018" s="71" t="s">
        <v>760</v>
      </c>
      <c r="D1018" s="71" t="s">
        <v>407</v>
      </c>
      <c r="E1018" s="71" t="s">
        <v>623</v>
      </c>
      <c r="F1018" s="71" t="s">
        <v>624</v>
      </c>
      <c r="G1018" s="74">
        <v>107976322</v>
      </c>
      <c r="H1018" s="72">
        <v>2.7668819999999998</v>
      </c>
      <c r="I1018" s="73">
        <v>298757741.768004</v>
      </c>
      <c r="J1018" s="72">
        <v>2.3352240353213736</v>
      </c>
      <c r="K1018" s="73">
        <v>46608839.388003998</v>
      </c>
      <c r="L1018" s="74">
        <v>0</v>
      </c>
      <c r="M1018" s="73">
        <v>0</v>
      </c>
      <c r="N1018" s="74">
        <v>0</v>
      </c>
      <c r="O1018" s="73">
        <v>0</v>
      </c>
      <c r="P1018" s="74">
        <v>107976322</v>
      </c>
      <c r="Q1018" s="73">
        <v>298757741.768004</v>
      </c>
      <c r="R1018" s="71" t="s">
        <v>625</v>
      </c>
      <c r="S1018" s="71">
        <v>7414000005</v>
      </c>
      <c r="AB1018"/>
      <c r="AC1018"/>
    </row>
    <row r="1019" spans="1:29" x14ac:dyDescent="0.25">
      <c r="A1019" t="str">
        <f t="shared" si="16"/>
        <v xml:space="preserve">65507684389STERGOB ED          </v>
      </c>
      <c r="B1019" s="71">
        <v>65507747706</v>
      </c>
      <c r="C1019" s="71" t="s">
        <v>765</v>
      </c>
      <c r="D1019" s="71" t="s">
        <v>389</v>
      </c>
      <c r="E1019" s="71" t="s">
        <v>623</v>
      </c>
      <c r="F1019" s="71" t="s">
        <v>624</v>
      </c>
      <c r="G1019" s="74">
        <v>879732</v>
      </c>
      <c r="H1019" s="72">
        <v>3.3967719999999999</v>
      </c>
      <c r="I1019" s="73">
        <v>2988249.0251039998</v>
      </c>
      <c r="J1019" s="72">
        <v>2.8911910786466786</v>
      </c>
      <c r="K1019" s="73">
        <v>444775.715104</v>
      </c>
      <c r="L1019" s="74">
        <v>0</v>
      </c>
      <c r="M1019" s="73">
        <v>0</v>
      </c>
      <c r="N1019" s="74">
        <v>0</v>
      </c>
      <c r="O1019" s="73">
        <v>0</v>
      </c>
      <c r="P1019" s="74">
        <v>879732</v>
      </c>
      <c r="Q1019" s="73">
        <v>2988249.0251039998</v>
      </c>
      <c r="R1019" s="71" t="s">
        <v>625</v>
      </c>
      <c r="S1019" s="71">
        <v>7414000005</v>
      </c>
      <c r="AB1019"/>
      <c r="AC1019"/>
    </row>
    <row r="1020" spans="1:29" x14ac:dyDescent="0.25">
      <c r="A1020" t="str">
        <f t="shared" si="16"/>
        <v xml:space="preserve">65507684389SVIVE60 ED          </v>
      </c>
      <c r="B1020" s="71">
        <v>65507895505</v>
      </c>
      <c r="C1020" s="71" t="s">
        <v>766</v>
      </c>
      <c r="D1020" s="71" t="s">
        <v>412</v>
      </c>
      <c r="E1020" s="71" t="s">
        <v>623</v>
      </c>
      <c r="F1020" s="71" t="s">
        <v>624</v>
      </c>
      <c r="G1020" s="74">
        <v>1552</v>
      </c>
      <c r="H1020" s="72">
        <v>3.137273</v>
      </c>
      <c r="I1020" s="73">
        <v>4869.0476959999996</v>
      </c>
      <c r="J1020" s="72">
        <v>3.1160953608247421</v>
      </c>
      <c r="K1020" s="73">
        <v>32.867696000000002</v>
      </c>
      <c r="L1020" s="74">
        <v>0</v>
      </c>
      <c r="M1020" s="73">
        <v>0</v>
      </c>
      <c r="N1020" s="74">
        <v>0</v>
      </c>
      <c r="O1020" s="73">
        <v>0</v>
      </c>
      <c r="P1020" s="74">
        <v>1552</v>
      </c>
      <c r="Q1020" s="73">
        <v>4869.0476959999996</v>
      </c>
      <c r="R1020" s="71" t="s">
        <v>625</v>
      </c>
      <c r="S1020" s="71">
        <v>7414000005</v>
      </c>
      <c r="AB1020"/>
      <c r="AC1020"/>
    </row>
    <row r="1021" spans="1:29" x14ac:dyDescent="0.25">
      <c r="A1021" t="str">
        <f t="shared" si="16"/>
        <v xml:space="preserve">65507747706STERGOB ED          </v>
      </c>
      <c r="B1021" s="71">
        <v>65507895505</v>
      </c>
      <c r="C1021" s="71" t="s">
        <v>766</v>
      </c>
      <c r="D1021" s="71" t="s">
        <v>494</v>
      </c>
      <c r="E1021" s="71" t="s">
        <v>623</v>
      </c>
      <c r="F1021" s="71" t="s">
        <v>624</v>
      </c>
      <c r="G1021" s="74">
        <v>419</v>
      </c>
      <c r="H1021" s="72">
        <v>129.376824</v>
      </c>
      <c r="I1021" s="73">
        <v>54208.889256000002</v>
      </c>
      <c r="J1021" s="72">
        <v>123.22701670644392</v>
      </c>
      <c r="K1021" s="73">
        <v>2576.769256</v>
      </c>
      <c r="L1021" s="74">
        <v>0</v>
      </c>
      <c r="M1021" s="73">
        <v>0</v>
      </c>
      <c r="N1021" s="74">
        <v>0</v>
      </c>
      <c r="O1021" s="73">
        <v>0</v>
      </c>
      <c r="P1021" s="74">
        <v>419</v>
      </c>
      <c r="Q1021" s="73">
        <v>54208.889256000002</v>
      </c>
      <c r="R1021" s="71" t="s">
        <v>625</v>
      </c>
      <c r="S1021" s="71">
        <v>7414000005</v>
      </c>
      <c r="AB1021"/>
      <c r="AC1021"/>
    </row>
    <row r="1022" spans="1:29" x14ac:dyDescent="0.25">
      <c r="A1022" t="str">
        <f t="shared" si="16"/>
        <v xml:space="preserve">65507895505STERGOB B0          </v>
      </c>
      <c r="B1022" s="71">
        <v>65507895505</v>
      </c>
      <c r="C1022" s="71" t="s">
        <v>766</v>
      </c>
      <c r="D1022" s="71" t="s">
        <v>477</v>
      </c>
      <c r="E1022" s="71" t="s">
        <v>623</v>
      </c>
      <c r="F1022" s="71" t="s">
        <v>624</v>
      </c>
      <c r="G1022" s="74">
        <v>1068227</v>
      </c>
      <c r="H1022" s="72">
        <v>3.4740350000000002</v>
      </c>
      <c r="I1022" s="73">
        <v>3711057.9859449998</v>
      </c>
      <c r="J1022" s="72">
        <v>3.2980464451844038</v>
      </c>
      <c r="K1022" s="73">
        <v>187995.72594500001</v>
      </c>
      <c r="L1022" s="74">
        <v>0</v>
      </c>
      <c r="M1022" s="73">
        <v>0</v>
      </c>
      <c r="N1022" s="74">
        <v>0</v>
      </c>
      <c r="O1022" s="73">
        <v>0</v>
      </c>
      <c r="P1022" s="74">
        <v>1068227</v>
      </c>
      <c r="Q1022" s="73">
        <v>3711057.9859449998</v>
      </c>
      <c r="R1022" s="71" t="s">
        <v>625</v>
      </c>
      <c r="S1022" s="71">
        <v>7414000005</v>
      </c>
      <c r="AB1022"/>
      <c r="AC1022"/>
    </row>
    <row r="1023" spans="1:29" x14ac:dyDescent="0.25">
      <c r="A1023" t="str">
        <f t="shared" si="16"/>
        <v xml:space="preserve">65507895505SVIVE20 C2          </v>
      </c>
      <c r="B1023" s="71">
        <v>65507895505</v>
      </c>
      <c r="C1023" s="71" t="s">
        <v>766</v>
      </c>
      <c r="D1023" s="71" t="s">
        <v>495</v>
      </c>
      <c r="E1023" s="71" t="s">
        <v>623</v>
      </c>
      <c r="F1023" s="71" t="s">
        <v>624</v>
      </c>
      <c r="G1023" s="74">
        <v>789642</v>
      </c>
      <c r="H1023" s="72">
        <v>2.0364629999999999</v>
      </c>
      <c r="I1023" s="73">
        <v>1608076.716246</v>
      </c>
      <c r="J1023" s="72">
        <v>1.9263570200166658</v>
      </c>
      <c r="K1023" s="73">
        <v>86944.306245999993</v>
      </c>
      <c r="L1023" s="74">
        <v>0</v>
      </c>
      <c r="M1023" s="73">
        <v>0</v>
      </c>
      <c r="N1023" s="74">
        <v>0</v>
      </c>
      <c r="O1023" s="73">
        <v>0</v>
      </c>
      <c r="P1023" s="74">
        <v>789642</v>
      </c>
      <c r="Q1023" s="73">
        <v>1608076.716246</v>
      </c>
      <c r="R1023" s="71" t="s">
        <v>625</v>
      </c>
      <c r="S1023" s="71">
        <v>7414000005</v>
      </c>
      <c r="AB1023"/>
      <c r="AC1023"/>
    </row>
    <row r="1024" spans="1:29" x14ac:dyDescent="0.25">
      <c r="A1024" t="str">
        <f t="shared" si="16"/>
        <v xml:space="preserve">65507895505SVIVE35 C2          </v>
      </c>
      <c r="B1024" s="71">
        <v>65507895505</v>
      </c>
      <c r="C1024" s="71" t="s">
        <v>766</v>
      </c>
      <c r="D1024" s="71" t="s">
        <v>496</v>
      </c>
      <c r="E1024" s="71" t="s">
        <v>623</v>
      </c>
      <c r="F1024" s="71" t="s">
        <v>624</v>
      </c>
      <c r="G1024" s="74">
        <v>173600</v>
      </c>
      <c r="H1024" s="72">
        <v>2.7063139999999999</v>
      </c>
      <c r="I1024" s="73">
        <v>469816.11040000001</v>
      </c>
      <c r="J1024" s="72">
        <v>2.5012903801843316</v>
      </c>
      <c r="K1024" s="73">
        <v>35592.100400000003</v>
      </c>
      <c r="L1024" s="74">
        <v>0</v>
      </c>
      <c r="M1024" s="73">
        <v>0</v>
      </c>
      <c r="N1024" s="74">
        <v>0</v>
      </c>
      <c r="O1024" s="73">
        <v>0</v>
      </c>
      <c r="P1024" s="74">
        <v>173600</v>
      </c>
      <c r="Q1024" s="73">
        <v>469816.11040000001</v>
      </c>
      <c r="R1024" s="71" t="s">
        <v>625</v>
      </c>
      <c r="S1024" s="71">
        <v>7414000005</v>
      </c>
      <c r="AB1024"/>
      <c r="AC1024"/>
    </row>
    <row r="1025" spans="1:29" x14ac:dyDescent="0.25">
      <c r="A1025" t="str">
        <f t="shared" si="16"/>
        <v xml:space="preserve">65507895505SVIVE50 C2          </v>
      </c>
      <c r="B1025" s="71">
        <v>65508702490</v>
      </c>
      <c r="C1025" s="71" t="s">
        <v>760</v>
      </c>
      <c r="D1025" s="71" t="s">
        <v>389</v>
      </c>
      <c r="E1025" s="71" t="s">
        <v>623</v>
      </c>
      <c r="F1025" s="71" t="s">
        <v>624</v>
      </c>
      <c r="G1025" s="74">
        <v>57965254</v>
      </c>
      <c r="H1025" s="72">
        <v>3.3967719999999999</v>
      </c>
      <c r="I1025" s="73">
        <v>196894751.760088</v>
      </c>
      <c r="J1025" s="72">
        <v>3.23347832220316</v>
      </c>
      <c r="K1025" s="73">
        <v>9465359.5100880004</v>
      </c>
      <c r="L1025" s="74">
        <v>0</v>
      </c>
      <c r="M1025" s="73">
        <v>0</v>
      </c>
      <c r="N1025" s="74">
        <v>0</v>
      </c>
      <c r="O1025" s="73">
        <v>0</v>
      </c>
      <c r="P1025" s="74">
        <v>57965254</v>
      </c>
      <c r="Q1025" s="73">
        <v>196894751.760088</v>
      </c>
      <c r="R1025" s="71" t="s">
        <v>625</v>
      </c>
      <c r="S1025" s="71">
        <v>7414000005</v>
      </c>
      <c r="AB1025"/>
      <c r="AC1025"/>
    </row>
    <row r="1026" spans="1:29" x14ac:dyDescent="0.25">
      <c r="A1026" t="str">
        <f t="shared" si="16"/>
        <v xml:space="preserve">65507895505SVIVE60 C2          </v>
      </c>
      <c r="B1026" s="71">
        <v>65508881201</v>
      </c>
      <c r="C1026" s="71" t="s">
        <v>767</v>
      </c>
      <c r="D1026" s="71" t="s">
        <v>389</v>
      </c>
      <c r="E1026" s="71" t="s">
        <v>623</v>
      </c>
      <c r="F1026" s="71" t="s">
        <v>624</v>
      </c>
      <c r="G1026" s="74">
        <v>450176</v>
      </c>
      <c r="H1026" s="72">
        <v>3.3967719999999999</v>
      </c>
      <c r="I1026" s="73">
        <v>1529145.231872</v>
      </c>
      <c r="J1026" s="72">
        <v>3.3304544666974696</v>
      </c>
      <c r="K1026" s="73">
        <v>29854.561871999998</v>
      </c>
      <c r="L1026" s="74">
        <v>0</v>
      </c>
      <c r="M1026" s="73">
        <v>0</v>
      </c>
      <c r="N1026" s="74">
        <v>0</v>
      </c>
      <c r="O1026" s="73">
        <v>0</v>
      </c>
      <c r="P1026" s="74">
        <v>450176</v>
      </c>
      <c r="Q1026" s="73">
        <v>1529145.231872</v>
      </c>
      <c r="R1026" s="71" t="s">
        <v>625</v>
      </c>
      <c r="S1026" s="71">
        <v>7414000005</v>
      </c>
      <c r="AB1026"/>
      <c r="AC1026"/>
    </row>
    <row r="1027" spans="1:29" x14ac:dyDescent="0.25">
      <c r="A1027" t="str">
        <f t="shared" si="16"/>
        <v xml:space="preserve">65508702490STERGOB ED          </v>
      </c>
      <c r="B1027" s="71">
        <v>65508886089</v>
      </c>
      <c r="C1027" s="71" t="s">
        <v>767</v>
      </c>
      <c r="D1027" s="71" t="s">
        <v>389</v>
      </c>
      <c r="E1027" s="71" t="s">
        <v>623</v>
      </c>
      <c r="F1027" s="71" t="s">
        <v>624</v>
      </c>
      <c r="G1027" s="74">
        <v>28406006</v>
      </c>
      <c r="H1027" s="72">
        <v>3.3967719999999999</v>
      </c>
      <c r="I1027" s="73">
        <v>96488725.812631994</v>
      </c>
      <c r="J1027" s="72">
        <v>2.601587642768223</v>
      </c>
      <c r="K1027" s="73">
        <v>22588011.622632001</v>
      </c>
      <c r="L1027" s="74">
        <v>0</v>
      </c>
      <c r="M1027" s="73">
        <v>0</v>
      </c>
      <c r="N1027" s="74">
        <v>0</v>
      </c>
      <c r="O1027" s="73">
        <v>0</v>
      </c>
      <c r="P1027" s="74">
        <v>28406006</v>
      </c>
      <c r="Q1027" s="73">
        <v>96488725.812631994</v>
      </c>
      <c r="R1027" s="71" t="s">
        <v>625</v>
      </c>
      <c r="S1027" s="71">
        <v>7414000005</v>
      </c>
      <c r="AB1027"/>
      <c r="AC1027"/>
    </row>
    <row r="1028" spans="1:29" x14ac:dyDescent="0.25">
      <c r="A1028" t="str">
        <f t="shared" si="16"/>
        <v xml:space="preserve">65508881201STERGOB ED          </v>
      </c>
      <c r="B1028" s="71">
        <v>65508888184</v>
      </c>
      <c r="C1028" s="71" t="s">
        <v>767</v>
      </c>
      <c r="D1028" s="71" t="s">
        <v>389</v>
      </c>
      <c r="E1028" s="71" t="s">
        <v>623</v>
      </c>
      <c r="F1028" s="71" t="s">
        <v>624</v>
      </c>
      <c r="G1028" s="74">
        <v>445515</v>
      </c>
      <c r="H1028" s="72">
        <v>3.3967719999999999</v>
      </c>
      <c r="I1028" s="73">
        <v>1513312.8775800001</v>
      </c>
      <c r="J1028" s="72">
        <v>2.4735245502396102</v>
      </c>
      <c r="K1028" s="73">
        <v>411320.58757999999</v>
      </c>
      <c r="L1028" s="74">
        <v>0</v>
      </c>
      <c r="M1028" s="73">
        <v>0</v>
      </c>
      <c r="N1028" s="74">
        <v>0</v>
      </c>
      <c r="O1028" s="73">
        <v>0</v>
      </c>
      <c r="P1028" s="74">
        <v>445515</v>
      </c>
      <c r="Q1028" s="73">
        <v>1513312.8775800001</v>
      </c>
      <c r="R1028" s="71" t="s">
        <v>625</v>
      </c>
      <c r="S1028" s="71">
        <v>7414000005</v>
      </c>
      <c r="AB1028"/>
      <c r="AC1028"/>
    </row>
    <row r="1029" spans="1:29" x14ac:dyDescent="0.25">
      <c r="A1029" t="str">
        <f t="shared" si="16"/>
        <v xml:space="preserve">65508886089STERGOB ED          </v>
      </c>
      <c r="B1029" s="71">
        <v>65508989338</v>
      </c>
      <c r="C1029" s="71" t="s">
        <v>762</v>
      </c>
      <c r="D1029" s="71" t="s">
        <v>389</v>
      </c>
      <c r="E1029" s="71" t="s">
        <v>623</v>
      </c>
      <c r="F1029" s="71" t="s">
        <v>624</v>
      </c>
      <c r="G1029" s="74">
        <v>16916396</v>
      </c>
      <c r="H1029" s="72">
        <v>3.3967719999999999</v>
      </c>
      <c r="I1029" s="73">
        <v>57461140.273712002</v>
      </c>
      <c r="J1029" s="72">
        <v>3.3456553180712962</v>
      </c>
      <c r="K1029" s="73">
        <v>864710.033712</v>
      </c>
      <c r="L1029" s="74">
        <v>0</v>
      </c>
      <c r="M1029" s="73">
        <v>0</v>
      </c>
      <c r="N1029" s="74">
        <v>0</v>
      </c>
      <c r="O1029" s="73">
        <v>0</v>
      </c>
      <c r="P1029" s="74">
        <v>16916396</v>
      </c>
      <c r="Q1029" s="73">
        <v>57461140.273712002</v>
      </c>
      <c r="R1029" s="71" t="s">
        <v>625</v>
      </c>
      <c r="S1029" s="71">
        <v>7414000005</v>
      </c>
      <c r="AB1029"/>
      <c r="AC1029"/>
    </row>
    <row r="1030" spans="1:29" x14ac:dyDescent="0.25">
      <c r="A1030" t="str">
        <f t="shared" si="16"/>
        <v xml:space="preserve">65508888184STERGOB ED          </v>
      </c>
      <c r="B1030" s="71">
        <v>65509560409</v>
      </c>
      <c r="C1030" s="71" t="s">
        <v>768</v>
      </c>
      <c r="D1030" s="71" t="s">
        <v>389</v>
      </c>
      <c r="E1030" s="71" t="s">
        <v>623</v>
      </c>
      <c r="F1030" s="71" t="s">
        <v>624</v>
      </c>
      <c r="G1030" s="74">
        <v>16882061</v>
      </c>
      <c r="H1030" s="72">
        <v>3.3967719999999999</v>
      </c>
      <c r="I1030" s="73">
        <v>57344512.107092001</v>
      </c>
      <c r="J1030" s="72">
        <v>3.3294955124258823</v>
      </c>
      <c r="K1030" s="73">
        <v>1135765.767092</v>
      </c>
      <c r="L1030" s="74">
        <v>0</v>
      </c>
      <c r="M1030" s="73">
        <v>0</v>
      </c>
      <c r="N1030" s="74">
        <v>0</v>
      </c>
      <c r="O1030" s="73">
        <v>0</v>
      </c>
      <c r="P1030" s="74">
        <v>16882061</v>
      </c>
      <c r="Q1030" s="73">
        <v>57344512.107092001</v>
      </c>
      <c r="R1030" s="71" t="s">
        <v>625</v>
      </c>
      <c r="S1030" s="71">
        <v>7414000005</v>
      </c>
      <c r="AB1030"/>
      <c r="AC1030"/>
    </row>
    <row r="1031" spans="1:29" x14ac:dyDescent="0.25">
      <c r="A1031" t="str">
        <f t="shared" ref="A1031:A1094" si="17">B1029&amp;D1029</f>
        <v xml:space="preserve">65508989338STERGOB ED          </v>
      </c>
      <c r="B1031" s="71">
        <v>65509560426</v>
      </c>
      <c r="C1031" s="71" t="s">
        <v>769</v>
      </c>
      <c r="D1031" s="71" t="s">
        <v>389</v>
      </c>
      <c r="E1031" s="71" t="s">
        <v>623</v>
      </c>
      <c r="F1031" s="71" t="s">
        <v>624</v>
      </c>
      <c r="G1031" s="74">
        <v>64153</v>
      </c>
      <c r="H1031" s="72">
        <v>3.3967719999999999</v>
      </c>
      <c r="I1031" s="73">
        <v>217913.11411600001</v>
      </c>
      <c r="J1031" s="72">
        <v>3.3211028322915528</v>
      </c>
      <c r="K1031" s="73">
        <v>4854.4041159999997</v>
      </c>
      <c r="L1031" s="74">
        <v>0</v>
      </c>
      <c r="M1031" s="73">
        <v>0</v>
      </c>
      <c r="N1031" s="74">
        <v>0</v>
      </c>
      <c r="O1031" s="73">
        <v>0</v>
      </c>
      <c r="P1031" s="74">
        <v>64153</v>
      </c>
      <c r="Q1031" s="73">
        <v>217913.11411600001</v>
      </c>
      <c r="R1031" s="71" t="s">
        <v>625</v>
      </c>
      <c r="S1031" s="71">
        <v>7414000005</v>
      </c>
      <c r="AB1031"/>
      <c r="AC1031"/>
    </row>
    <row r="1032" spans="1:29" x14ac:dyDescent="0.25">
      <c r="A1032" t="str">
        <f t="shared" si="17"/>
        <v xml:space="preserve">65509560409STERGOB ED          </v>
      </c>
      <c r="B1032" s="71">
        <v>65509560443</v>
      </c>
      <c r="C1032" s="71" t="s">
        <v>770</v>
      </c>
      <c r="D1032" s="71" t="s">
        <v>389</v>
      </c>
      <c r="E1032" s="71" t="s">
        <v>623</v>
      </c>
      <c r="F1032" s="71" t="s">
        <v>624</v>
      </c>
      <c r="G1032" s="74">
        <v>175118</v>
      </c>
      <c r="H1032" s="72">
        <v>3.3967719999999999</v>
      </c>
      <c r="I1032" s="73">
        <v>594835.91909600003</v>
      </c>
      <c r="J1032" s="72">
        <v>3.31741973983257</v>
      </c>
      <c r="K1032" s="73">
        <v>13896.009096</v>
      </c>
      <c r="L1032" s="74">
        <v>0</v>
      </c>
      <c r="M1032" s="73">
        <v>0</v>
      </c>
      <c r="N1032" s="74">
        <v>0</v>
      </c>
      <c r="O1032" s="73">
        <v>0</v>
      </c>
      <c r="P1032" s="74">
        <v>175118</v>
      </c>
      <c r="Q1032" s="73">
        <v>594835.91909600003</v>
      </c>
      <c r="R1032" s="71" t="s">
        <v>625</v>
      </c>
      <c r="S1032" s="71">
        <v>7414000005</v>
      </c>
      <c r="AB1032"/>
      <c r="AC1032"/>
    </row>
    <row r="1033" spans="1:29" x14ac:dyDescent="0.25">
      <c r="A1033" t="str">
        <f t="shared" si="17"/>
        <v xml:space="preserve">65509560426STERGOB ED          </v>
      </c>
      <c r="B1033" s="71">
        <v>65509560457</v>
      </c>
      <c r="C1033" s="71" t="s">
        <v>771</v>
      </c>
      <c r="D1033" s="71" t="s">
        <v>389</v>
      </c>
      <c r="E1033" s="71" t="s">
        <v>623</v>
      </c>
      <c r="F1033" s="71" t="s">
        <v>624</v>
      </c>
      <c r="G1033" s="74">
        <v>376064</v>
      </c>
      <c r="H1033" s="72">
        <v>3.3967719999999999</v>
      </c>
      <c r="I1033" s="73">
        <v>1277403.6654079999</v>
      </c>
      <c r="J1033" s="72">
        <v>3.3285112640401633</v>
      </c>
      <c r="K1033" s="73">
        <v>25670.405407999999</v>
      </c>
      <c r="L1033" s="74">
        <v>0</v>
      </c>
      <c r="M1033" s="73">
        <v>0</v>
      </c>
      <c r="N1033" s="74">
        <v>0</v>
      </c>
      <c r="O1033" s="73">
        <v>0</v>
      </c>
      <c r="P1033" s="74">
        <v>376064</v>
      </c>
      <c r="Q1033" s="73">
        <v>1277403.6654079999</v>
      </c>
      <c r="R1033" s="71" t="s">
        <v>625</v>
      </c>
      <c r="S1033" s="71">
        <v>7414000005</v>
      </c>
      <c r="AB1033"/>
      <c r="AC1033"/>
    </row>
    <row r="1034" spans="1:29" x14ac:dyDescent="0.25">
      <c r="A1034" t="str">
        <f t="shared" si="17"/>
        <v xml:space="preserve">65509560443STERGOB ED          </v>
      </c>
      <c r="B1034" s="71">
        <v>65509889998</v>
      </c>
      <c r="C1034" s="71" t="s">
        <v>772</v>
      </c>
      <c r="D1034" s="71" t="s">
        <v>389</v>
      </c>
      <c r="E1034" s="71" t="s">
        <v>623</v>
      </c>
      <c r="F1034" s="71" t="s">
        <v>624</v>
      </c>
      <c r="G1034" s="74">
        <v>2498775</v>
      </c>
      <c r="H1034" s="72">
        <v>3.3967719999999999</v>
      </c>
      <c r="I1034" s="73">
        <v>8487768.9542999994</v>
      </c>
      <c r="J1034" s="72">
        <v>3.3423505997938991</v>
      </c>
      <c r="K1034" s="73">
        <v>135986.83429999999</v>
      </c>
      <c r="L1034" s="74">
        <v>0</v>
      </c>
      <c r="M1034" s="73">
        <v>0</v>
      </c>
      <c r="N1034" s="74">
        <v>0</v>
      </c>
      <c r="O1034" s="73">
        <v>0</v>
      </c>
      <c r="P1034" s="74">
        <v>2498775</v>
      </c>
      <c r="Q1034" s="73">
        <v>8487768.9542999994</v>
      </c>
      <c r="R1034" s="71" t="s">
        <v>625</v>
      </c>
      <c r="S1034" s="71">
        <v>7414000005</v>
      </c>
      <c r="AB1034"/>
      <c r="AC1034"/>
    </row>
    <row r="1035" spans="1:29" x14ac:dyDescent="0.25">
      <c r="A1035" t="str">
        <f t="shared" si="17"/>
        <v xml:space="preserve">65509560457STERGOB ED          </v>
      </c>
      <c r="B1035" s="71">
        <v>65509890080</v>
      </c>
      <c r="C1035" s="71" t="s">
        <v>772</v>
      </c>
      <c r="D1035" s="71" t="s">
        <v>389</v>
      </c>
      <c r="E1035" s="71" t="s">
        <v>623</v>
      </c>
      <c r="F1035" s="71" t="s">
        <v>624</v>
      </c>
      <c r="G1035" s="74">
        <v>48461742</v>
      </c>
      <c r="H1035" s="72">
        <v>3.3967719999999999</v>
      </c>
      <c r="I1035" s="73">
        <v>164613488.29682401</v>
      </c>
      <c r="J1035" s="72">
        <v>3.3139702411027652</v>
      </c>
      <c r="K1035" s="73">
        <v>4012717.476824</v>
      </c>
      <c r="L1035" s="74">
        <v>0</v>
      </c>
      <c r="M1035" s="73">
        <v>0</v>
      </c>
      <c r="N1035" s="74">
        <v>0</v>
      </c>
      <c r="O1035" s="73">
        <v>0</v>
      </c>
      <c r="P1035" s="74">
        <v>48461742</v>
      </c>
      <c r="Q1035" s="73">
        <v>164613488.29682401</v>
      </c>
      <c r="R1035" s="71" t="s">
        <v>625</v>
      </c>
      <c r="S1035" s="71">
        <v>7414000005</v>
      </c>
      <c r="AB1035"/>
      <c r="AC1035"/>
    </row>
    <row r="1036" spans="1:29" x14ac:dyDescent="0.25">
      <c r="A1036" t="str">
        <f t="shared" si="17"/>
        <v xml:space="preserve">65509889998STERGOB ED          </v>
      </c>
      <c r="B1036" s="71">
        <v>65509890154</v>
      </c>
      <c r="C1036" s="71" t="s">
        <v>772</v>
      </c>
      <c r="D1036" s="71" t="s">
        <v>389</v>
      </c>
      <c r="E1036" s="71" t="s">
        <v>623</v>
      </c>
      <c r="F1036" s="71" t="s">
        <v>624</v>
      </c>
      <c r="G1036" s="74">
        <v>1810947</v>
      </c>
      <c r="H1036" s="72">
        <v>3.3967719999999999</v>
      </c>
      <c r="I1036" s="73">
        <v>6151374.0630839998</v>
      </c>
      <c r="J1036" s="72">
        <v>3.3214509811717297</v>
      </c>
      <c r="K1036" s="73">
        <v>136402.37308399999</v>
      </c>
      <c r="L1036" s="74">
        <v>0</v>
      </c>
      <c r="M1036" s="73">
        <v>0</v>
      </c>
      <c r="N1036" s="74">
        <v>0</v>
      </c>
      <c r="O1036" s="73">
        <v>0</v>
      </c>
      <c r="P1036" s="74">
        <v>1810947</v>
      </c>
      <c r="Q1036" s="73">
        <v>6151374.0630839998</v>
      </c>
      <c r="R1036" s="71" t="s">
        <v>625</v>
      </c>
      <c r="S1036" s="71">
        <v>7414000005</v>
      </c>
      <c r="AB1036"/>
      <c r="AC1036"/>
    </row>
    <row r="1037" spans="1:29" x14ac:dyDescent="0.25">
      <c r="A1037" t="str">
        <f t="shared" si="17"/>
        <v xml:space="preserve">65509890080STERGOB ED          </v>
      </c>
      <c r="B1037" s="71">
        <v>65509890276</v>
      </c>
      <c r="C1037" s="71" t="s">
        <v>772</v>
      </c>
      <c r="D1037" s="71" t="s">
        <v>389</v>
      </c>
      <c r="E1037" s="71" t="s">
        <v>623</v>
      </c>
      <c r="F1037" s="71" t="s">
        <v>624</v>
      </c>
      <c r="G1037" s="74">
        <v>1974510</v>
      </c>
      <c r="H1037" s="72">
        <v>3.3967719999999999</v>
      </c>
      <c r="I1037" s="73">
        <v>6706960.2817200003</v>
      </c>
      <c r="J1037" s="72">
        <v>3.2991268213379521</v>
      </c>
      <c r="K1037" s="73">
        <v>192801.38172</v>
      </c>
      <c r="L1037" s="74">
        <v>0</v>
      </c>
      <c r="M1037" s="73">
        <v>0</v>
      </c>
      <c r="N1037" s="74">
        <v>0</v>
      </c>
      <c r="O1037" s="73">
        <v>0</v>
      </c>
      <c r="P1037" s="74">
        <v>1974510</v>
      </c>
      <c r="Q1037" s="73">
        <v>6706960.2817200003</v>
      </c>
      <c r="R1037" s="71" t="s">
        <v>625</v>
      </c>
      <c r="S1037" s="71">
        <v>7414000005</v>
      </c>
      <c r="AB1037"/>
      <c r="AC1037"/>
    </row>
    <row r="1038" spans="1:29" x14ac:dyDescent="0.25">
      <c r="A1038" t="str">
        <f t="shared" si="17"/>
        <v xml:space="preserve">65509890154STERGOB ED          </v>
      </c>
      <c r="B1038" s="71">
        <v>1000001573</v>
      </c>
      <c r="C1038" s="71" t="s">
        <v>626</v>
      </c>
      <c r="D1038" s="71" t="s">
        <v>497</v>
      </c>
      <c r="E1038" s="71" t="s">
        <v>623</v>
      </c>
      <c r="F1038" s="71" t="s">
        <v>773</v>
      </c>
      <c r="G1038" s="74">
        <v>600</v>
      </c>
      <c r="H1038" s="72">
        <v>16601.967289</v>
      </c>
      <c r="I1038" s="73">
        <v>9961180.3734000009</v>
      </c>
      <c r="J1038" s="72">
        <v>21701.96</v>
      </c>
      <c r="K1038" s="73">
        <v>-3059995.6266000001</v>
      </c>
      <c r="L1038" s="74">
        <v>0</v>
      </c>
      <c r="M1038" s="73">
        <v>0</v>
      </c>
      <c r="N1038" s="74">
        <v>0</v>
      </c>
      <c r="O1038" s="73">
        <v>0</v>
      </c>
      <c r="P1038" s="74">
        <v>600</v>
      </c>
      <c r="Q1038" s="73">
        <v>9961180.3734000009</v>
      </c>
      <c r="R1038" s="71" t="s">
        <v>625</v>
      </c>
      <c r="S1038" s="71">
        <v>7414000005</v>
      </c>
      <c r="AB1038"/>
      <c r="AC1038"/>
    </row>
    <row r="1039" spans="1:29" x14ac:dyDescent="0.25">
      <c r="A1039" t="str">
        <f t="shared" si="17"/>
        <v xml:space="preserve">65509890276STERGOB ED          </v>
      </c>
      <c r="B1039" s="71">
        <v>1000001573</v>
      </c>
      <c r="C1039" s="71" t="s">
        <v>626</v>
      </c>
      <c r="D1039" s="71" t="s">
        <v>498</v>
      </c>
      <c r="E1039" s="71" t="s">
        <v>623</v>
      </c>
      <c r="F1039" s="71" t="s">
        <v>773</v>
      </c>
      <c r="G1039" s="74">
        <v>253805</v>
      </c>
      <c r="H1039" s="72">
        <v>15.408367</v>
      </c>
      <c r="I1039" s="73">
        <v>3910720.5864349999</v>
      </c>
      <c r="J1039" s="72">
        <v>20.56</v>
      </c>
      <c r="K1039" s="73">
        <v>-1307510.2135650001</v>
      </c>
      <c r="L1039" s="74">
        <v>0</v>
      </c>
      <c r="M1039" s="73">
        <v>0</v>
      </c>
      <c r="N1039" s="74">
        <v>0</v>
      </c>
      <c r="O1039" s="73">
        <v>0</v>
      </c>
      <c r="P1039" s="74">
        <v>253805</v>
      </c>
      <c r="Q1039" s="73">
        <v>3910720.5864349999</v>
      </c>
      <c r="R1039" s="71" t="s">
        <v>625</v>
      </c>
      <c r="S1039" s="71">
        <v>7414000005</v>
      </c>
      <c r="AB1039"/>
      <c r="AC1039"/>
    </row>
    <row r="1040" spans="1:29" x14ac:dyDescent="0.25">
      <c r="A1040" t="str">
        <f t="shared" si="17"/>
        <v xml:space="preserve">1000001573BANOA64 999999      </v>
      </c>
      <c r="B1040" s="71">
        <v>1002455</v>
      </c>
      <c r="C1040" s="71" t="s">
        <v>774</v>
      </c>
      <c r="D1040" s="71" t="s">
        <v>366</v>
      </c>
      <c r="E1040" s="71" t="s">
        <v>623</v>
      </c>
      <c r="F1040" s="71" t="s">
        <v>773</v>
      </c>
      <c r="G1040" s="74">
        <v>0</v>
      </c>
      <c r="H1040" s="72">
        <v>0</v>
      </c>
      <c r="I1040" s="73">
        <v>8938949.8599999994</v>
      </c>
      <c r="J1040" s="72">
        <v>0</v>
      </c>
      <c r="K1040" s="73">
        <v>0</v>
      </c>
      <c r="L1040" s="74">
        <v>0</v>
      </c>
      <c r="M1040" s="73">
        <v>0</v>
      </c>
      <c r="N1040" s="74">
        <v>0</v>
      </c>
      <c r="O1040" s="73">
        <v>0</v>
      </c>
      <c r="P1040" s="74">
        <v>0</v>
      </c>
      <c r="Q1040" s="73">
        <v>8938949.8599999994</v>
      </c>
      <c r="R1040" s="71" t="s">
        <v>625</v>
      </c>
      <c r="S1040" s="71">
        <v>7414000005</v>
      </c>
      <c r="AB1040"/>
      <c r="AC1040"/>
    </row>
    <row r="1041" spans="1:29" x14ac:dyDescent="0.25">
      <c r="A1041" t="str">
        <f t="shared" si="17"/>
        <v xml:space="preserve">1000001573POSAS95 271230      </v>
      </c>
      <c r="B1041" s="71">
        <v>1008777</v>
      </c>
      <c r="C1041" s="71" t="s">
        <v>775</v>
      </c>
      <c r="D1041" s="71" t="s">
        <v>366</v>
      </c>
      <c r="E1041" s="71" t="s">
        <v>623</v>
      </c>
      <c r="F1041" s="71" t="s">
        <v>773</v>
      </c>
      <c r="G1041" s="74">
        <v>0</v>
      </c>
      <c r="H1041" s="72">
        <v>0</v>
      </c>
      <c r="I1041" s="73">
        <v>30469637.100000001</v>
      </c>
      <c r="J1041" s="72">
        <v>0</v>
      </c>
      <c r="K1041" s="73">
        <v>0</v>
      </c>
      <c r="L1041" s="74">
        <v>0</v>
      </c>
      <c r="M1041" s="73">
        <v>0</v>
      </c>
      <c r="N1041" s="74">
        <v>0</v>
      </c>
      <c r="O1041" s="73">
        <v>0</v>
      </c>
      <c r="P1041" s="74">
        <v>0</v>
      </c>
      <c r="Q1041" s="73">
        <v>30469637.100000001</v>
      </c>
      <c r="R1041" s="71" t="s">
        <v>625</v>
      </c>
      <c r="S1041" s="71">
        <v>7414000005</v>
      </c>
      <c r="AB1041"/>
      <c r="AC1041"/>
    </row>
    <row r="1042" spans="1:29" x14ac:dyDescent="0.25">
      <c r="A1042" t="str">
        <f t="shared" si="17"/>
        <v>1002455EFECTIVO</v>
      </c>
      <c r="B1042" s="71">
        <v>1008778</v>
      </c>
      <c r="C1042" s="71" t="s">
        <v>776</v>
      </c>
      <c r="D1042" s="71" t="s">
        <v>366</v>
      </c>
      <c r="E1042" s="71" t="s">
        <v>623</v>
      </c>
      <c r="F1042" s="71" t="s">
        <v>773</v>
      </c>
      <c r="G1042" s="74">
        <v>0</v>
      </c>
      <c r="H1042" s="72">
        <v>0</v>
      </c>
      <c r="I1042" s="73">
        <v>2673834.7000000002</v>
      </c>
      <c r="J1042" s="72">
        <v>0</v>
      </c>
      <c r="K1042" s="73">
        <v>0</v>
      </c>
      <c r="L1042" s="74">
        <v>0</v>
      </c>
      <c r="M1042" s="73">
        <v>0</v>
      </c>
      <c r="N1042" s="74">
        <v>0</v>
      </c>
      <c r="O1042" s="73">
        <v>0</v>
      </c>
      <c r="P1042" s="74">
        <v>0</v>
      </c>
      <c r="Q1042" s="73">
        <v>2673834.7000000002</v>
      </c>
      <c r="R1042" s="71" t="s">
        <v>625</v>
      </c>
      <c r="S1042" s="71">
        <v>7414000005</v>
      </c>
      <c r="AB1042"/>
      <c r="AC1042"/>
    </row>
    <row r="1043" spans="1:29" x14ac:dyDescent="0.25">
      <c r="A1043" t="str">
        <f t="shared" si="17"/>
        <v>1008777EFECTIVO</v>
      </c>
      <c r="B1043" s="71">
        <v>1018014</v>
      </c>
      <c r="C1043" s="71" t="s">
        <v>777</v>
      </c>
      <c r="D1043" s="71" t="s">
        <v>366</v>
      </c>
      <c r="E1043" s="71" t="s">
        <v>623</v>
      </c>
      <c r="F1043" s="71" t="s">
        <v>773</v>
      </c>
      <c r="G1043" s="74">
        <v>0</v>
      </c>
      <c r="H1043" s="72">
        <v>0</v>
      </c>
      <c r="I1043" s="73">
        <v>4309.26</v>
      </c>
      <c r="J1043" s="72">
        <v>0</v>
      </c>
      <c r="K1043" s="73">
        <v>0</v>
      </c>
      <c r="L1043" s="74">
        <v>0</v>
      </c>
      <c r="M1043" s="73">
        <v>0</v>
      </c>
      <c r="N1043" s="74">
        <v>0</v>
      </c>
      <c r="O1043" s="73">
        <v>0</v>
      </c>
      <c r="P1043" s="74">
        <v>0</v>
      </c>
      <c r="Q1043" s="73">
        <v>4309.26</v>
      </c>
      <c r="R1043" s="71" t="s">
        <v>625</v>
      </c>
      <c r="S1043" s="71">
        <v>7414000005</v>
      </c>
      <c r="AB1043"/>
      <c r="AC1043"/>
    </row>
    <row r="1044" spans="1:29" x14ac:dyDescent="0.25">
      <c r="A1044" t="str">
        <f t="shared" si="17"/>
        <v>1008778EFECTIVO</v>
      </c>
      <c r="B1044" s="71">
        <v>1018122</v>
      </c>
      <c r="C1044" s="71" t="s">
        <v>774</v>
      </c>
      <c r="D1044" s="71" t="s">
        <v>366</v>
      </c>
      <c r="E1044" s="71" t="s">
        <v>623</v>
      </c>
      <c r="F1044" s="71" t="s">
        <v>773</v>
      </c>
      <c r="G1044" s="74">
        <v>0</v>
      </c>
      <c r="H1044" s="72">
        <v>0</v>
      </c>
      <c r="I1044" s="73">
        <v>59838.68</v>
      </c>
      <c r="J1044" s="72">
        <v>0</v>
      </c>
      <c r="K1044" s="73">
        <v>0</v>
      </c>
      <c r="L1044" s="74">
        <v>0</v>
      </c>
      <c r="M1044" s="73">
        <v>0</v>
      </c>
      <c r="N1044" s="74">
        <v>0</v>
      </c>
      <c r="O1044" s="73">
        <v>0</v>
      </c>
      <c r="P1044" s="74">
        <v>0</v>
      </c>
      <c r="Q1044" s="73">
        <v>59838.68</v>
      </c>
      <c r="R1044" s="71" t="s">
        <v>625</v>
      </c>
      <c r="S1044" s="71">
        <v>7414000005</v>
      </c>
      <c r="AB1044"/>
      <c r="AC1044"/>
    </row>
    <row r="1045" spans="1:29" x14ac:dyDescent="0.25">
      <c r="A1045" t="str">
        <f t="shared" si="17"/>
        <v>1018014EFECTIVO</v>
      </c>
      <c r="B1045" s="71">
        <v>1018302</v>
      </c>
      <c r="C1045" s="71" t="s">
        <v>774</v>
      </c>
      <c r="D1045" s="71" t="s">
        <v>366</v>
      </c>
      <c r="E1045" s="71" t="s">
        <v>623</v>
      </c>
      <c r="F1045" s="71" t="s">
        <v>773</v>
      </c>
      <c r="G1045" s="74">
        <v>0</v>
      </c>
      <c r="H1045" s="72">
        <v>0</v>
      </c>
      <c r="I1045" s="73">
        <v>2957355.92</v>
      </c>
      <c r="J1045" s="72">
        <v>0</v>
      </c>
      <c r="K1045" s="73">
        <v>0</v>
      </c>
      <c r="L1045" s="74">
        <v>0</v>
      </c>
      <c r="M1045" s="73">
        <v>0</v>
      </c>
      <c r="N1045" s="74">
        <v>0</v>
      </c>
      <c r="O1045" s="73">
        <v>0</v>
      </c>
      <c r="P1045" s="74">
        <v>0</v>
      </c>
      <c r="Q1045" s="73">
        <v>2957355.92</v>
      </c>
      <c r="R1045" s="71" t="s">
        <v>625</v>
      </c>
      <c r="S1045" s="71">
        <v>7414000005</v>
      </c>
      <c r="AB1045"/>
      <c r="AC1045"/>
    </row>
    <row r="1046" spans="1:29" x14ac:dyDescent="0.25">
      <c r="A1046" t="str">
        <f t="shared" si="17"/>
        <v>1018122EFECTIVO</v>
      </c>
      <c r="B1046" s="71">
        <v>142481</v>
      </c>
      <c r="C1046" s="71" t="s">
        <v>777</v>
      </c>
      <c r="D1046" s="71" t="s">
        <v>366</v>
      </c>
      <c r="E1046" s="71" t="s">
        <v>623</v>
      </c>
      <c r="F1046" s="71" t="s">
        <v>773</v>
      </c>
      <c r="G1046" s="74">
        <v>0</v>
      </c>
      <c r="H1046" s="72">
        <v>0</v>
      </c>
      <c r="I1046" s="73">
        <v>1058388.8999999999</v>
      </c>
      <c r="J1046" s="72">
        <v>0</v>
      </c>
      <c r="K1046" s="73">
        <v>0</v>
      </c>
      <c r="L1046" s="74">
        <v>0</v>
      </c>
      <c r="M1046" s="73">
        <v>0</v>
      </c>
      <c r="N1046" s="74">
        <v>0</v>
      </c>
      <c r="O1046" s="73">
        <v>0</v>
      </c>
      <c r="P1046" s="74">
        <v>0</v>
      </c>
      <c r="Q1046" s="73">
        <v>1058388.8999999999</v>
      </c>
      <c r="R1046" s="71" t="s">
        <v>625</v>
      </c>
      <c r="S1046" s="71">
        <v>7414000005</v>
      </c>
      <c r="AB1046"/>
      <c r="AC1046"/>
    </row>
    <row r="1047" spans="1:29" x14ac:dyDescent="0.25">
      <c r="A1047" t="str">
        <f t="shared" si="17"/>
        <v>1018302EFECTIVO</v>
      </c>
      <c r="B1047" s="71">
        <v>142482</v>
      </c>
      <c r="C1047" s="71" t="s">
        <v>777</v>
      </c>
      <c r="D1047" s="71" t="s">
        <v>366</v>
      </c>
      <c r="E1047" s="71" t="s">
        <v>623</v>
      </c>
      <c r="F1047" s="71" t="s">
        <v>773</v>
      </c>
      <c r="G1047" s="74">
        <v>0</v>
      </c>
      <c r="H1047" s="72">
        <v>0</v>
      </c>
      <c r="I1047" s="73">
        <v>208796.14</v>
      </c>
      <c r="J1047" s="72">
        <v>0</v>
      </c>
      <c r="K1047" s="73">
        <v>0</v>
      </c>
      <c r="L1047" s="74">
        <v>0</v>
      </c>
      <c r="M1047" s="73">
        <v>0</v>
      </c>
      <c r="N1047" s="74">
        <v>0</v>
      </c>
      <c r="O1047" s="73">
        <v>0</v>
      </c>
      <c r="P1047" s="74">
        <v>0</v>
      </c>
      <c r="Q1047" s="73">
        <v>208796.14</v>
      </c>
      <c r="R1047" s="71" t="s">
        <v>625</v>
      </c>
      <c r="S1047" s="71">
        <v>7414000005</v>
      </c>
      <c r="AB1047"/>
      <c r="AC1047"/>
    </row>
    <row r="1048" spans="1:29" x14ac:dyDescent="0.25">
      <c r="A1048" t="str">
        <f t="shared" si="17"/>
        <v>142481EFECTIVO</v>
      </c>
      <c r="B1048" s="71">
        <v>2000123</v>
      </c>
      <c r="C1048" s="71" t="s">
        <v>778</v>
      </c>
      <c r="D1048" s="71" t="s">
        <v>558</v>
      </c>
      <c r="E1048" s="71" t="s">
        <v>623</v>
      </c>
      <c r="F1048" s="71" t="s">
        <v>624</v>
      </c>
      <c r="G1048" s="74">
        <v>0</v>
      </c>
      <c r="H1048" s="72">
        <v>0</v>
      </c>
      <c r="I1048" s="73">
        <v>0</v>
      </c>
      <c r="J1048" s="72">
        <v>0</v>
      </c>
      <c r="K1048" s="73">
        <v>0</v>
      </c>
      <c r="L1048" s="74">
        <v>0</v>
      </c>
      <c r="M1048" s="73">
        <v>0</v>
      </c>
      <c r="N1048" s="74">
        <v>0</v>
      </c>
      <c r="O1048" s="73">
        <v>0</v>
      </c>
      <c r="P1048" s="74">
        <v>0</v>
      </c>
      <c r="Q1048" s="73">
        <v>0</v>
      </c>
      <c r="R1048" s="71" t="s">
        <v>625</v>
      </c>
      <c r="S1048" s="71">
        <v>7414000005</v>
      </c>
      <c r="AB1048"/>
      <c r="AC1048"/>
    </row>
    <row r="1049" spans="1:29" x14ac:dyDescent="0.25">
      <c r="A1049" t="str">
        <f t="shared" si="17"/>
        <v>142482EFECTIVO</v>
      </c>
      <c r="B1049" s="71">
        <v>2000123</v>
      </c>
      <c r="C1049" s="71" t="s">
        <v>778</v>
      </c>
      <c r="D1049" s="71" t="s">
        <v>559</v>
      </c>
      <c r="E1049" s="71" t="s">
        <v>623</v>
      </c>
      <c r="F1049" s="71" t="s">
        <v>624</v>
      </c>
      <c r="G1049" s="74">
        <v>0</v>
      </c>
      <c r="H1049" s="72">
        <v>0</v>
      </c>
      <c r="I1049" s="73">
        <v>0</v>
      </c>
      <c r="J1049" s="72">
        <v>0</v>
      </c>
      <c r="K1049" s="73">
        <v>0</v>
      </c>
      <c r="L1049" s="74">
        <v>0</v>
      </c>
      <c r="M1049" s="73">
        <v>0</v>
      </c>
      <c r="N1049" s="74">
        <v>0</v>
      </c>
      <c r="O1049" s="73">
        <v>0</v>
      </c>
      <c r="P1049" s="74">
        <v>0</v>
      </c>
      <c r="Q1049" s="73">
        <v>0</v>
      </c>
      <c r="R1049" s="71" t="s">
        <v>625</v>
      </c>
      <c r="S1049" s="71">
        <v>7414000005</v>
      </c>
      <c r="AB1049"/>
      <c r="AC1049"/>
    </row>
    <row r="1050" spans="1:29" x14ac:dyDescent="0.25">
      <c r="A1050" t="str">
        <f t="shared" si="17"/>
        <v xml:space="preserve">2000123AMX 10-2            </v>
      </c>
      <c r="B1050" s="71">
        <v>2000123</v>
      </c>
      <c r="C1050" s="71" t="s">
        <v>778</v>
      </c>
      <c r="D1050" s="71" t="s">
        <v>560</v>
      </c>
      <c r="E1050" s="71" t="s">
        <v>623</v>
      </c>
      <c r="F1050" s="71" t="s">
        <v>624</v>
      </c>
      <c r="G1050" s="74">
        <v>0</v>
      </c>
      <c r="H1050" s="72">
        <v>0</v>
      </c>
      <c r="I1050" s="73">
        <v>0</v>
      </c>
      <c r="J1050" s="72">
        <v>0</v>
      </c>
      <c r="K1050" s="73">
        <v>0</v>
      </c>
      <c r="L1050" s="74">
        <v>0</v>
      </c>
      <c r="M1050" s="73">
        <v>0</v>
      </c>
      <c r="N1050" s="74">
        <v>0</v>
      </c>
      <c r="O1050" s="73">
        <v>0</v>
      </c>
      <c r="P1050" s="74">
        <v>0</v>
      </c>
      <c r="Q1050" s="73">
        <v>0</v>
      </c>
      <c r="R1050" s="71" t="s">
        <v>625</v>
      </c>
      <c r="S1050" s="71">
        <v>7414000005</v>
      </c>
      <c r="AB1050"/>
      <c r="AC1050"/>
    </row>
    <row r="1051" spans="1:29" x14ac:dyDescent="0.25">
      <c r="A1051" t="str">
        <f t="shared" si="17"/>
        <v xml:space="preserve">2000123CBIC003 210128      </v>
      </c>
      <c r="B1051" s="71">
        <v>2000123</v>
      </c>
      <c r="C1051" s="71" t="s">
        <v>778</v>
      </c>
      <c r="D1051" s="71" t="s">
        <v>561</v>
      </c>
      <c r="E1051" s="71" t="s">
        <v>623</v>
      </c>
      <c r="F1051" s="71" t="s">
        <v>624</v>
      </c>
      <c r="G1051" s="74">
        <v>0</v>
      </c>
      <c r="H1051" s="72">
        <v>0</v>
      </c>
      <c r="I1051" s="73">
        <v>0</v>
      </c>
      <c r="J1051" s="72">
        <v>0</v>
      </c>
      <c r="K1051" s="73">
        <v>0</v>
      </c>
      <c r="L1051" s="74">
        <v>0</v>
      </c>
      <c r="M1051" s="73">
        <v>0</v>
      </c>
      <c r="N1051" s="74">
        <v>0</v>
      </c>
      <c r="O1051" s="73">
        <v>0</v>
      </c>
      <c r="P1051" s="74">
        <v>0</v>
      </c>
      <c r="Q1051" s="73">
        <v>0</v>
      </c>
      <c r="R1051" s="71" t="s">
        <v>625</v>
      </c>
      <c r="S1051" s="71">
        <v>7414000005</v>
      </c>
      <c r="AB1051"/>
      <c r="AC1051"/>
    </row>
    <row r="1052" spans="1:29" x14ac:dyDescent="0.25">
      <c r="A1052" t="str">
        <f t="shared" si="17"/>
        <v xml:space="preserve">2000123CBIC007 221208      </v>
      </c>
      <c r="B1052" s="71">
        <v>2000123</v>
      </c>
      <c r="C1052" s="71" t="s">
        <v>778</v>
      </c>
      <c r="D1052" s="71" t="s">
        <v>562</v>
      </c>
      <c r="E1052" s="71" t="s">
        <v>623</v>
      </c>
      <c r="F1052" s="71" t="s">
        <v>624</v>
      </c>
      <c r="G1052" s="74">
        <v>0</v>
      </c>
      <c r="H1052" s="72">
        <v>0</v>
      </c>
      <c r="I1052" s="73">
        <v>0</v>
      </c>
      <c r="J1052" s="72">
        <v>0</v>
      </c>
      <c r="K1052" s="73">
        <v>0</v>
      </c>
      <c r="L1052" s="74">
        <v>0</v>
      </c>
      <c r="M1052" s="73">
        <v>0</v>
      </c>
      <c r="N1052" s="74">
        <v>0</v>
      </c>
      <c r="O1052" s="73">
        <v>0</v>
      </c>
      <c r="P1052" s="74">
        <v>0</v>
      </c>
      <c r="Q1052" s="73">
        <v>0</v>
      </c>
      <c r="R1052" s="71" t="s">
        <v>625</v>
      </c>
      <c r="S1052" s="71">
        <v>7414000005</v>
      </c>
      <c r="AB1052"/>
      <c r="AC1052"/>
    </row>
    <row r="1053" spans="1:29" x14ac:dyDescent="0.25">
      <c r="A1053" t="str">
        <f t="shared" si="17"/>
        <v xml:space="preserve">2000123CBIC008 231207      </v>
      </c>
      <c r="B1053" s="71">
        <v>2000123</v>
      </c>
      <c r="C1053" s="71" t="s">
        <v>778</v>
      </c>
      <c r="D1053" s="71" t="s">
        <v>563</v>
      </c>
      <c r="E1053" s="71" t="s">
        <v>623</v>
      </c>
      <c r="F1053" s="71" t="s">
        <v>624</v>
      </c>
      <c r="G1053" s="74">
        <v>0</v>
      </c>
      <c r="H1053" s="72">
        <v>0</v>
      </c>
      <c r="I1053" s="73">
        <v>0</v>
      </c>
      <c r="J1053" s="72">
        <v>0</v>
      </c>
      <c r="K1053" s="73">
        <v>0</v>
      </c>
      <c r="L1053" s="74">
        <v>0</v>
      </c>
      <c r="M1053" s="73">
        <v>0</v>
      </c>
      <c r="N1053" s="74">
        <v>0</v>
      </c>
      <c r="O1053" s="73">
        <v>0</v>
      </c>
      <c r="P1053" s="74">
        <v>0</v>
      </c>
      <c r="Q1053" s="73">
        <v>0</v>
      </c>
      <c r="R1053" s="71" t="s">
        <v>625</v>
      </c>
      <c r="S1053" s="71">
        <v>7414000005</v>
      </c>
      <c r="AB1053"/>
      <c r="AC1053"/>
    </row>
    <row r="1054" spans="1:29" x14ac:dyDescent="0.25">
      <c r="A1054" t="str">
        <f t="shared" si="17"/>
        <v xml:space="preserve">2000123CETES 140821        </v>
      </c>
      <c r="B1054" s="71">
        <v>2000123</v>
      </c>
      <c r="C1054" s="71" t="s">
        <v>778</v>
      </c>
      <c r="D1054" s="71" t="s">
        <v>443</v>
      </c>
      <c r="E1054" s="71" t="s">
        <v>623</v>
      </c>
      <c r="F1054" s="71" t="s">
        <v>624</v>
      </c>
      <c r="G1054" s="74">
        <v>0</v>
      </c>
      <c r="H1054" s="72">
        <v>0</v>
      </c>
      <c r="I1054" s="73">
        <v>0</v>
      </c>
      <c r="J1054" s="72">
        <v>0</v>
      </c>
      <c r="K1054" s="73">
        <v>0</v>
      </c>
      <c r="L1054" s="74">
        <v>0</v>
      </c>
      <c r="M1054" s="73">
        <v>0</v>
      </c>
      <c r="N1054" s="74">
        <v>0</v>
      </c>
      <c r="O1054" s="73">
        <v>0</v>
      </c>
      <c r="P1054" s="74">
        <v>0</v>
      </c>
      <c r="Q1054" s="73">
        <v>0</v>
      </c>
      <c r="R1054" s="71" t="s">
        <v>625</v>
      </c>
      <c r="S1054" s="71">
        <v>7414000005</v>
      </c>
      <c r="AB1054"/>
      <c r="AC1054"/>
    </row>
    <row r="1055" spans="1:29" x14ac:dyDescent="0.25">
      <c r="A1055" t="str">
        <f t="shared" si="17"/>
        <v xml:space="preserve">2000123CETES 141211        </v>
      </c>
      <c r="B1055" s="71">
        <v>2000123</v>
      </c>
      <c r="C1055" s="71" t="s">
        <v>778</v>
      </c>
      <c r="D1055" s="71" t="s">
        <v>564</v>
      </c>
      <c r="E1055" s="71" t="s">
        <v>623</v>
      </c>
      <c r="F1055" s="71" t="s">
        <v>624</v>
      </c>
      <c r="G1055" s="74">
        <v>0</v>
      </c>
      <c r="H1055" s="72">
        <v>0</v>
      </c>
      <c r="I1055" s="73">
        <v>0</v>
      </c>
      <c r="J1055" s="72">
        <v>0</v>
      </c>
      <c r="K1055" s="73">
        <v>0</v>
      </c>
      <c r="L1055" s="74">
        <v>0</v>
      </c>
      <c r="M1055" s="73">
        <v>0</v>
      </c>
      <c r="N1055" s="74">
        <v>0</v>
      </c>
      <c r="O1055" s="73">
        <v>0</v>
      </c>
      <c r="P1055" s="74">
        <v>0</v>
      </c>
      <c r="Q1055" s="73">
        <v>0</v>
      </c>
      <c r="R1055" s="71" t="s">
        <v>625</v>
      </c>
      <c r="S1055" s="71">
        <v>7414000005</v>
      </c>
      <c r="AB1055"/>
      <c r="AC1055"/>
    </row>
    <row r="1056" spans="1:29" x14ac:dyDescent="0.25">
      <c r="A1056" t="str">
        <f t="shared" si="17"/>
        <v xml:space="preserve">2000123GOBFED 180614       </v>
      </c>
      <c r="B1056" s="71">
        <v>2000123</v>
      </c>
      <c r="C1056" s="71" t="s">
        <v>778</v>
      </c>
      <c r="D1056" s="71" t="s">
        <v>445</v>
      </c>
      <c r="E1056" s="71" t="s">
        <v>623</v>
      </c>
      <c r="F1056" s="71" t="s">
        <v>624</v>
      </c>
      <c r="G1056" s="74">
        <v>0</v>
      </c>
      <c r="H1056" s="72">
        <v>0</v>
      </c>
      <c r="I1056" s="73">
        <v>0</v>
      </c>
      <c r="J1056" s="72">
        <v>0</v>
      </c>
      <c r="K1056" s="73">
        <v>0</v>
      </c>
      <c r="L1056" s="74">
        <v>0</v>
      </c>
      <c r="M1056" s="73">
        <v>0</v>
      </c>
      <c r="N1056" s="74">
        <v>0</v>
      </c>
      <c r="O1056" s="73">
        <v>0</v>
      </c>
      <c r="P1056" s="74">
        <v>0</v>
      </c>
      <c r="Q1056" s="73">
        <v>0</v>
      </c>
      <c r="R1056" s="71" t="s">
        <v>625</v>
      </c>
      <c r="S1056" s="71">
        <v>7414000005</v>
      </c>
      <c r="AB1056"/>
      <c r="AC1056"/>
    </row>
    <row r="1057" spans="1:29" x14ac:dyDescent="0.25">
      <c r="A1057" t="str">
        <f t="shared" si="17"/>
        <v xml:space="preserve">2000123GOBFED 181213       </v>
      </c>
      <c r="B1057" s="71">
        <v>2000123</v>
      </c>
      <c r="C1057" s="71" t="s">
        <v>778</v>
      </c>
      <c r="D1057" s="71" t="s">
        <v>382</v>
      </c>
      <c r="E1057" s="71" t="s">
        <v>623</v>
      </c>
      <c r="F1057" s="71" t="s">
        <v>624</v>
      </c>
      <c r="G1057" s="74">
        <v>0</v>
      </c>
      <c r="H1057" s="72">
        <v>0</v>
      </c>
      <c r="I1057" s="73">
        <v>0</v>
      </c>
      <c r="J1057" s="72">
        <v>0</v>
      </c>
      <c r="K1057" s="73">
        <v>0</v>
      </c>
      <c r="L1057" s="74">
        <v>0</v>
      </c>
      <c r="M1057" s="73">
        <v>0</v>
      </c>
      <c r="N1057" s="74">
        <v>0</v>
      </c>
      <c r="O1057" s="73">
        <v>0</v>
      </c>
      <c r="P1057" s="74">
        <v>0</v>
      </c>
      <c r="Q1057" s="73">
        <v>0</v>
      </c>
      <c r="R1057" s="71" t="s">
        <v>625</v>
      </c>
      <c r="S1057" s="71">
        <v>7414000005</v>
      </c>
      <c r="AB1057"/>
      <c r="AC1057"/>
    </row>
    <row r="1058" spans="1:29" x14ac:dyDescent="0.25">
      <c r="A1058" t="str">
        <f t="shared" si="17"/>
        <v xml:space="preserve">2000123GOBFED 200611       </v>
      </c>
      <c r="B1058" s="71">
        <v>2000123</v>
      </c>
      <c r="C1058" s="71" t="s">
        <v>778</v>
      </c>
      <c r="D1058" s="71" t="s">
        <v>565</v>
      </c>
      <c r="E1058" s="71" t="s">
        <v>623</v>
      </c>
      <c r="F1058" s="71" t="s">
        <v>624</v>
      </c>
      <c r="G1058" s="74">
        <v>0</v>
      </c>
      <c r="H1058" s="72">
        <v>0</v>
      </c>
      <c r="I1058" s="73">
        <v>0</v>
      </c>
      <c r="J1058" s="72">
        <v>0</v>
      </c>
      <c r="K1058" s="73">
        <v>0</v>
      </c>
      <c r="L1058" s="74">
        <v>0</v>
      </c>
      <c r="M1058" s="73">
        <v>0</v>
      </c>
      <c r="N1058" s="74">
        <v>0</v>
      </c>
      <c r="O1058" s="73">
        <v>0</v>
      </c>
      <c r="P1058" s="74">
        <v>0</v>
      </c>
      <c r="Q1058" s="73">
        <v>0</v>
      </c>
      <c r="R1058" s="71" t="s">
        <v>625</v>
      </c>
      <c r="S1058" s="71">
        <v>7414000005</v>
      </c>
      <c r="AB1058"/>
      <c r="AC1058"/>
    </row>
    <row r="1059" spans="1:29" x14ac:dyDescent="0.25">
      <c r="A1059" t="str">
        <f t="shared" si="17"/>
        <v xml:space="preserve">2000123GOBFED 310529       </v>
      </c>
      <c r="B1059" s="71">
        <v>2000123</v>
      </c>
      <c r="C1059" s="71" t="s">
        <v>778</v>
      </c>
      <c r="D1059" s="71" t="s">
        <v>448</v>
      </c>
      <c r="E1059" s="71" t="s">
        <v>623</v>
      </c>
      <c r="F1059" s="71" t="s">
        <v>624</v>
      </c>
      <c r="G1059" s="74">
        <v>0</v>
      </c>
      <c r="H1059" s="72">
        <v>0</v>
      </c>
      <c r="I1059" s="73">
        <v>0</v>
      </c>
      <c r="J1059" s="72">
        <v>0</v>
      </c>
      <c r="K1059" s="73">
        <v>0</v>
      </c>
      <c r="L1059" s="74">
        <v>0</v>
      </c>
      <c r="M1059" s="73">
        <v>0</v>
      </c>
      <c r="N1059" s="74">
        <v>0</v>
      </c>
      <c r="O1059" s="73">
        <v>0</v>
      </c>
      <c r="P1059" s="74">
        <v>0</v>
      </c>
      <c r="Q1059" s="73">
        <v>0</v>
      </c>
      <c r="R1059" s="71" t="s">
        <v>625</v>
      </c>
      <c r="S1059" s="71">
        <v>7414000005</v>
      </c>
      <c r="AB1059"/>
      <c r="AC1059"/>
    </row>
    <row r="1060" spans="1:29" x14ac:dyDescent="0.25">
      <c r="A1060" t="str">
        <f t="shared" si="17"/>
        <v xml:space="preserve">2000123UDIBONO 141218      </v>
      </c>
      <c r="B1060" s="71">
        <v>2000123</v>
      </c>
      <c r="C1060" s="71" t="s">
        <v>778</v>
      </c>
      <c r="D1060" s="71" t="s">
        <v>450</v>
      </c>
      <c r="E1060" s="71" t="s">
        <v>623</v>
      </c>
      <c r="F1060" s="71" t="s">
        <v>624</v>
      </c>
      <c r="G1060" s="74">
        <v>0</v>
      </c>
      <c r="H1060" s="72">
        <v>0</v>
      </c>
      <c r="I1060" s="73">
        <v>0</v>
      </c>
      <c r="J1060" s="72">
        <v>0</v>
      </c>
      <c r="K1060" s="73">
        <v>0</v>
      </c>
      <c r="L1060" s="74">
        <v>0</v>
      </c>
      <c r="M1060" s="73">
        <v>0</v>
      </c>
      <c r="N1060" s="74">
        <v>0</v>
      </c>
      <c r="O1060" s="73">
        <v>0</v>
      </c>
      <c r="P1060" s="74">
        <v>0</v>
      </c>
      <c r="Q1060" s="73">
        <v>0</v>
      </c>
      <c r="R1060" s="71" t="s">
        <v>625</v>
      </c>
      <c r="S1060" s="71">
        <v>7414000005</v>
      </c>
      <c r="AB1060"/>
      <c r="AC1060"/>
    </row>
    <row r="1061" spans="1:29" x14ac:dyDescent="0.25">
      <c r="A1061" t="str">
        <f t="shared" si="17"/>
        <v xml:space="preserve">2000123UDIBONO 160616      </v>
      </c>
      <c r="B1061" s="71">
        <v>2000123</v>
      </c>
      <c r="C1061" s="71" t="s">
        <v>778</v>
      </c>
      <c r="D1061" s="71" t="s">
        <v>451</v>
      </c>
      <c r="E1061" s="71" t="s">
        <v>623</v>
      </c>
      <c r="F1061" s="71" t="s">
        <v>624</v>
      </c>
      <c r="G1061" s="74">
        <v>0</v>
      </c>
      <c r="H1061" s="72">
        <v>0</v>
      </c>
      <c r="I1061" s="73">
        <v>0</v>
      </c>
      <c r="J1061" s="72">
        <v>0</v>
      </c>
      <c r="K1061" s="73">
        <v>0</v>
      </c>
      <c r="L1061" s="74">
        <v>0</v>
      </c>
      <c r="M1061" s="73">
        <v>0</v>
      </c>
      <c r="N1061" s="74">
        <v>0</v>
      </c>
      <c r="O1061" s="73">
        <v>0</v>
      </c>
      <c r="P1061" s="74">
        <v>0</v>
      </c>
      <c r="Q1061" s="73">
        <v>0</v>
      </c>
      <c r="R1061" s="71" t="s">
        <v>625</v>
      </c>
      <c r="S1061" s="71">
        <v>7414000005</v>
      </c>
      <c r="AB1061"/>
      <c r="AC1061"/>
    </row>
    <row r="1062" spans="1:29" x14ac:dyDescent="0.25">
      <c r="A1062" t="str">
        <f t="shared" si="17"/>
        <v xml:space="preserve">2000123UDIBONO 190613      </v>
      </c>
      <c r="B1062" s="71">
        <v>2000123</v>
      </c>
      <c r="C1062" s="71" t="s">
        <v>778</v>
      </c>
      <c r="D1062" s="71" t="s">
        <v>391</v>
      </c>
      <c r="E1062" s="71" t="s">
        <v>623</v>
      </c>
      <c r="F1062" s="71" t="s">
        <v>624</v>
      </c>
      <c r="G1062" s="74">
        <v>0</v>
      </c>
      <c r="H1062" s="72">
        <v>0</v>
      </c>
      <c r="I1062" s="73">
        <v>0</v>
      </c>
      <c r="J1062" s="72">
        <v>0</v>
      </c>
      <c r="K1062" s="73">
        <v>0</v>
      </c>
      <c r="L1062" s="74">
        <v>0</v>
      </c>
      <c r="M1062" s="73">
        <v>0</v>
      </c>
      <c r="N1062" s="74">
        <v>0</v>
      </c>
      <c r="O1062" s="73">
        <v>0</v>
      </c>
      <c r="P1062" s="74">
        <v>0</v>
      </c>
      <c r="Q1062" s="73">
        <v>0</v>
      </c>
      <c r="R1062" s="71" t="s">
        <v>625</v>
      </c>
      <c r="S1062" s="71">
        <v>7414000005</v>
      </c>
      <c r="AB1062"/>
      <c r="AC1062"/>
    </row>
    <row r="1063" spans="1:29" x14ac:dyDescent="0.25">
      <c r="A1063" t="str">
        <f t="shared" si="17"/>
        <v xml:space="preserve">2000123UDIBONO 201210      </v>
      </c>
      <c r="B1063" s="71">
        <v>2000123</v>
      </c>
      <c r="C1063" s="71" t="s">
        <v>778</v>
      </c>
      <c r="D1063" s="71" t="s">
        <v>396</v>
      </c>
      <c r="E1063" s="71" t="s">
        <v>623</v>
      </c>
      <c r="F1063" s="71" t="s">
        <v>624</v>
      </c>
      <c r="G1063" s="74">
        <v>0</v>
      </c>
      <c r="H1063" s="72">
        <v>0</v>
      </c>
      <c r="I1063" s="73">
        <v>0</v>
      </c>
      <c r="J1063" s="72">
        <v>0</v>
      </c>
      <c r="K1063" s="73">
        <v>0</v>
      </c>
      <c r="L1063" s="74">
        <v>0</v>
      </c>
      <c r="M1063" s="73">
        <v>0</v>
      </c>
      <c r="N1063" s="74">
        <v>0</v>
      </c>
      <c r="O1063" s="73">
        <v>0</v>
      </c>
      <c r="P1063" s="74">
        <v>0</v>
      </c>
      <c r="Q1063" s="73">
        <v>0</v>
      </c>
      <c r="R1063" s="71" t="s">
        <v>625</v>
      </c>
      <c r="S1063" s="71">
        <v>7414000005</v>
      </c>
      <c r="AB1063"/>
      <c r="AC1063"/>
    </row>
    <row r="1064" spans="1:29" x14ac:dyDescent="0.25">
      <c r="A1064" t="str">
        <f t="shared" si="17"/>
        <v xml:space="preserve">2000123UDIBONO 251204      </v>
      </c>
      <c r="B1064" s="71">
        <v>2000146</v>
      </c>
      <c r="C1064" s="71" t="s">
        <v>779</v>
      </c>
      <c r="D1064" s="71" t="s">
        <v>376</v>
      </c>
      <c r="E1064" s="71" t="s">
        <v>623</v>
      </c>
      <c r="F1064" s="71" t="s">
        <v>624</v>
      </c>
      <c r="G1064" s="74">
        <v>0</v>
      </c>
      <c r="H1064" s="72">
        <v>0</v>
      </c>
      <c r="I1064" s="73">
        <v>0</v>
      </c>
      <c r="J1064" s="72">
        <v>0</v>
      </c>
      <c r="K1064" s="73">
        <v>0</v>
      </c>
      <c r="L1064" s="74">
        <v>0</v>
      </c>
      <c r="M1064" s="73">
        <v>0</v>
      </c>
      <c r="N1064" s="74">
        <v>0</v>
      </c>
      <c r="O1064" s="73">
        <v>0</v>
      </c>
      <c r="P1064" s="74">
        <v>0</v>
      </c>
      <c r="Q1064" s="73">
        <v>0</v>
      </c>
      <c r="R1064" s="71" t="s">
        <v>625</v>
      </c>
      <c r="S1064" s="71">
        <v>7414000005</v>
      </c>
      <c r="AB1064"/>
      <c r="AC1064"/>
    </row>
    <row r="1065" spans="1:29" x14ac:dyDescent="0.25">
      <c r="A1065" t="str">
        <f t="shared" si="17"/>
        <v xml:space="preserve">2000123UDIBONO 401115      </v>
      </c>
      <c r="B1065" s="71">
        <v>2000146</v>
      </c>
      <c r="C1065" s="71" t="s">
        <v>779</v>
      </c>
      <c r="D1065" s="71" t="s">
        <v>382</v>
      </c>
      <c r="E1065" s="71" t="s">
        <v>623</v>
      </c>
      <c r="F1065" s="71" t="s">
        <v>624</v>
      </c>
      <c r="G1065" s="74">
        <v>0</v>
      </c>
      <c r="H1065" s="72">
        <v>0</v>
      </c>
      <c r="I1065" s="73">
        <v>0</v>
      </c>
      <c r="J1065" s="72">
        <v>0</v>
      </c>
      <c r="K1065" s="73">
        <v>0</v>
      </c>
      <c r="L1065" s="74">
        <v>0</v>
      </c>
      <c r="M1065" s="73">
        <v>0</v>
      </c>
      <c r="N1065" s="74">
        <v>0</v>
      </c>
      <c r="O1065" s="73">
        <v>0</v>
      </c>
      <c r="P1065" s="74">
        <v>0</v>
      </c>
      <c r="Q1065" s="73">
        <v>0</v>
      </c>
      <c r="R1065" s="71" t="s">
        <v>625</v>
      </c>
      <c r="S1065" s="71">
        <v>7414000005</v>
      </c>
      <c r="AB1065"/>
      <c r="AC1065"/>
    </row>
    <row r="1066" spans="1:29" x14ac:dyDescent="0.25">
      <c r="A1066" t="str">
        <f t="shared" si="17"/>
        <v xml:space="preserve">2000146GOBFED 241205       </v>
      </c>
      <c r="B1066" s="71">
        <v>2000146</v>
      </c>
      <c r="C1066" s="71" t="s">
        <v>779</v>
      </c>
      <c r="D1066" s="71" t="s">
        <v>396</v>
      </c>
      <c r="E1066" s="71" t="s">
        <v>623</v>
      </c>
      <c r="F1066" s="71" t="s">
        <v>624</v>
      </c>
      <c r="G1066" s="74">
        <v>0</v>
      </c>
      <c r="H1066" s="72">
        <v>0</v>
      </c>
      <c r="I1066" s="73">
        <v>0</v>
      </c>
      <c r="J1066" s="72">
        <v>0</v>
      </c>
      <c r="K1066" s="73">
        <v>0</v>
      </c>
      <c r="L1066" s="74">
        <v>0</v>
      </c>
      <c r="M1066" s="73">
        <v>0</v>
      </c>
      <c r="N1066" s="74">
        <v>0</v>
      </c>
      <c r="O1066" s="73">
        <v>0</v>
      </c>
      <c r="P1066" s="74">
        <v>0</v>
      </c>
      <c r="Q1066" s="73">
        <v>0</v>
      </c>
      <c r="R1066" s="71" t="s">
        <v>625</v>
      </c>
      <c r="S1066" s="71">
        <v>7414000005</v>
      </c>
      <c r="AB1066"/>
      <c r="AC1066"/>
    </row>
    <row r="1067" spans="1:29" x14ac:dyDescent="0.25">
      <c r="A1067" t="str">
        <f t="shared" si="17"/>
        <v xml:space="preserve">2000146GOBFED 310529       </v>
      </c>
      <c r="B1067" s="71">
        <v>2000182</v>
      </c>
      <c r="C1067" s="71" t="s">
        <v>780</v>
      </c>
      <c r="D1067" s="71" t="s">
        <v>480</v>
      </c>
      <c r="E1067" s="71" t="s">
        <v>623</v>
      </c>
      <c r="F1067" s="71" t="s">
        <v>624</v>
      </c>
      <c r="G1067" s="74">
        <v>2061</v>
      </c>
      <c r="H1067" s="72">
        <v>3.612981</v>
      </c>
      <c r="I1067" s="73">
        <v>7446.3538410000001</v>
      </c>
      <c r="J1067" s="72">
        <v>3.6055361475012129</v>
      </c>
      <c r="K1067" s="73">
        <v>15.343840999999999</v>
      </c>
      <c r="L1067" s="74">
        <v>0</v>
      </c>
      <c r="M1067" s="73">
        <v>0</v>
      </c>
      <c r="N1067" s="74">
        <v>0</v>
      </c>
      <c r="O1067" s="73">
        <v>0</v>
      </c>
      <c r="P1067" s="74">
        <v>2061</v>
      </c>
      <c r="Q1067" s="73">
        <v>7446.3538410000001</v>
      </c>
      <c r="R1067" s="71" t="s">
        <v>625</v>
      </c>
      <c r="S1067" s="71">
        <v>7414000005</v>
      </c>
      <c r="AB1067"/>
      <c r="AC1067"/>
    </row>
    <row r="1068" spans="1:29" x14ac:dyDescent="0.25">
      <c r="A1068" t="str">
        <f t="shared" si="17"/>
        <v xml:space="preserve">2000146UDIBONO 401115      </v>
      </c>
      <c r="B1068" s="71">
        <v>2000182</v>
      </c>
      <c r="C1068" s="71" t="s">
        <v>780</v>
      </c>
      <c r="D1068" s="71" t="s">
        <v>416</v>
      </c>
      <c r="E1068" s="71" t="s">
        <v>623</v>
      </c>
      <c r="F1068" s="71" t="s">
        <v>624</v>
      </c>
      <c r="G1068" s="74">
        <v>1741</v>
      </c>
      <c r="H1068" s="72">
        <v>2.8149250000000001</v>
      </c>
      <c r="I1068" s="73">
        <v>4900.7844249999998</v>
      </c>
      <c r="J1068" s="72">
        <v>2.8372429638139001</v>
      </c>
      <c r="K1068" s="73">
        <v>-38.855575000000002</v>
      </c>
      <c r="L1068" s="74">
        <v>0</v>
      </c>
      <c r="M1068" s="73">
        <v>0</v>
      </c>
      <c r="N1068" s="74">
        <v>0</v>
      </c>
      <c r="O1068" s="73">
        <v>0</v>
      </c>
      <c r="P1068" s="74">
        <v>1741</v>
      </c>
      <c r="Q1068" s="73">
        <v>4900.7844249999998</v>
      </c>
      <c r="R1068" s="71" t="s">
        <v>625</v>
      </c>
      <c r="S1068" s="71">
        <v>7414000005</v>
      </c>
      <c r="AB1068"/>
      <c r="AC1068"/>
    </row>
    <row r="1069" spans="1:29" x14ac:dyDescent="0.25">
      <c r="A1069" t="str">
        <f t="shared" si="17"/>
        <v xml:space="preserve">2000182STERGOB B4          </v>
      </c>
      <c r="B1069" s="71">
        <v>2000183</v>
      </c>
      <c r="C1069" s="71" t="s">
        <v>781</v>
      </c>
      <c r="D1069" s="71" t="s">
        <v>480</v>
      </c>
      <c r="E1069" s="71" t="s">
        <v>623</v>
      </c>
      <c r="F1069" s="71" t="s">
        <v>624</v>
      </c>
      <c r="G1069" s="74">
        <v>20082</v>
      </c>
      <c r="H1069" s="72">
        <v>3.612981</v>
      </c>
      <c r="I1069" s="73">
        <v>72555.884441999995</v>
      </c>
      <c r="J1069" s="72">
        <v>3.6043003684891941</v>
      </c>
      <c r="K1069" s="73">
        <v>174.324442</v>
      </c>
      <c r="L1069" s="74">
        <v>0</v>
      </c>
      <c r="M1069" s="73">
        <v>0</v>
      </c>
      <c r="N1069" s="74">
        <v>0</v>
      </c>
      <c r="O1069" s="73">
        <v>0</v>
      </c>
      <c r="P1069" s="74">
        <v>20082</v>
      </c>
      <c r="Q1069" s="73">
        <v>72555.884441999995</v>
      </c>
      <c r="R1069" s="71" t="s">
        <v>625</v>
      </c>
      <c r="S1069" s="71">
        <v>7414000005</v>
      </c>
      <c r="AB1069"/>
      <c r="AC1069"/>
    </row>
    <row r="1070" spans="1:29" x14ac:dyDescent="0.25">
      <c r="A1070" t="str">
        <f t="shared" si="17"/>
        <v xml:space="preserve">2000182SVIVE60 S           </v>
      </c>
      <c r="B1070" s="71">
        <v>2000183</v>
      </c>
      <c r="C1070" s="71" t="s">
        <v>781</v>
      </c>
      <c r="D1070" s="71" t="s">
        <v>413</v>
      </c>
      <c r="E1070" s="71" t="s">
        <v>623</v>
      </c>
      <c r="F1070" s="71" t="s">
        <v>624</v>
      </c>
      <c r="G1070" s="74">
        <v>38519</v>
      </c>
      <c r="H1070" s="72">
        <v>137.04691399999999</v>
      </c>
      <c r="I1070" s="73">
        <v>5278910.0803659996</v>
      </c>
      <c r="J1070" s="72">
        <v>119.20162465276876</v>
      </c>
      <c r="K1070" s="73">
        <v>687382.70036599995</v>
      </c>
      <c r="L1070" s="74">
        <v>0</v>
      </c>
      <c r="M1070" s="73">
        <v>0</v>
      </c>
      <c r="N1070" s="74">
        <v>0</v>
      </c>
      <c r="O1070" s="73">
        <v>0</v>
      </c>
      <c r="P1070" s="74">
        <v>38519</v>
      </c>
      <c r="Q1070" s="73">
        <v>5278910.0803659996</v>
      </c>
      <c r="R1070" s="71" t="s">
        <v>625</v>
      </c>
      <c r="S1070" s="71">
        <v>7414000005</v>
      </c>
      <c r="AB1070"/>
      <c r="AC1070"/>
    </row>
    <row r="1071" spans="1:29" x14ac:dyDescent="0.25">
      <c r="A1071" t="str">
        <f t="shared" si="17"/>
        <v xml:space="preserve">2000183STERGOB B4          </v>
      </c>
      <c r="B1071" s="71">
        <v>2000183</v>
      </c>
      <c r="C1071" s="71" t="s">
        <v>781</v>
      </c>
      <c r="D1071" s="71" t="s">
        <v>414</v>
      </c>
      <c r="E1071" s="71" t="s">
        <v>623</v>
      </c>
      <c r="F1071" s="71" t="s">
        <v>624</v>
      </c>
      <c r="G1071" s="74">
        <v>1960672</v>
      </c>
      <c r="H1071" s="72">
        <v>3.6364960000000002</v>
      </c>
      <c r="I1071" s="73">
        <v>7129975.8853120003</v>
      </c>
      <c r="J1071" s="72">
        <v>3.0051340614850419</v>
      </c>
      <c r="K1071" s="73">
        <v>1237893.6747119999</v>
      </c>
      <c r="L1071" s="74">
        <v>0</v>
      </c>
      <c r="M1071" s="73">
        <v>0</v>
      </c>
      <c r="N1071" s="74">
        <v>0</v>
      </c>
      <c r="O1071" s="73">
        <v>0</v>
      </c>
      <c r="P1071" s="74">
        <v>1960672</v>
      </c>
      <c r="Q1071" s="73">
        <v>7129975.8853120003</v>
      </c>
      <c r="R1071" s="71" t="s">
        <v>625</v>
      </c>
      <c r="S1071" s="71">
        <v>7414000005</v>
      </c>
      <c r="AB1071"/>
      <c r="AC1071"/>
    </row>
    <row r="1072" spans="1:29" x14ac:dyDescent="0.25">
      <c r="A1072" t="str">
        <f t="shared" si="17"/>
        <v xml:space="preserve">2000183SVIVE20 S           </v>
      </c>
      <c r="B1072" s="71">
        <v>2000183</v>
      </c>
      <c r="C1072" s="71" t="s">
        <v>781</v>
      </c>
      <c r="D1072" s="71" t="s">
        <v>415</v>
      </c>
      <c r="E1072" s="71" t="s">
        <v>623</v>
      </c>
      <c r="F1072" s="71" t="s">
        <v>624</v>
      </c>
      <c r="G1072" s="74">
        <v>10838422</v>
      </c>
      <c r="H1072" s="72">
        <v>2.1315040000000001</v>
      </c>
      <c r="I1072" s="73">
        <v>23102139.846687999</v>
      </c>
      <c r="J1072" s="72">
        <v>1.5000867578693651</v>
      </c>
      <c r="K1072" s="73">
        <v>6843566.5282880003</v>
      </c>
      <c r="L1072" s="74">
        <v>0</v>
      </c>
      <c r="M1072" s="73">
        <v>0</v>
      </c>
      <c r="N1072" s="74">
        <v>0</v>
      </c>
      <c r="O1072" s="73">
        <v>0</v>
      </c>
      <c r="P1072" s="74">
        <v>10838422</v>
      </c>
      <c r="Q1072" s="73">
        <v>23102139.846687999</v>
      </c>
      <c r="R1072" s="71" t="s">
        <v>625</v>
      </c>
      <c r="S1072" s="71">
        <v>7414000005</v>
      </c>
      <c r="AB1072"/>
      <c r="AC1072"/>
    </row>
    <row r="1073" spans="1:29" x14ac:dyDescent="0.25">
      <c r="A1073" t="str">
        <f t="shared" si="17"/>
        <v xml:space="preserve">2000183SVIVE35 S           </v>
      </c>
      <c r="B1073" s="71">
        <v>2000183</v>
      </c>
      <c r="C1073" s="71" t="s">
        <v>781</v>
      </c>
      <c r="D1073" s="71" t="s">
        <v>416</v>
      </c>
      <c r="E1073" s="71" t="s">
        <v>623</v>
      </c>
      <c r="F1073" s="71" t="s">
        <v>624</v>
      </c>
      <c r="G1073" s="74">
        <v>263563</v>
      </c>
      <c r="H1073" s="72">
        <v>2.8149250000000001</v>
      </c>
      <c r="I1073" s="73">
        <v>741910.07777500001</v>
      </c>
      <c r="J1073" s="72">
        <v>2.6900590371182602</v>
      </c>
      <c r="K1073" s="73">
        <v>32910.047774999999</v>
      </c>
      <c r="L1073" s="74">
        <v>0</v>
      </c>
      <c r="M1073" s="73">
        <v>0</v>
      </c>
      <c r="N1073" s="74">
        <v>0</v>
      </c>
      <c r="O1073" s="73">
        <v>0</v>
      </c>
      <c r="P1073" s="74">
        <v>263563</v>
      </c>
      <c r="Q1073" s="73">
        <v>741910.07777500001</v>
      </c>
      <c r="R1073" s="71" t="s">
        <v>625</v>
      </c>
      <c r="S1073" s="71">
        <v>7414000005</v>
      </c>
      <c r="AB1073"/>
      <c r="AC1073"/>
    </row>
    <row r="1074" spans="1:29" x14ac:dyDescent="0.25">
      <c r="A1074" t="str">
        <f t="shared" si="17"/>
        <v xml:space="preserve">2000183SVIVE50 S           </v>
      </c>
      <c r="B1074" s="71">
        <v>2000216</v>
      </c>
      <c r="C1074" s="71" t="s">
        <v>782</v>
      </c>
      <c r="D1074" s="71" t="s">
        <v>480</v>
      </c>
      <c r="E1074" s="71" t="s">
        <v>623</v>
      </c>
      <c r="F1074" s="71" t="s">
        <v>624</v>
      </c>
      <c r="G1074" s="74">
        <v>1599852</v>
      </c>
      <c r="H1074" s="72">
        <v>3.612981</v>
      </c>
      <c r="I1074" s="73">
        <v>5780234.8788120002</v>
      </c>
      <c r="J1074" s="72">
        <v>3.6018284378805041</v>
      </c>
      <c r="K1074" s="73">
        <v>17842.448811999999</v>
      </c>
      <c r="L1074" s="74">
        <v>0</v>
      </c>
      <c r="M1074" s="73">
        <v>0</v>
      </c>
      <c r="N1074" s="74">
        <v>0</v>
      </c>
      <c r="O1074" s="73">
        <v>0</v>
      </c>
      <c r="P1074" s="74">
        <v>1599852</v>
      </c>
      <c r="Q1074" s="73">
        <v>5780234.8788120002</v>
      </c>
      <c r="R1074" s="71" t="s">
        <v>625</v>
      </c>
      <c r="S1074" s="71">
        <v>7414000005</v>
      </c>
      <c r="AB1074"/>
      <c r="AC1074"/>
    </row>
    <row r="1075" spans="1:29" x14ac:dyDescent="0.25">
      <c r="A1075" t="str">
        <f t="shared" si="17"/>
        <v xml:space="preserve">2000183SVIVE60 S           </v>
      </c>
      <c r="B1075" s="71">
        <v>2000216</v>
      </c>
      <c r="C1075" s="71" t="s">
        <v>782</v>
      </c>
      <c r="D1075" s="71" t="s">
        <v>414</v>
      </c>
      <c r="E1075" s="71" t="s">
        <v>623</v>
      </c>
      <c r="F1075" s="71" t="s">
        <v>624</v>
      </c>
      <c r="G1075" s="74">
        <v>252109277</v>
      </c>
      <c r="H1075" s="72">
        <v>3.6364960000000002</v>
      </c>
      <c r="I1075" s="73">
        <v>916794377.37339199</v>
      </c>
      <c r="J1075" s="72">
        <v>2.9731525374213024</v>
      </c>
      <c r="K1075" s="73">
        <v>167235040.75339201</v>
      </c>
      <c r="L1075" s="74">
        <v>0</v>
      </c>
      <c r="M1075" s="73">
        <v>0</v>
      </c>
      <c r="N1075" s="74">
        <v>0</v>
      </c>
      <c r="O1075" s="73">
        <v>0</v>
      </c>
      <c r="P1075" s="74">
        <v>252109277</v>
      </c>
      <c r="Q1075" s="73">
        <v>916794377.37339199</v>
      </c>
      <c r="R1075" s="71" t="s">
        <v>625</v>
      </c>
      <c r="S1075" s="71">
        <v>7414000005</v>
      </c>
      <c r="AB1075"/>
      <c r="AC1075"/>
    </row>
    <row r="1076" spans="1:29" x14ac:dyDescent="0.25">
      <c r="A1076" t="str">
        <f t="shared" si="17"/>
        <v xml:space="preserve">2000216STERGOB B4          </v>
      </c>
      <c r="B1076" s="71">
        <v>2000217</v>
      </c>
      <c r="C1076" s="71" t="s">
        <v>783</v>
      </c>
      <c r="D1076" s="71" t="s">
        <v>480</v>
      </c>
      <c r="E1076" s="71" t="s">
        <v>623</v>
      </c>
      <c r="F1076" s="71" t="s">
        <v>624</v>
      </c>
      <c r="G1076" s="74">
        <v>464463</v>
      </c>
      <c r="H1076" s="72">
        <v>3.612981</v>
      </c>
      <c r="I1076" s="73">
        <v>1678095.9942030001</v>
      </c>
      <c r="J1076" s="72">
        <v>3.6024266518538615</v>
      </c>
      <c r="K1076" s="73">
        <v>4902.1042029999999</v>
      </c>
      <c r="L1076" s="74">
        <v>0</v>
      </c>
      <c r="M1076" s="73">
        <v>0</v>
      </c>
      <c r="N1076" s="74">
        <v>0</v>
      </c>
      <c r="O1076" s="73">
        <v>0</v>
      </c>
      <c r="P1076" s="74">
        <v>464463</v>
      </c>
      <c r="Q1076" s="73">
        <v>1678095.9942030001</v>
      </c>
      <c r="R1076" s="71" t="s">
        <v>625</v>
      </c>
      <c r="S1076" s="71">
        <v>7414000005</v>
      </c>
      <c r="AB1076"/>
      <c r="AC1076"/>
    </row>
    <row r="1077" spans="1:29" x14ac:dyDescent="0.25">
      <c r="A1077" t="str">
        <f t="shared" si="17"/>
        <v xml:space="preserve">2000216SVIVE35 S           </v>
      </c>
      <c r="B1077" s="71">
        <v>2000217</v>
      </c>
      <c r="C1077" s="71" t="s">
        <v>783</v>
      </c>
      <c r="D1077" s="71" t="s">
        <v>415</v>
      </c>
      <c r="E1077" s="71" t="s">
        <v>623</v>
      </c>
      <c r="F1077" s="71" t="s">
        <v>624</v>
      </c>
      <c r="G1077" s="74">
        <v>123442237</v>
      </c>
      <c r="H1077" s="72">
        <v>2.1315040000000001</v>
      </c>
      <c r="I1077" s="73">
        <v>263117621.934448</v>
      </c>
      <c r="J1077" s="72">
        <v>1.9068421608399724</v>
      </c>
      <c r="K1077" s="73">
        <v>27732759.994447999</v>
      </c>
      <c r="L1077" s="74">
        <v>0</v>
      </c>
      <c r="M1077" s="73">
        <v>0</v>
      </c>
      <c r="N1077" s="74">
        <v>0</v>
      </c>
      <c r="O1077" s="73">
        <v>0</v>
      </c>
      <c r="P1077" s="74">
        <v>123442237</v>
      </c>
      <c r="Q1077" s="73">
        <v>263117621.934448</v>
      </c>
      <c r="R1077" s="71" t="s">
        <v>625</v>
      </c>
      <c r="S1077" s="71">
        <v>7414000005</v>
      </c>
      <c r="AB1077"/>
      <c r="AC1077"/>
    </row>
    <row r="1078" spans="1:29" x14ac:dyDescent="0.25">
      <c r="A1078" t="str">
        <f t="shared" si="17"/>
        <v xml:space="preserve">2000217STERGOB B4          </v>
      </c>
      <c r="B1078" s="71">
        <v>2000218</v>
      </c>
      <c r="C1078" s="71" t="s">
        <v>784</v>
      </c>
      <c r="D1078" s="71" t="s">
        <v>480</v>
      </c>
      <c r="E1078" s="71" t="s">
        <v>623</v>
      </c>
      <c r="F1078" s="71" t="s">
        <v>624</v>
      </c>
      <c r="G1078" s="74">
        <v>182031</v>
      </c>
      <c r="H1078" s="72">
        <v>3.612981</v>
      </c>
      <c r="I1078" s="73">
        <v>657674.54441099998</v>
      </c>
      <c r="J1078" s="72">
        <v>3.6061048942213141</v>
      </c>
      <c r="K1078" s="73">
        <v>1251.664411</v>
      </c>
      <c r="L1078" s="74">
        <v>0</v>
      </c>
      <c r="M1078" s="73">
        <v>0</v>
      </c>
      <c r="N1078" s="74">
        <v>0</v>
      </c>
      <c r="O1078" s="73">
        <v>0</v>
      </c>
      <c r="P1078" s="74">
        <v>182031</v>
      </c>
      <c r="Q1078" s="73">
        <v>657674.54441099998</v>
      </c>
      <c r="R1078" s="71" t="s">
        <v>625</v>
      </c>
      <c r="S1078" s="71">
        <v>7414000005</v>
      </c>
      <c r="AB1078"/>
      <c r="AC1078"/>
    </row>
    <row r="1079" spans="1:29" x14ac:dyDescent="0.25">
      <c r="A1079" t="str">
        <f t="shared" si="17"/>
        <v xml:space="preserve">2000217SVIVE50 S           </v>
      </c>
      <c r="B1079" s="71">
        <v>2000218</v>
      </c>
      <c r="C1079" s="71" t="s">
        <v>784</v>
      </c>
      <c r="D1079" s="71" t="s">
        <v>416</v>
      </c>
      <c r="E1079" s="71" t="s">
        <v>623</v>
      </c>
      <c r="F1079" s="71" t="s">
        <v>624</v>
      </c>
      <c r="G1079" s="74">
        <v>55059379</v>
      </c>
      <c r="H1079" s="72">
        <v>2.8149250000000001</v>
      </c>
      <c r="I1079" s="73">
        <v>154988022.431575</v>
      </c>
      <c r="J1079" s="72">
        <v>2.6229636790854469</v>
      </c>
      <c r="K1079" s="73">
        <v>10569271.121575</v>
      </c>
      <c r="L1079" s="74">
        <v>0</v>
      </c>
      <c r="M1079" s="73">
        <v>0</v>
      </c>
      <c r="N1079" s="74">
        <v>0</v>
      </c>
      <c r="O1079" s="73">
        <v>0</v>
      </c>
      <c r="P1079" s="74">
        <v>55059379</v>
      </c>
      <c r="Q1079" s="73">
        <v>154988022.431575</v>
      </c>
      <c r="R1079" s="71" t="s">
        <v>625</v>
      </c>
      <c r="S1079" s="71">
        <v>7414000005</v>
      </c>
      <c r="AB1079"/>
      <c r="AC1079"/>
    </row>
    <row r="1080" spans="1:29" x14ac:dyDescent="0.25">
      <c r="A1080" t="str">
        <f t="shared" si="17"/>
        <v xml:space="preserve">2000218STERGOB B4          </v>
      </c>
      <c r="B1080" s="71">
        <v>2000219</v>
      </c>
      <c r="C1080" s="71" t="s">
        <v>785</v>
      </c>
      <c r="D1080" s="71" t="s">
        <v>414</v>
      </c>
      <c r="E1080" s="71" t="s">
        <v>623</v>
      </c>
      <c r="F1080" s="71" t="s">
        <v>624</v>
      </c>
      <c r="G1080" s="74">
        <v>651583020</v>
      </c>
      <c r="H1080" s="72">
        <v>3.6364960000000002</v>
      </c>
      <c r="I1080" s="73">
        <v>2369479045.8979201</v>
      </c>
      <c r="J1080" s="72">
        <v>2.1459041310959885</v>
      </c>
      <c r="K1080" s="73">
        <v>971244351.52792001</v>
      </c>
      <c r="L1080" s="74">
        <v>0</v>
      </c>
      <c r="M1080" s="73">
        <v>0</v>
      </c>
      <c r="N1080" s="74">
        <v>0</v>
      </c>
      <c r="O1080" s="73">
        <v>0</v>
      </c>
      <c r="P1080" s="74">
        <v>651583020</v>
      </c>
      <c r="Q1080" s="73">
        <v>2369479045.8979201</v>
      </c>
      <c r="R1080" s="71" t="s">
        <v>625</v>
      </c>
      <c r="S1080" s="71">
        <v>7414000005</v>
      </c>
      <c r="AB1080"/>
      <c r="AC1080"/>
    </row>
    <row r="1081" spans="1:29" x14ac:dyDescent="0.25">
      <c r="A1081" t="str">
        <f t="shared" si="17"/>
        <v xml:space="preserve">2000218SVIVE60 S           </v>
      </c>
      <c r="B1081" s="71">
        <v>2000220</v>
      </c>
      <c r="C1081" s="71" t="s">
        <v>786</v>
      </c>
      <c r="D1081" s="71" t="s">
        <v>480</v>
      </c>
      <c r="E1081" s="71" t="s">
        <v>623</v>
      </c>
      <c r="F1081" s="71" t="s">
        <v>624</v>
      </c>
      <c r="G1081" s="74">
        <v>103618</v>
      </c>
      <c r="H1081" s="72">
        <v>3.612981</v>
      </c>
      <c r="I1081" s="73">
        <v>374369.86525799998</v>
      </c>
      <c r="J1081" s="72">
        <v>3.5933001988071571</v>
      </c>
      <c r="K1081" s="73">
        <v>2039.2852580000001</v>
      </c>
      <c r="L1081" s="74">
        <v>0</v>
      </c>
      <c r="M1081" s="73">
        <v>0</v>
      </c>
      <c r="N1081" s="74">
        <v>0</v>
      </c>
      <c r="O1081" s="73">
        <v>0</v>
      </c>
      <c r="P1081" s="74">
        <v>103618</v>
      </c>
      <c r="Q1081" s="73">
        <v>374369.86525799998</v>
      </c>
      <c r="R1081" s="71" t="s">
        <v>625</v>
      </c>
      <c r="S1081" s="71">
        <v>7414000005</v>
      </c>
      <c r="AB1081"/>
      <c r="AC1081"/>
    </row>
    <row r="1082" spans="1:29" x14ac:dyDescent="0.25">
      <c r="A1082" t="str">
        <f t="shared" si="17"/>
        <v xml:space="preserve">2000219SVIVE35 S           </v>
      </c>
      <c r="B1082" s="71">
        <v>2000220</v>
      </c>
      <c r="C1082" s="71" t="s">
        <v>786</v>
      </c>
      <c r="D1082" s="71" t="s">
        <v>415</v>
      </c>
      <c r="E1082" s="71" t="s">
        <v>623</v>
      </c>
      <c r="F1082" s="71" t="s">
        <v>624</v>
      </c>
      <c r="G1082" s="74">
        <v>314923089</v>
      </c>
      <c r="H1082" s="72">
        <v>2.1315040000000001</v>
      </c>
      <c r="I1082" s="73">
        <v>671259823.89585602</v>
      </c>
      <c r="J1082" s="72">
        <v>1.6281428318836286</v>
      </c>
      <c r="K1082" s="73">
        <v>158520053.945856</v>
      </c>
      <c r="L1082" s="74">
        <v>0</v>
      </c>
      <c r="M1082" s="73">
        <v>0</v>
      </c>
      <c r="N1082" s="74">
        <v>0</v>
      </c>
      <c r="O1082" s="73">
        <v>0</v>
      </c>
      <c r="P1082" s="74">
        <v>314923089</v>
      </c>
      <c r="Q1082" s="73">
        <v>671259823.89585602</v>
      </c>
      <c r="R1082" s="71" t="s">
        <v>625</v>
      </c>
      <c r="S1082" s="71">
        <v>7414000005</v>
      </c>
      <c r="AB1082"/>
      <c r="AC1082"/>
    </row>
    <row r="1083" spans="1:29" x14ac:dyDescent="0.25">
      <c r="A1083" t="str">
        <f t="shared" si="17"/>
        <v xml:space="preserve">2000220STERGOB B4          </v>
      </c>
      <c r="B1083" s="71">
        <v>2000221</v>
      </c>
      <c r="C1083" s="71" t="s">
        <v>787</v>
      </c>
      <c r="D1083" s="71" t="s">
        <v>480</v>
      </c>
      <c r="E1083" s="71" t="s">
        <v>623</v>
      </c>
      <c r="F1083" s="71" t="s">
        <v>624</v>
      </c>
      <c r="G1083" s="74">
        <v>619170</v>
      </c>
      <c r="H1083" s="72">
        <v>3.612981</v>
      </c>
      <c r="I1083" s="73">
        <v>2237049.4457700001</v>
      </c>
      <c r="J1083" s="72">
        <v>3.6079857228224883</v>
      </c>
      <c r="K1083" s="73">
        <v>3092.9257699999998</v>
      </c>
      <c r="L1083" s="74">
        <v>0</v>
      </c>
      <c r="M1083" s="73">
        <v>0</v>
      </c>
      <c r="N1083" s="74">
        <v>0</v>
      </c>
      <c r="O1083" s="73">
        <v>0</v>
      </c>
      <c r="P1083" s="74">
        <v>619170</v>
      </c>
      <c r="Q1083" s="73">
        <v>2237049.4457700001</v>
      </c>
      <c r="R1083" s="71" t="s">
        <v>625</v>
      </c>
      <c r="S1083" s="71">
        <v>7414000005</v>
      </c>
      <c r="AB1083"/>
      <c r="AC1083"/>
    </row>
    <row r="1084" spans="1:29" x14ac:dyDescent="0.25">
      <c r="A1084" t="str">
        <f t="shared" si="17"/>
        <v xml:space="preserve">2000220SVIVE50 S           </v>
      </c>
      <c r="B1084" s="71">
        <v>2000221</v>
      </c>
      <c r="C1084" s="71" t="s">
        <v>787</v>
      </c>
      <c r="D1084" s="71" t="s">
        <v>416</v>
      </c>
      <c r="E1084" s="71" t="s">
        <v>623</v>
      </c>
      <c r="F1084" s="71" t="s">
        <v>624</v>
      </c>
      <c r="G1084" s="74">
        <v>140047631</v>
      </c>
      <c r="H1084" s="72">
        <v>2.8149250000000001</v>
      </c>
      <c r="I1084" s="73">
        <v>394223577.69267499</v>
      </c>
      <c r="J1084" s="72">
        <v>2.4446640054196989</v>
      </c>
      <c r="K1084" s="73">
        <v>51854175.142674997</v>
      </c>
      <c r="L1084" s="74">
        <v>0</v>
      </c>
      <c r="M1084" s="73">
        <v>0</v>
      </c>
      <c r="N1084" s="74">
        <v>0</v>
      </c>
      <c r="O1084" s="73">
        <v>0</v>
      </c>
      <c r="P1084" s="74">
        <v>140047631</v>
      </c>
      <c r="Q1084" s="73">
        <v>394223577.69267499</v>
      </c>
      <c r="R1084" s="71" t="s">
        <v>625</v>
      </c>
      <c r="S1084" s="71">
        <v>7414000005</v>
      </c>
      <c r="AB1084"/>
      <c r="AC1084"/>
    </row>
    <row r="1085" spans="1:29" x14ac:dyDescent="0.25">
      <c r="A1085" t="str">
        <f t="shared" si="17"/>
        <v xml:space="preserve">2000221STERGOB B4          </v>
      </c>
      <c r="B1085" s="71">
        <v>2000301</v>
      </c>
      <c r="C1085" s="71" t="s">
        <v>788</v>
      </c>
      <c r="D1085" s="71" t="s">
        <v>566</v>
      </c>
      <c r="E1085" s="71" t="s">
        <v>623</v>
      </c>
      <c r="F1085" s="71" t="s">
        <v>624</v>
      </c>
      <c r="G1085" s="74">
        <v>0</v>
      </c>
      <c r="H1085" s="72">
        <v>0</v>
      </c>
      <c r="I1085" s="73">
        <v>0</v>
      </c>
      <c r="J1085" s="72">
        <v>0</v>
      </c>
      <c r="K1085" s="73">
        <v>0</v>
      </c>
      <c r="L1085" s="74">
        <v>0</v>
      </c>
      <c r="M1085" s="73">
        <v>0</v>
      </c>
      <c r="N1085" s="74">
        <v>0</v>
      </c>
      <c r="O1085" s="73">
        <v>0</v>
      </c>
      <c r="P1085" s="74">
        <v>0</v>
      </c>
      <c r="Q1085" s="73">
        <v>0</v>
      </c>
      <c r="R1085" s="71" t="s">
        <v>625</v>
      </c>
      <c r="S1085" s="71">
        <v>7414000005</v>
      </c>
      <c r="AB1085"/>
      <c r="AC1085"/>
    </row>
    <row r="1086" spans="1:29" x14ac:dyDescent="0.25">
      <c r="A1086" t="str">
        <f t="shared" si="17"/>
        <v xml:space="preserve">2000221SVIVE60 S           </v>
      </c>
      <c r="B1086" s="71">
        <v>2000302</v>
      </c>
      <c r="C1086" s="71" t="s">
        <v>789</v>
      </c>
      <c r="D1086" s="71" t="s">
        <v>480</v>
      </c>
      <c r="E1086" s="71" t="s">
        <v>623</v>
      </c>
      <c r="F1086" s="71" t="s">
        <v>624</v>
      </c>
      <c r="G1086" s="74">
        <v>364499</v>
      </c>
      <c r="H1086" s="72">
        <v>3.612981</v>
      </c>
      <c r="I1086" s="73">
        <v>1316927.9615189999</v>
      </c>
      <c r="J1086" s="72">
        <v>3.5483489940987494</v>
      </c>
      <c r="K1086" s="73">
        <v>23558.301519000001</v>
      </c>
      <c r="L1086" s="74">
        <v>0</v>
      </c>
      <c r="M1086" s="73">
        <v>0</v>
      </c>
      <c r="N1086" s="74">
        <v>0</v>
      </c>
      <c r="O1086" s="73">
        <v>0</v>
      </c>
      <c r="P1086" s="74">
        <v>364499</v>
      </c>
      <c r="Q1086" s="73">
        <v>1316927.9615189999</v>
      </c>
      <c r="R1086" s="71" t="s">
        <v>625</v>
      </c>
      <c r="S1086" s="71">
        <v>7414000005</v>
      </c>
      <c r="AB1086"/>
      <c r="AC1086"/>
    </row>
    <row r="1087" spans="1:29" x14ac:dyDescent="0.25">
      <c r="A1087" t="str">
        <f t="shared" si="17"/>
        <v xml:space="preserve">2000301STERGOB M2          </v>
      </c>
      <c r="B1087" s="71">
        <v>2000402</v>
      </c>
      <c r="C1087" s="71" t="s">
        <v>790</v>
      </c>
      <c r="D1087" s="71" t="s">
        <v>389</v>
      </c>
      <c r="E1087" s="71" t="s">
        <v>623</v>
      </c>
      <c r="F1087" s="71" t="s">
        <v>624</v>
      </c>
      <c r="G1087" s="74">
        <v>277356</v>
      </c>
      <c r="H1087" s="72">
        <v>3.3967719999999999</v>
      </c>
      <c r="I1087" s="73">
        <v>942115.09483199997</v>
      </c>
      <c r="J1087" s="72">
        <v>2.1671337919496962</v>
      </c>
      <c r="K1087" s="73">
        <v>341047.53483199998</v>
      </c>
      <c r="L1087" s="74">
        <v>0</v>
      </c>
      <c r="M1087" s="73">
        <v>0</v>
      </c>
      <c r="N1087" s="74">
        <v>0</v>
      </c>
      <c r="O1087" s="73">
        <v>0</v>
      </c>
      <c r="P1087" s="74">
        <v>277356</v>
      </c>
      <c r="Q1087" s="73">
        <v>942115.09483199997</v>
      </c>
      <c r="R1087" s="71" t="s">
        <v>625</v>
      </c>
      <c r="S1087" s="71">
        <v>7414000005</v>
      </c>
      <c r="AB1087"/>
      <c r="AC1087"/>
    </row>
    <row r="1088" spans="1:29" x14ac:dyDescent="0.25">
      <c r="A1088" t="str">
        <f t="shared" si="17"/>
        <v xml:space="preserve">2000302STERGOB B4          </v>
      </c>
      <c r="B1088" s="71">
        <v>2000402</v>
      </c>
      <c r="C1088" s="71" t="s">
        <v>790</v>
      </c>
      <c r="D1088" s="71" t="s">
        <v>417</v>
      </c>
      <c r="E1088" s="71" t="s">
        <v>623</v>
      </c>
      <c r="F1088" s="71" t="s">
        <v>624</v>
      </c>
      <c r="G1088" s="74">
        <v>20088</v>
      </c>
      <c r="H1088" s="72">
        <v>3.8832339999999999</v>
      </c>
      <c r="I1088" s="73">
        <v>78006.404592000006</v>
      </c>
      <c r="J1088" s="72">
        <v>2.8342851453604143</v>
      </c>
      <c r="K1088" s="73">
        <v>21071.284592</v>
      </c>
      <c r="L1088" s="74">
        <v>0</v>
      </c>
      <c r="M1088" s="73">
        <v>0</v>
      </c>
      <c r="N1088" s="74">
        <v>0</v>
      </c>
      <c r="O1088" s="73">
        <v>0</v>
      </c>
      <c r="P1088" s="74">
        <v>20088</v>
      </c>
      <c r="Q1088" s="73">
        <v>78006.404592000006</v>
      </c>
      <c r="R1088" s="71" t="s">
        <v>625</v>
      </c>
      <c r="S1088" s="71">
        <v>7414000005</v>
      </c>
      <c r="AB1088"/>
      <c r="AC1088"/>
    </row>
    <row r="1089" spans="1:29" x14ac:dyDescent="0.25">
      <c r="A1089" t="str">
        <f t="shared" si="17"/>
        <v xml:space="preserve">2000402STERGOB ED          </v>
      </c>
      <c r="B1089" s="71">
        <v>2000423</v>
      </c>
      <c r="C1089" s="71" t="s">
        <v>791</v>
      </c>
      <c r="D1089" s="71" t="s">
        <v>480</v>
      </c>
      <c r="E1089" s="71" t="s">
        <v>623</v>
      </c>
      <c r="F1089" s="71" t="s">
        <v>624</v>
      </c>
      <c r="G1089" s="74">
        <v>1844</v>
      </c>
      <c r="H1089" s="72">
        <v>3.612981</v>
      </c>
      <c r="I1089" s="73">
        <v>6662.3369640000001</v>
      </c>
      <c r="J1089" s="72">
        <v>3.6077331887201733</v>
      </c>
      <c r="K1089" s="73">
        <v>9.6769639999999999</v>
      </c>
      <c r="L1089" s="74">
        <v>0</v>
      </c>
      <c r="M1089" s="73">
        <v>0</v>
      </c>
      <c r="N1089" s="74">
        <v>0</v>
      </c>
      <c r="O1089" s="73">
        <v>0</v>
      </c>
      <c r="P1089" s="74">
        <v>1844</v>
      </c>
      <c r="Q1089" s="73">
        <v>6662.3369640000001</v>
      </c>
      <c r="R1089" s="71" t="s">
        <v>625</v>
      </c>
      <c r="S1089" s="71">
        <v>7414000005</v>
      </c>
      <c r="AB1089"/>
      <c r="AC1089"/>
    </row>
    <row r="1090" spans="1:29" x14ac:dyDescent="0.25">
      <c r="A1090" t="str">
        <f t="shared" si="17"/>
        <v xml:space="preserve">2000402STRGOB2 ED          </v>
      </c>
      <c r="B1090" s="71">
        <v>2000423</v>
      </c>
      <c r="C1090" s="71" t="s">
        <v>791</v>
      </c>
      <c r="D1090" s="71" t="s">
        <v>413</v>
      </c>
      <c r="E1090" s="71" t="s">
        <v>623</v>
      </c>
      <c r="F1090" s="71" t="s">
        <v>624</v>
      </c>
      <c r="G1090" s="74">
        <v>4583</v>
      </c>
      <c r="H1090" s="72">
        <v>137.04691399999999</v>
      </c>
      <c r="I1090" s="73">
        <v>628086.00686199998</v>
      </c>
      <c r="J1090" s="72">
        <v>128.52627318350426</v>
      </c>
      <c r="K1090" s="73">
        <v>39050.096861999999</v>
      </c>
      <c r="L1090" s="74">
        <v>0</v>
      </c>
      <c r="M1090" s="73">
        <v>0</v>
      </c>
      <c r="N1090" s="74">
        <v>0</v>
      </c>
      <c r="O1090" s="73">
        <v>0</v>
      </c>
      <c r="P1090" s="74">
        <v>4583</v>
      </c>
      <c r="Q1090" s="73">
        <v>628086.00686199998</v>
      </c>
      <c r="R1090" s="71" t="s">
        <v>625</v>
      </c>
      <c r="S1090" s="71">
        <v>7414000005</v>
      </c>
      <c r="AB1090"/>
      <c r="AC1090"/>
    </row>
    <row r="1091" spans="1:29" x14ac:dyDescent="0.25">
      <c r="A1091" t="str">
        <f t="shared" si="17"/>
        <v xml:space="preserve">2000423STERGOB B4          </v>
      </c>
      <c r="B1091" s="71">
        <v>2000423</v>
      </c>
      <c r="C1091" s="71" t="s">
        <v>791</v>
      </c>
      <c r="D1091" s="71" t="s">
        <v>414</v>
      </c>
      <c r="E1091" s="71" t="s">
        <v>623</v>
      </c>
      <c r="F1091" s="71" t="s">
        <v>624</v>
      </c>
      <c r="G1091" s="74">
        <v>315137</v>
      </c>
      <c r="H1091" s="72">
        <v>3.6364960000000002</v>
      </c>
      <c r="I1091" s="73">
        <v>1145994.439952</v>
      </c>
      <c r="J1091" s="72">
        <v>3.4306661547200106</v>
      </c>
      <c r="K1091" s="73">
        <v>64864.599951999997</v>
      </c>
      <c r="L1091" s="74">
        <v>0</v>
      </c>
      <c r="M1091" s="73">
        <v>0</v>
      </c>
      <c r="N1091" s="74">
        <v>0</v>
      </c>
      <c r="O1091" s="73">
        <v>0</v>
      </c>
      <c r="P1091" s="74">
        <v>315137</v>
      </c>
      <c r="Q1091" s="73">
        <v>1145994.439952</v>
      </c>
      <c r="R1091" s="71" t="s">
        <v>625</v>
      </c>
      <c r="S1091" s="71">
        <v>7414000005</v>
      </c>
      <c r="AB1091"/>
      <c r="AC1091"/>
    </row>
    <row r="1092" spans="1:29" x14ac:dyDescent="0.25">
      <c r="A1092" t="str">
        <f t="shared" si="17"/>
        <v xml:space="preserve">2000423SVIVE20 S           </v>
      </c>
      <c r="B1092" s="71">
        <v>2000423</v>
      </c>
      <c r="C1092" s="71" t="s">
        <v>791</v>
      </c>
      <c r="D1092" s="71" t="s">
        <v>415</v>
      </c>
      <c r="E1092" s="71" t="s">
        <v>623</v>
      </c>
      <c r="F1092" s="71" t="s">
        <v>624</v>
      </c>
      <c r="G1092" s="74">
        <v>144</v>
      </c>
      <c r="H1092" s="72">
        <v>2.1315040000000001</v>
      </c>
      <c r="I1092" s="73">
        <v>306.936576</v>
      </c>
      <c r="J1092" s="72">
        <v>2.029236111111111</v>
      </c>
      <c r="K1092" s="73">
        <v>14.726576</v>
      </c>
      <c r="L1092" s="74">
        <v>0</v>
      </c>
      <c r="M1092" s="73">
        <v>0</v>
      </c>
      <c r="N1092" s="74">
        <v>0</v>
      </c>
      <c r="O1092" s="73">
        <v>0</v>
      </c>
      <c r="P1092" s="74">
        <v>144</v>
      </c>
      <c r="Q1092" s="73">
        <v>306.936576</v>
      </c>
      <c r="R1092" s="71" t="s">
        <v>625</v>
      </c>
      <c r="S1092" s="71">
        <v>7414000005</v>
      </c>
      <c r="AB1092"/>
      <c r="AC1092"/>
    </row>
    <row r="1093" spans="1:29" x14ac:dyDescent="0.25">
      <c r="A1093" t="str">
        <f t="shared" si="17"/>
        <v xml:space="preserve">2000423SVIVE35 S           </v>
      </c>
      <c r="B1093" s="71">
        <v>2000423</v>
      </c>
      <c r="C1093" s="71" t="s">
        <v>791</v>
      </c>
      <c r="D1093" s="71" t="s">
        <v>416</v>
      </c>
      <c r="E1093" s="71" t="s">
        <v>623</v>
      </c>
      <c r="F1093" s="71" t="s">
        <v>624</v>
      </c>
      <c r="G1093" s="74">
        <v>37927</v>
      </c>
      <c r="H1093" s="72">
        <v>2.8149250000000001</v>
      </c>
      <c r="I1093" s="73">
        <v>106761.660475</v>
      </c>
      <c r="J1093" s="72">
        <v>2.6867529728161994</v>
      </c>
      <c r="K1093" s="73">
        <v>4861.1804750000001</v>
      </c>
      <c r="L1093" s="74">
        <v>0</v>
      </c>
      <c r="M1093" s="73">
        <v>0</v>
      </c>
      <c r="N1093" s="74">
        <v>0</v>
      </c>
      <c r="O1093" s="73">
        <v>0</v>
      </c>
      <c r="P1093" s="74">
        <v>37927</v>
      </c>
      <c r="Q1093" s="73">
        <v>106761.660475</v>
      </c>
      <c r="R1093" s="71" t="s">
        <v>625</v>
      </c>
      <c r="S1093" s="71">
        <v>7414000005</v>
      </c>
      <c r="AB1093"/>
      <c r="AC1093"/>
    </row>
    <row r="1094" spans="1:29" x14ac:dyDescent="0.25">
      <c r="A1094" t="str">
        <f t="shared" si="17"/>
        <v xml:space="preserve">2000423SVIVE50 S           </v>
      </c>
      <c r="B1094" s="71">
        <v>2000424</v>
      </c>
      <c r="C1094" s="71" t="s">
        <v>792</v>
      </c>
      <c r="D1094" s="71" t="s">
        <v>480</v>
      </c>
      <c r="E1094" s="71" t="s">
        <v>623</v>
      </c>
      <c r="F1094" s="71" t="s">
        <v>624</v>
      </c>
      <c r="G1094" s="74">
        <v>2269</v>
      </c>
      <c r="H1094" s="72">
        <v>3.612981</v>
      </c>
      <c r="I1094" s="73">
        <v>8197.853889</v>
      </c>
      <c r="J1094" s="72">
        <v>3.6077302776553548</v>
      </c>
      <c r="K1094" s="73">
        <v>11.913888999999999</v>
      </c>
      <c r="L1094" s="74">
        <v>0</v>
      </c>
      <c r="M1094" s="73">
        <v>0</v>
      </c>
      <c r="N1094" s="74">
        <v>0</v>
      </c>
      <c r="O1094" s="73">
        <v>0</v>
      </c>
      <c r="P1094" s="74">
        <v>2269</v>
      </c>
      <c r="Q1094" s="73">
        <v>8197.853889</v>
      </c>
      <c r="R1094" s="71" t="s">
        <v>625</v>
      </c>
      <c r="S1094" s="71">
        <v>7414000005</v>
      </c>
      <c r="AB1094"/>
      <c r="AC1094"/>
    </row>
    <row r="1095" spans="1:29" x14ac:dyDescent="0.25">
      <c r="A1095" t="str">
        <f t="shared" ref="A1095:A1158" si="18">B1093&amp;D1093</f>
        <v xml:space="preserve">2000423SVIVE60 S           </v>
      </c>
      <c r="B1095" s="71">
        <v>2000424</v>
      </c>
      <c r="C1095" s="71" t="s">
        <v>792</v>
      </c>
      <c r="D1095" s="71" t="s">
        <v>413</v>
      </c>
      <c r="E1095" s="71" t="s">
        <v>623</v>
      </c>
      <c r="F1095" s="71" t="s">
        <v>624</v>
      </c>
      <c r="G1095" s="74">
        <v>11840</v>
      </c>
      <c r="H1095" s="72">
        <v>137.04691399999999</v>
      </c>
      <c r="I1095" s="73">
        <v>1622635.4617600001</v>
      </c>
      <c r="J1095" s="72">
        <v>129.15627195945945</v>
      </c>
      <c r="K1095" s="73">
        <v>93425.201759999996</v>
      </c>
      <c r="L1095" s="74">
        <v>0</v>
      </c>
      <c r="M1095" s="73">
        <v>0</v>
      </c>
      <c r="N1095" s="74">
        <v>0</v>
      </c>
      <c r="O1095" s="73">
        <v>0</v>
      </c>
      <c r="P1095" s="74">
        <v>11840</v>
      </c>
      <c r="Q1095" s="73">
        <v>1622635.4617600001</v>
      </c>
      <c r="R1095" s="71" t="s">
        <v>625</v>
      </c>
      <c r="S1095" s="71">
        <v>7414000005</v>
      </c>
      <c r="AB1095"/>
      <c r="AC1095"/>
    </row>
    <row r="1096" spans="1:29" x14ac:dyDescent="0.25">
      <c r="A1096" t="str">
        <f t="shared" si="18"/>
        <v xml:space="preserve">2000424STERGOB B4          </v>
      </c>
      <c r="B1096" s="71">
        <v>2000424</v>
      </c>
      <c r="C1096" s="71" t="s">
        <v>792</v>
      </c>
      <c r="D1096" s="71" t="s">
        <v>414</v>
      </c>
      <c r="E1096" s="71" t="s">
        <v>623</v>
      </c>
      <c r="F1096" s="71" t="s">
        <v>624</v>
      </c>
      <c r="G1096" s="74">
        <v>713424</v>
      </c>
      <c r="H1096" s="72">
        <v>3.6364960000000002</v>
      </c>
      <c r="I1096" s="73">
        <v>2594363.5223039999</v>
      </c>
      <c r="J1096" s="72">
        <v>3.4416374133754961</v>
      </c>
      <c r="K1096" s="73">
        <v>139016.792304</v>
      </c>
      <c r="L1096" s="74">
        <v>0</v>
      </c>
      <c r="M1096" s="73">
        <v>0</v>
      </c>
      <c r="N1096" s="74">
        <v>0</v>
      </c>
      <c r="O1096" s="73">
        <v>0</v>
      </c>
      <c r="P1096" s="74">
        <v>713424</v>
      </c>
      <c r="Q1096" s="73">
        <v>2594363.5223039999</v>
      </c>
      <c r="R1096" s="71" t="s">
        <v>625</v>
      </c>
      <c r="S1096" s="71">
        <v>7414000005</v>
      </c>
      <c r="AB1096"/>
      <c r="AC1096"/>
    </row>
    <row r="1097" spans="1:29" x14ac:dyDescent="0.25">
      <c r="A1097" t="str">
        <f t="shared" si="18"/>
        <v xml:space="preserve">2000424SVIVE20 S           </v>
      </c>
      <c r="B1097" s="71">
        <v>2000424</v>
      </c>
      <c r="C1097" s="71" t="s">
        <v>792</v>
      </c>
      <c r="D1097" s="71" t="s">
        <v>415</v>
      </c>
      <c r="E1097" s="71" t="s">
        <v>623</v>
      </c>
      <c r="F1097" s="71" t="s">
        <v>624</v>
      </c>
      <c r="G1097" s="74">
        <v>415</v>
      </c>
      <c r="H1097" s="72">
        <v>2.1315040000000001</v>
      </c>
      <c r="I1097" s="73">
        <v>884.57416000000001</v>
      </c>
      <c r="J1097" s="72">
        <v>2.0292530120481929</v>
      </c>
      <c r="K1097" s="73">
        <v>42.434159999999999</v>
      </c>
      <c r="L1097" s="74">
        <v>0</v>
      </c>
      <c r="M1097" s="73">
        <v>0</v>
      </c>
      <c r="N1097" s="74">
        <v>0</v>
      </c>
      <c r="O1097" s="73">
        <v>0</v>
      </c>
      <c r="P1097" s="74">
        <v>415</v>
      </c>
      <c r="Q1097" s="73">
        <v>884.57416000000001</v>
      </c>
      <c r="R1097" s="71" t="s">
        <v>625</v>
      </c>
      <c r="S1097" s="71">
        <v>7414000005</v>
      </c>
      <c r="AB1097"/>
      <c r="AC1097"/>
    </row>
    <row r="1098" spans="1:29" x14ac:dyDescent="0.25">
      <c r="A1098" t="str">
        <f t="shared" si="18"/>
        <v xml:space="preserve">2000424SVIVE35 S           </v>
      </c>
      <c r="B1098" s="71">
        <v>2000424</v>
      </c>
      <c r="C1098" s="71" t="s">
        <v>792</v>
      </c>
      <c r="D1098" s="71" t="s">
        <v>416</v>
      </c>
      <c r="E1098" s="71" t="s">
        <v>623</v>
      </c>
      <c r="F1098" s="71" t="s">
        <v>624</v>
      </c>
      <c r="G1098" s="74">
        <v>77178</v>
      </c>
      <c r="H1098" s="72">
        <v>2.8149250000000001</v>
      </c>
      <c r="I1098" s="73">
        <v>217250.28164999999</v>
      </c>
      <c r="J1098" s="72">
        <v>2.6871612376584002</v>
      </c>
      <c r="K1098" s="73">
        <v>9860.5516499999994</v>
      </c>
      <c r="L1098" s="74">
        <v>0</v>
      </c>
      <c r="M1098" s="73">
        <v>0</v>
      </c>
      <c r="N1098" s="74">
        <v>0</v>
      </c>
      <c r="O1098" s="73">
        <v>0</v>
      </c>
      <c r="P1098" s="74">
        <v>77178</v>
      </c>
      <c r="Q1098" s="73">
        <v>217250.28164999999</v>
      </c>
      <c r="R1098" s="71" t="s">
        <v>625</v>
      </c>
      <c r="S1098" s="71">
        <v>7414000005</v>
      </c>
      <c r="AB1098"/>
      <c r="AC1098"/>
    </row>
    <row r="1099" spans="1:29" x14ac:dyDescent="0.25">
      <c r="A1099" t="str">
        <f t="shared" si="18"/>
        <v xml:space="preserve">2000424SVIVE50 S           </v>
      </c>
      <c r="B1099" s="71">
        <v>2000465</v>
      </c>
      <c r="C1099" s="71" t="s">
        <v>793</v>
      </c>
      <c r="D1099" s="71" t="s">
        <v>389</v>
      </c>
      <c r="E1099" s="71" t="s">
        <v>623</v>
      </c>
      <c r="F1099" s="71" t="s">
        <v>624</v>
      </c>
      <c r="G1099" s="74">
        <v>5347049</v>
      </c>
      <c r="H1099" s="72">
        <v>3.3967719999999999</v>
      </c>
      <c r="I1099" s="73">
        <v>18162706.325828001</v>
      </c>
      <c r="J1099" s="72">
        <v>2.9602450753677401</v>
      </c>
      <c r="K1099" s="73">
        <v>2334130.8558280002</v>
      </c>
      <c r="L1099" s="74">
        <v>0</v>
      </c>
      <c r="M1099" s="73">
        <v>0</v>
      </c>
      <c r="N1099" s="74">
        <v>0</v>
      </c>
      <c r="O1099" s="73">
        <v>0</v>
      </c>
      <c r="P1099" s="74">
        <v>5347049</v>
      </c>
      <c r="Q1099" s="73">
        <v>18162706.325828001</v>
      </c>
      <c r="R1099" s="71" t="s">
        <v>625</v>
      </c>
      <c r="S1099" s="71">
        <v>7414000005</v>
      </c>
      <c r="AB1099"/>
      <c r="AC1099"/>
    </row>
    <row r="1100" spans="1:29" x14ac:dyDescent="0.25">
      <c r="A1100" t="str">
        <f t="shared" si="18"/>
        <v xml:space="preserve">2000424SVIVE60 S           </v>
      </c>
      <c r="B1100" s="71">
        <v>2000465</v>
      </c>
      <c r="C1100" s="71" t="s">
        <v>793</v>
      </c>
      <c r="D1100" s="71" t="s">
        <v>417</v>
      </c>
      <c r="E1100" s="71" t="s">
        <v>623</v>
      </c>
      <c r="F1100" s="71" t="s">
        <v>624</v>
      </c>
      <c r="G1100" s="74">
        <v>1365476</v>
      </c>
      <c r="H1100" s="72">
        <v>3.8832339999999999</v>
      </c>
      <c r="I1100" s="73">
        <v>5302462.829384</v>
      </c>
      <c r="J1100" s="72">
        <v>2.8560632336269549</v>
      </c>
      <c r="K1100" s="73">
        <v>1402577.029384</v>
      </c>
      <c r="L1100" s="74">
        <v>0</v>
      </c>
      <c r="M1100" s="73">
        <v>0</v>
      </c>
      <c r="N1100" s="74">
        <v>0</v>
      </c>
      <c r="O1100" s="73">
        <v>0</v>
      </c>
      <c r="P1100" s="74">
        <v>1365476</v>
      </c>
      <c r="Q1100" s="73">
        <v>5302462.829384</v>
      </c>
      <c r="R1100" s="71" t="s">
        <v>625</v>
      </c>
      <c r="S1100" s="71">
        <v>7414000005</v>
      </c>
      <c r="AB1100"/>
      <c r="AC1100"/>
    </row>
    <row r="1101" spans="1:29" x14ac:dyDescent="0.25">
      <c r="A1101" t="str">
        <f t="shared" si="18"/>
        <v xml:space="preserve">2000465STERGOB ED          </v>
      </c>
      <c r="B1101" s="71">
        <v>2000465</v>
      </c>
      <c r="C1101" s="71" t="s">
        <v>793</v>
      </c>
      <c r="D1101" s="71" t="s">
        <v>407</v>
      </c>
      <c r="E1101" s="71" t="s">
        <v>623</v>
      </c>
      <c r="F1101" s="71" t="s">
        <v>624</v>
      </c>
      <c r="G1101" s="74">
        <v>4145611</v>
      </c>
      <c r="H1101" s="72">
        <v>2.7668819999999998</v>
      </c>
      <c r="I1101" s="73">
        <v>11470416.454902001</v>
      </c>
      <c r="J1101" s="72">
        <v>2.3501809986513447</v>
      </c>
      <c r="K1101" s="73">
        <v>1727480.2549020001</v>
      </c>
      <c r="L1101" s="74">
        <v>0</v>
      </c>
      <c r="M1101" s="73">
        <v>0</v>
      </c>
      <c r="N1101" s="74">
        <v>0</v>
      </c>
      <c r="O1101" s="73">
        <v>0</v>
      </c>
      <c r="P1101" s="74">
        <v>4145611</v>
      </c>
      <c r="Q1101" s="73">
        <v>11470416.454902001</v>
      </c>
      <c r="R1101" s="71" t="s">
        <v>625</v>
      </c>
      <c r="S1101" s="71">
        <v>7414000005</v>
      </c>
      <c r="AB1101"/>
      <c r="AC1101"/>
    </row>
    <row r="1102" spans="1:29" x14ac:dyDescent="0.25">
      <c r="A1102" t="str">
        <f t="shared" si="18"/>
        <v xml:space="preserve">2000465STRGOB2 ED          </v>
      </c>
      <c r="B1102" s="71">
        <v>2000465</v>
      </c>
      <c r="C1102" s="71" t="s">
        <v>793</v>
      </c>
      <c r="D1102" s="71" t="s">
        <v>396</v>
      </c>
      <c r="E1102" s="71" t="s">
        <v>623</v>
      </c>
      <c r="F1102" s="71" t="s">
        <v>624</v>
      </c>
      <c r="G1102" s="74">
        <v>0</v>
      </c>
      <c r="H1102" s="72">
        <v>0</v>
      </c>
      <c r="I1102" s="73">
        <v>0</v>
      </c>
      <c r="J1102" s="72">
        <v>0</v>
      </c>
      <c r="K1102" s="73">
        <v>0</v>
      </c>
      <c r="L1102" s="74">
        <v>0</v>
      </c>
      <c r="M1102" s="73">
        <v>0</v>
      </c>
      <c r="N1102" s="74">
        <v>0</v>
      </c>
      <c r="O1102" s="73">
        <v>0</v>
      </c>
      <c r="P1102" s="74">
        <v>0</v>
      </c>
      <c r="Q1102" s="73">
        <v>0</v>
      </c>
      <c r="R1102" s="71" t="s">
        <v>625</v>
      </c>
      <c r="S1102" s="71">
        <v>7414000005</v>
      </c>
      <c r="AB1102"/>
      <c r="AC1102"/>
    </row>
    <row r="1103" spans="1:29" x14ac:dyDescent="0.25">
      <c r="A1103" t="str">
        <f t="shared" si="18"/>
        <v xml:space="preserve">2000465SVIVE60 ED          </v>
      </c>
      <c r="B1103" s="71">
        <v>2000467</v>
      </c>
      <c r="C1103" s="71" t="s">
        <v>794</v>
      </c>
      <c r="D1103" s="71" t="s">
        <v>431</v>
      </c>
      <c r="E1103" s="71" t="s">
        <v>623</v>
      </c>
      <c r="F1103" s="71" t="s">
        <v>624</v>
      </c>
      <c r="G1103" s="74">
        <v>6734701</v>
      </c>
      <c r="H1103" s="72">
        <v>3.4005040000000002</v>
      </c>
      <c r="I1103" s="73">
        <v>22901377.689304002</v>
      </c>
      <c r="J1103" s="72">
        <v>3.3474759651542065</v>
      </c>
      <c r="K1103" s="73">
        <v>357127.95930400002</v>
      </c>
      <c r="L1103" s="74">
        <v>0</v>
      </c>
      <c r="M1103" s="73">
        <v>0</v>
      </c>
      <c r="N1103" s="74">
        <v>0</v>
      </c>
      <c r="O1103" s="73">
        <v>0</v>
      </c>
      <c r="P1103" s="74">
        <v>6734701</v>
      </c>
      <c r="Q1103" s="73">
        <v>22901377.689304002</v>
      </c>
      <c r="R1103" s="71" t="s">
        <v>625</v>
      </c>
      <c r="S1103" s="71">
        <v>7414000005</v>
      </c>
      <c r="AB1103"/>
      <c r="AC1103"/>
    </row>
    <row r="1104" spans="1:29" x14ac:dyDescent="0.25">
      <c r="A1104" t="str">
        <f t="shared" si="18"/>
        <v xml:space="preserve">2000465UDIBONO 401115      </v>
      </c>
      <c r="B1104" s="71">
        <v>2000513</v>
      </c>
      <c r="C1104" s="71" t="s">
        <v>795</v>
      </c>
      <c r="D1104" s="71" t="s">
        <v>376</v>
      </c>
      <c r="E1104" s="71" t="s">
        <v>623</v>
      </c>
      <c r="F1104" s="71" t="s">
        <v>624</v>
      </c>
      <c r="G1104" s="74">
        <v>0</v>
      </c>
      <c r="H1104" s="72">
        <v>0</v>
      </c>
      <c r="I1104" s="73">
        <v>0</v>
      </c>
      <c r="J1104" s="72">
        <v>0</v>
      </c>
      <c r="K1104" s="73">
        <v>0</v>
      </c>
      <c r="L1104" s="74">
        <v>0</v>
      </c>
      <c r="M1104" s="73">
        <v>0</v>
      </c>
      <c r="N1104" s="74">
        <v>0</v>
      </c>
      <c r="O1104" s="73">
        <v>0</v>
      </c>
      <c r="P1104" s="74">
        <v>0</v>
      </c>
      <c r="Q1104" s="73">
        <v>0</v>
      </c>
      <c r="R1104" s="71" t="s">
        <v>625</v>
      </c>
      <c r="S1104" s="71">
        <v>7414000005</v>
      </c>
      <c r="AB1104"/>
      <c r="AC1104"/>
    </row>
    <row r="1105" spans="1:29" x14ac:dyDescent="0.25">
      <c r="A1105" t="str">
        <f t="shared" si="18"/>
        <v xml:space="preserve">2000467STERGOB B1          </v>
      </c>
      <c r="B1105" s="71">
        <v>2000513</v>
      </c>
      <c r="C1105" s="71" t="s">
        <v>795</v>
      </c>
      <c r="D1105" s="71" t="s">
        <v>382</v>
      </c>
      <c r="E1105" s="71" t="s">
        <v>623</v>
      </c>
      <c r="F1105" s="71" t="s">
        <v>624</v>
      </c>
      <c r="G1105" s="74">
        <v>0</v>
      </c>
      <c r="H1105" s="72">
        <v>0</v>
      </c>
      <c r="I1105" s="73">
        <v>0</v>
      </c>
      <c r="J1105" s="72">
        <v>0</v>
      </c>
      <c r="K1105" s="73">
        <v>0</v>
      </c>
      <c r="L1105" s="74">
        <v>0</v>
      </c>
      <c r="M1105" s="73">
        <v>0</v>
      </c>
      <c r="N1105" s="74">
        <v>0</v>
      </c>
      <c r="O1105" s="73">
        <v>0</v>
      </c>
      <c r="P1105" s="74">
        <v>0</v>
      </c>
      <c r="Q1105" s="73">
        <v>0</v>
      </c>
      <c r="R1105" s="71" t="s">
        <v>625</v>
      </c>
      <c r="S1105" s="71">
        <v>7414000005</v>
      </c>
      <c r="AB1105"/>
      <c r="AC1105"/>
    </row>
    <row r="1106" spans="1:29" x14ac:dyDescent="0.25">
      <c r="A1106" t="str">
        <f t="shared" si="18"/>
        <v xml:space="preserve">2000513GOBFED 241205       </v>
      </c>
      <c r="B1106" s="71">
        <v>2000513</v>
      </c>
      <c r="C1106" s="71" t="s">
        <v>795</v>
      </c>
      <c r="D1106" s="71" t="s">
        <v>396</v>
      </c>
      <c r="E1106" s="71" t="s">
        <v>623</v>
      </c>
      <c r="F1106" s="71" t="s">
        <v>624</v>
      </c>
      <c r="G1106" s="74">
        <v>0</v>
      </c>
      <c r="H1106" s="72">
        <v>0</v>
      </c>
      <c r="I1106" s="73">
        <v>0</v>
      </c>
      <c r="J1106" s="72">
        <v>0</v>
      </c>
      <c r="K1106" s="73">
        <v>0</v>
      </c>
      <c r="L1106" s="74">
        <v>0</v>
      </c>
      <c r="M1106" s="73">
        <v>0</v>
      </c>
      <c r="N1106" s="74">
        <v>0</v>
      </c>
      <c r="O1106" s="73">
        <v>0</v>
      </c>
      <c r="P1106" s="74">
        <v>0</v>
      </c>
      <c r="Q1106" s="73">
        <v>0</v>
      </c>
      <c r="R1106" s="71" t="s">
        <v>625</v>
      </c>
      <c r="S1106" s="71">
        <v>7414000005</v>
      </c>
      <c r="AB1106"/>
      <c r="AC1106"/>
    </row>
    <row r="1107" spans="1:29" x14ac:dyDescent="0.25">
      <c r="A1107" t="str">
        <f t="shared" si="18"/>
        <v xml:space="preserve">2000513GOBFED 310529       </v>
      </c>
      <c r="B1107" s="71">
        <v>2000534</v>
      </c>
      <c r="C1107" s="71" t="s">
        <v>796</v>
      </c>
      <c r="D1107" s="71" t="s">
        <v>411</v>
      </c>
      <c r="E1107" s="71" t="s">
        <v>623</v>
      </c>
      <c r="F1107" s="71" t="s">
        <v>624</v>
      </c>
      <c r="G1107" s="74">
        <v>125</v>
      </c>
      <c r="H1107" s="72">
        <v>3.4985729999999999</v>
      </c>
      <c r="I1107" s="73">
        <v>437.32162499999998</v>
      </c>
      <c r="J1107" s="72">
        <v>3.4843999999999999</v>
      </c>
      <c r="K1107" s="73">
        <v>1.771625</v>
      </c>
      <c r="L1107" s="74">
        <v>0</v>
      </c>
      <c r="M1107" s="73">
        <v>0</v>
      </c>
      <c r="N1107" s="74">
        <v>0</v>
      </c>
      <c r="O1107" s="73">
        <v>0</v>
      </c>
      <c r="P1107" s="74">
        <v>125</v>
      </c>
      <c r="Q1107" s="73">
        <v>437.32162499999998</v>
      </c>
      <c r="R1107" s="71" t="s">
        <v>625</v>
      </c>
      <c r="S1107" s="71">
        <v>7414000005</v>
      </c>
      <c r="AB1107"/>
      <c r="AC1107"/>
    </row>
    <row r="1108" spans="1:29" x14ac:dyDescent="0.25">
      <c r="A1108" t="str">
        <f t="shared" si="18"/>
        <v xml:space="preserve">2000513UDIBONO 401115      </v>
      </c>
      <c r="B1108" s="71">
        <v>2000554</v>
      </c>
      <c r="C1108" s="71" t="s">
        <v>797</v>
      </c>
      <c r="D1108" s="71" t="s">
        <v>389</v>
      </c>
      <c r="E1108" s="71" t="s">
        <v>623</v>
      </c>
      <c r="F1108" s="71" t="s">
        <v>624</v>
      </c>
      <c r="G1108" s="74">
        <v>4564664</v>
      </c>
      <c r="H1108" s="72">
        <v>3.3967719999999999</v>
      </c>
      <c r="I1108" s="73">
        <v>15505122.864607999</v>
      </c>
      <c r="J1108" s="72">
        <v>1.9208847157205875</v>
      </c>
      <c r="K1108" s="73">
        <v>6736929.5546080004</v>
      </c>
      <c r="L1108" s="74">
        <v>0</v>
      </c>
      <c r="M1108" s="73">
        <v>0</v>
      </c>
      <c r="N1108" s="74">
        <v>0</v>
      </c>
      <c r="O1108" s="73">
        <v>0</v>
      </c>
      <c r="P1108" s="74">
        <v>4564664</v>
      </c>
      <c r="Q1108" s="73">
        <v>15505122.864607999</v>
      </c>
      <c r="R1108" s="71" t="s">
        <v>625</v>
      </c>
      <c r="S1108" s="71">
        <v>7414000005</v>
      </c>
      <c r="AB1108"/>
      <c r="AC1108"/>
    </row>
    <row r="1109" spans="1:29" x14ac:dyDescent="0.25">
      <c r="A1109" t="str">
        <f t="shared" si="18"/>
        <v xml:space="preserve">2000534STERGOB B2          </v>
      </c>
      <c r="B1109" s="71">
        <v>2000569</v>
      </c>
      <c r="C1109" s="71" t="s">
        <v>798</v>
      </c>
      <c r="D1109" s="71" t="s">
        <v>473</v>
      </c>
      <c r="E1109" s="71" t="s">
        <v>623</v>
      </c>
      <c r="F1109" s="71" t="s">
        <v>624</v>
      </c>
      <c r="G1109" s="74">
        <v>4515059</v>
      </c>
      <c r="H1109" s="72">
        <v>3.568238</v>
      </c>
      <c r="I1109" s="73">
        <v>16110805.096042</v>
      </c>
      <c r="J1109" s="72">
        <v>3.517068255364991</v>
      </c>
      <c r="K1109" s="73">
        <v>231034.416042</v>
      </c>
      <c r="L1109" s="74">
        <v>0</v>
      </c>
      <c r="M1109" s="73">
        <v>0</v>
      </c>
      <c r="N1109" s="74">
        <v>0</v>
      </c>
      <c r="O1109" s="73">
        <v>0</v>
      </c>
      <c r="P1109" s="74">
        <v>4515059</v>
      </c>
      <c r="Q1109" s="73">
        <v>16110805.096042</v>
      </c>
      <c r="R1109" s="71" t="s">
        <v>625</v>
      </c>
      <c r="S1109" s="71">
        <v>7414000005</v>
      </c>
      <c r="AB1109"/>
      <c r="AC1109"/>
    </row>
    <row r="1110" spans="1:29" x14ac:dyDescent="0.25">
      <c r="A1110" t="str">
        <f t="shared" si="18"/>
        <v xml:space="preserve">2000554STERGOB ED          </v>
      </c>
      <c r="B1110" s="71">
        <v>2000574</v>
      </c>
      <c r="C1110" s="71" t="s">
        <v>799</v>
      </c>
      <c r="D1110" s="71" t="s">
        <v>389</v>
      </c>
      <c r="E1110" s="71" t="s">
        <v>623</v>
      </c>
      <c r="F1110" s="71" t="s">
        <v>624</v>
      </c>
      <c r="G1110" s="74">
        <v>2428</v>
      </c>
      <c r="H1110" s="72">
        <v>3.3967719999999999</v>
      </c>
      <c r="I1110" s="73">
        <v>8247.3624159999999</v>
      </c>
      <c r="J1110" s="72">
        <v>3.3638632619439868</v>
      </c>
      <c r="K1110" s="73">
        <v>79.902416000000002</v>
      </c>
      <c r="L1110" s="74">
        <v>0</v>
      </c>
      <c r="M1110" s="73">
        <v>0</v>
      </c>
      <c r="N1110" s="74">
        <v>0</v>
      </c>
      <c r="O1110" s="73">
        <v>0</v>
      </c>
      <c r="P1110" s="74">
        <v>2428</v>
      </c>
      <c r="Q1110" s="73">
        <v>8247.3624159999999</v>
      </c>
      <c r="R1110" s="71" t="s">
        <v>625</v>
      </c>
      <c r="S1110" s="71">
        <v>7414000005</v>
      </c>
      <c r="AB1110"/>
      <c r="AC1110"/>
    </row>
    <row r="1111" spans="1:29" x14ac:dyDescent="0.25">
      <c r="A1111" t="str">
        <f t="shared" si="18"/>
        <v xml:space="preserve">2000569STERGOB B3          </v>
      </c>
      <c r="B1111" s="71">
        <v>2000574</v>
      </c>
      <c r="C1111" s="71" t="s">
        <v>799</v>
      </c>
      <c r="D1111" s="71" t="s">
        <v>567</v>
      </c>
      <c r="E1111" s="71" t="s">
        <v>623</v>
      </c>
      <c r="F1111" s="71" t="s">
        <v>624</v>
      </c>
      <c r="G1111" s="74">
        <v>45836</v>
      </c>
      <c r="H1111" s="72">
        <v>136.12787299999999</v>
      </c>
      <c r="I1111" s="73">
        <v>6239557.1868279995</v>
      </c>
      <c r="J1111" s="72">
        <v>105.27408194432324</v>
      </c>
      <c r="K1111" s="73">
        <v>1414214.3668279999</v>
      </c>
      <c r="L1111" s="74">
        <v>0</v>
      </c>
      <c r="M1111" s="73">
        <v>0</v>
      </c>
      <c r="N1111" s="74">
        <v>0</v>
      </c>
      <c r="O1111" s="73">
        <v>0</v>
      </c>
      <c r="P1111" s="74">
        <v>45836</v>
      </c>
      <c r="Q1111" s="73">
        <v>6239557.1868279995</v>
      </c>
      <c r="R1111" s="71" t="s">
        <v>625</v>
      </c>
      <c r="S1111" s="71">
        <v>7414000005</v>
      </c>
      <c r="AB1111"/>
      <c r="AC1111"/>
    </row>
    <row r="1112" spans="1:29" x14ac:dyDescent="0.25">
      <c r="A1112" t="str">
        <f t="shared" si="18"/>
        <v xml:space="preserve">2000574STERGOB ED          </v>
      </c>
      <c r="B1112" s="71">
        <v>2000575</v>
      </c>
      <c r="C1112" s="71" t="s">
        <v>799</v>
      </c>
      <c r="D1112" s="71" t="s">
        <v>389</v>
      </c>
      <c r="E1112" s="71" t="s">
        <v>623</v>
      </c>
      <c r="F1112" s="71" t="s">
        <v>624</v>
      </c>
      <c r="G1112" s="74">
        <v>16768</v>
      </c>
      <c r="H1112" s="72">
        <v>3.3967719999999999</v>
      </c>
      <c r="I1112" s="73">
        <v>56957.072895999998</v>
      </c>
      <c r="J1112" s="72">
        <v>3.3640821803435115</v>
      </c>
      <c r="K1112" s="73">
        <v>548.14289599999995</v>
      </c>
      <c r="L1112" s="74">
        <v>0</v>
      </c>
      <c r="M1112" s="73">
        <v>0</v>
      </c>
      <c r="N1112" s="74">
        <v>0</v>
      </c>
      <c r="O1112" s="73">
        <v>0</v>
      </c>
      <c r="P1112" s="74">
        <v>16768</v>
      </c>
      <c r="Q1112" s="73">
        <v>56957.072895999998</v>
      </c>
      <c r="R1112" s="71" t="s">
        <v>625</v>
      </c>
      <c r="S1112" s="71">
        <v>7414000005</v>
      </c>
      <c r="AB1112"/>
      <c r="AC1112"/>
    </row>
    <row r="1113" spans="1:29" x14ac:dyDescent="0.25">
      <c r="A1113" t="str">
        <f t="shared" si="18"/>
        <v xml:space="preserve">2000574SVIVE20 C3          </v>
      </c>
      <c r="B1113" s="71">
        <v>2000575</v>
      </c>
      <c r="C1113" s="71" t="s">
        <v>799</v>
      </c>
      <c r="D1113" s="71" t="s">
        <v>478</v>
      </c>
      <c r="E1113" s="71" t="s">
        <v>623</v>
      </c>
      <c r="F1113" s="71" t="s">
        <v>624</v>
      </c>
      <c r="G1113" s="74">
        <v>7621745</v>
      </c>
      <c r="H1113" s="72">
        <v>3.6141489999999998</v>
      </c>
      <c r="I1113" s="73">
        <v>27546122.070005</v>
      </c>
      <c r="J1113" s="72">
        <v>2.7274093517954223</v>
      </c>
      <c r="K1113" s="73">
        <v>6758503.4800049998</v>
      </c>
      <c r="L1113" s="74">
        <v>0</v>
      </c>
      <c r="M1113" s="73">
        <v>0</v>
      </c>
      <c r="N1113" s="74">
        <v>0</v>
      </c>
      <c r="O1113" s="73">
        <v>0</v>
      </c>
      <c r="P1113" s="74">
        <v>7621745</v>
      </c>
      <c r="Q1113" s="73">
        <v>27546122.070005</v>
      </c>
      <c r="R1113" s="71" t="s">
        <v>625</v>
      </c>
      <c r="S1113" s="71">
        <v>7414000005</v>
      </c>
      <c r="AB1113"/>
      <c r="AC1113"/>
    </row>
    <row r="1114" spans="1:29" x14ac:dyDescent="0.25">
      <c r="A1114" t="str">
        <f t="shared" si="18"/>
        <v xml:space="preserve">2000575STERGOB ED          </v>
      </c>
      <c r="B1114" s="71">
        <v>2000576</v>
      </c>
      <c r="C1114" s="71" t="s">
        <v>799</v>
      </c>
      <c r="D1114" s="71" t="s">
        <v>389</v>
      </c>
      <c r="E1114" s="71" t="s">
        <v>623</v>
      </c>
      <c r="F1114" s="71" t="s">
        <v>624</v>
      </c>
      <c r="G1114" s="74">
        <v>10044</v>
      </c>
      <c r="H1114" s="72">
        <v>3.3967719999999999</v>
      </c>
      <c r="I1114" s="73">
        <v>34117.177968000004</v>
      </c>
      <c r="J1114" s="72">
        <v>3.3698855037833533</v>
      </c>
      <c r="K1114" s="73">
        <v>270.04796800000003</v>
      </c>
      <c r="L1114" s="74">
        <v>0</v>
      </c>
      <c r="M1114" s="73">
        <v>0</v>
      </c>
      <c r="N1114" s="74">
        <v>0</v>
      </c>
      <c r="O1114" s="73">
        <v>0</v>
      </c>
      <c r="P1114" s="74">
        <v>10044</v>
      </c>
      <c r="Q1114" s="73">
        <v>34117.177968000004</v>
      </c>
      <c r="R1114" s="71" t="s">
        <v>625</v>
      </c>
      <c r="S1114" s="71">
        <v>7414000005</v>
      </c>
      <c r="AB1114"/>
      <c r="AC1114"/>
    </row>
    <row r="1115" spans="1:29" x14ac:dyDescent="0.25">
      <c r="A1115" t="str">
        <f t="shared" si="18"/>
        <v xml:space="preserve">2000575SVIVE35 C3          </v>
      </c>
      <c r="B1115" s="71">
        <v>2000576</v>
      </c>
      <c r="C1115" s="71" t="s">
        <v>799</v>
      </c>
      <c r="D1115" s="71" t="s">
        <v>420</v>
      </c>
      <c r="E1115" s="71" t="s">
        <v>623</v>
      </c>
      <c r="F1115" s="71" t="s">
        <v>624</v>
      </c>
      <c r="G1115" s="74">
        <v>3708375</v>
      </c>
      <c r="H1115" s="72">
        <v>2.106938</v>
      </c>
      <c r="I1115" s="73">
        <v>7813316.2057499997</v>
      </c>
      <c r="J1115" s="72">
        <v>1.7795293652880304</v>
      </c>
      <c r="K1115" s="73">
        <v>1214153.99575</v>
      </c>
      <c r="L1115" s="74">
        <v>0</v>
      </c>
      <c r="M1115" s="73">
        <v>0</v>
      </c>
      <c r="N1115" s="74">
        <v>0</v>
      </c>
      <c r="O1115" s="73">
        <v>0</v>
      </c>
      <c r="P1115" s="74">
        <v>3708375</v>
      </c>
      <c r="Q1115" s="73">
        <v>7813316.2057499997</v>
      </c>
      <c r="R1115" s="71" t="s">
        <v>625</v>
      </c>
      <c r="S1115" s="71">
        <v>7414000005</v>
      </c>
      <c r="T1115" s="19"/>
      <c r="AB1115"/>
      <c r="AC1115"/>
    </row>
    <row r="1116" spans="1:29" x14ac:dyDescent="0.25">
      <c r="A1116" t="str">
        <f t="shared" si="18"/>
        <v xml:space="preserve">2000576STERGOB ED          </v>
      </c>
      <c r="B1116" s="71">
        <v>2000577</v>
      </c>
      <c r="C1116" s="71" t="s">
        <v>799</v>
      </c>
      <c r="D1116" s="71" t="s">
        <v>389</v>
      </c>
      <c r="E1116" s="71" t="s">
        <v>623</v>
      </c>
      <c r="F1116" s="71" t="s">
        <v>624</v>
      </c>
      <c r="G1116" s="74">
        <v>76238</v>
      </c>
      <c r="H1116" s="72">
        <v>3.3967719999999999</v>
      </c>
      <c r="I1116" s="73">
        <v>258963.10373599999</v>
      </c>
      <c r="J1116" s="72">
        <v>3.3641840027282983</v>
      </c>
      <c r="K1116" s="73">
        <v>2484.4437360000002</v>
      </c>
      <c r="L1116" s="74">
        <v>0</v>
      </c>
      <c r="M1116" s="73">
        <v>0</v>
      </c>
      <c r="N1116" s="74">
        <v>0</v>
      </c>
      <c r="O1116" s="73">
        <v>0</v>
      </c>
      <c r="P1116" s="74">
        <v>76238</v>
      </c>
      <c r="Q1116" s="73">
        <v>258963.10373599999</v>
      </c>
      <c r="R1116" s="71" t="s">
        <v>625</v>
      </c>
      <c r="S1116" s="71">
        <v>7414000005</v>
      </c>
      <c r="AB1116"/>
      <c r="AC1116"/>
    </row>
    <row r="1117" spans="1:29" x14ac:dyDescent="0.25">
      <c r="A1117" t="str">
        <f t="shared" si="18"/>
        <v xml:space="preserve">2000576SVIVE50 C3          </v>
      </c>
      <c r="B1117" s="71">
        <v>2000577</v>
      </c>
      <c r="C1117" s="71" t="s">
        <v>799</v>
      </c>
      <c r="D1117" s="71" t="s">
        <v>482</v>
      </c>
      <c r="E1117" s="71" t="s">
        <v>623</v>
      </c>
      <c r="F1117" s="71" t="s">
        <v>624</v>
      </c>
      <c r="G1117" s="74">
        <v>22007941</v>
      </c>
      <c r="H1117" s="72">
        <v>2.7842250000000002</v>
      </c>
      <c r="I1117" s="73">
        <v>61275059.530725002</v>
      </c>
      <c r="J1117" s="72">
        <v>2.1991865068158809</v>
      </c>
      <c r="K1117" s="73">
        <v>12875492.640725</v>
      </c>
      <c r="L1117" s="74">
        <v>0</v>
      </c>
      <c r="M1117" s="73">
        <v>0</v>
      </c>
      <c r="N1117" s="74">
        <v>0</v>
      </c>
      <c r="O1117" s="73">
        <v>0</v>
      </c>
      <c r="P1117" s="74">
        <v>22007941</v>
      </c>
      <c r="Q1117" s="73">
        <v>61275059.530725002</v>
      </c>
      <c r="R1117" s="71" t="s">
        <v>625</v>
      </c>
      <c r="S1117" s="71">
        <v>7414000005</v>
      </c>
      <c r="AB1117"/>
      <c r="AC1117"/>
    </row>
    <row r="1118" spans="1:29" x14ac:dyDescent="0.25">
      <c r="A1118" t="str">
        <f t="shared" si="18"/>
        <v xml:space="preserve">2000577STERGOB ED          </v>
      </c>
      <c r="B1118" s="71">
        <v>2000579</v>
      </c>
      <c r="C1118" s="71" t="s">
        <v>800</v>
      </c>
      <c r="D1118" s="71" t="s">
        <v>358</v>
      </c>
      <c r="E1118" s="71" t="s">
        <v>623</v>
      </c>
      <c r="F1118" s="71" t="s">
        <v>624</v>
      </c>
      <c r="G1118" s="74">
        <v>39</v>
      </c>
      <c r="H1118" s="72">
        <v>1786.5</v>
      </c>
      <c r="I1118" s="73">
        <v>69673.5</v>
      </c>
      <c r="J1118" s="72">
        <v>1284.6120512820512</v>
      </c>
      <c r="K1118" s="73">
        <v>35652.129999999997</v>
      </c>
      <c r="L1118" s="74">
        <v>-9</v>
      </c>
      <c r="M1118" s="73">
        <v>-16236.36</v>
      </c>
      <c r="N1118" s="74">
        <v>0</v>
      </c>
      <c r="O1118" s="73">
        <v>0</v>
      </c>
      <c r="P1118" s="74">
        <v>30</v>
      </c>
      <c r="Q1118" s="73">
        <v>53437.14</v>
      </c>
      <c r="R1118" s="71" t="s">
        <v>625</v>
      </c>
      <c r="S1118" s="71">
        <v>7414000005</v>
      </c>
      <c r="AB1118"/>
      <c r="AC1118"/>
    </row>
    <row r="1119" spans="1:29" x14ac:dyDescent="0.25">
      <c r="A1119" t="str">
        <f t="shared" si="18"/>
        <v xml:space="preserve">2000577SVIVE60 C3          </v>
      </c>
      <c r="B1119" s="71">
        <v>2000579</v>
      </c>
      <c r="C1119" s="71" t="s">
        <v>800</v>
      </c>
      <c r="D1119" s="71" t="s">
        <v>459</v>
      </c>
      <c r="E1119" s="71" t="s">
        <v>623</v>
      </c>
      <c r="F1119" s="71" t="s">
        <v>624</v>
      </c>
      <c r="G1119" s="74">
        <v>46600</v>
      </c>
      <c r="H1119" s="72">
        <v>4.5848760000000004</v>
      </c>
      <c r="I1119" s="73">
        <v>213655.22159999999</v>
      </c>
      <c r="J1119" s="72">
        <v>2.907045278969957</v>
      </c>
      <c r="K1119" s="73">
        <v>137790.2996</v>
      </c>
      <c r="L1119" s="74">
        <v>-13000</v>
      </c>
      <c r="M1119" s="73">
        <v>-59603.39</v>
      </c>
      <c r="N1119" s="74">
        <v>0</v>
      </c>
      <c r="O1119" s="73">
        <v>0</v>
      </c>
      <c r="P1119" s="74">
        <v>33600</v>
      </c>
      <c r="Q1119" s="73">
        <v>154051.8316</v>
      </c>
      <c r="R1119" s="71" t="s">
        <v>625</v>
      </c>
      <c r="S1119" s="71">
        <v>7414000005</v>
      </c>
      <c r="AB1119"/>
      <c r="AC1119"/>
    </row>
    <row r="1120" spans="1:29" x14ac:dyDescent="0.25">
      <c r="A1120" t="str">
        <f t="shared" si="18"/>
        <v xml:space="preserve">2000579ACWI *              </v>
      </c>
      <c r="B1120" s="71">
        <v>2000579</v>
      </c>
      <c r="C1120" s="71" t="s">
        <v>800</v>
      </c>
      <c r="D1120" s="71" t="s">
        <v>389</v>
      </c>
      <c r="E1120" s="71" t="s">
        <v>623</v>
      </c>
      <c r="F1120" s="71" t="s">
        <v>624</v>
      </c>
      <c r="G1120" s="74">
        <v>97953</v>
      </c>
      <c r="H1120" s="72">
        <v>3.3967719999999999</v>
      </c>
      <c r="I1120" s="73">
        <v>332724.00771600002</v>
      </c>
      <c r="J1120" s="72">
        <v>3.3027279409512724</v>
      </c>
      <c r="K1120" s="73">
        <v>9211.8977159999995</v>
      </c>
      <c r="L1120" s="74">
        <v>0</v>
      </c>
      <c r="M1120" s="73">
        <v>0</v>
      </c>
      <c r="N1120" s="74">
        <v>0</v>
      </c>
      <c r="O1120" s="73">
        <v>0</v>
      </c>
      <c r="P1120" s="74">
        <v>97953</v>
      </c>
      <c r="Q1120" s="73">
        <v>332724.00771600002</v>
      </c>
      <c r="R1120" s="71" t="s">
        <v>625</v>
      </c>
      <c r="S1120" s="71">
        <v>7414000005</v>
      </c>
      <c r="AB1120"/>
      <c r="AC1120"/>
    </row>
    <row r="1121" spans="1:29" x14ac:dyDescent="0.25">
      <c r="A1121" t="str">
        <f t="shared" si="18"/>
        <v xml:space="preserve">2000579STER-OP ED          </v>
      </c>
      <c r="B1121" s="71">
        <v>2000579</v>
      </c>
      <c r="C1121" s="71" t="s">
        <v>800</v>
      </c>
      <c r="D1121" s="71" t="s">
        <v>407</v>
      </c>
      <c r="E1121" s="71" t="s">
        <v>623</v>
      </c>
      <c r="F1121" s="71" t="s">
        <v>624</v>
      </c>
      <c r="G1121" s="74">
        <v>275534</v>
      </c>
      <c r="H1121" s="72">
        <v>2.7668819999999998</v>
      </c>
      <c r="I1121" s="73">
        <v>762370.06498799997</v>
      </c>
      <c r="J1121" s="72">
        <v>2.3636919944544048</v>
      </c>
      <c r="K1121" s="73">
        <v>111092.554988</v>
      </c>
      <c r="L1121" s="74">
        <v>0</v>
      </c>
      <c r="M1121" s="73">
        <v>0</v>
      </c>
      <c r="N1121" s="74">
        <v>0</v>
      </c>
      <c r="O1121" s="73">
        <v>0</v>
      </c>
      <c r="P1121" s="74">
        <v>275534</v>
      </c>
      <c r="Q1121" s="73">
        <v>762370.06498799997</v>
      </c>
      <c r="R1121" s="71" t="s">
        <v>625</v>
      </c>
      <c r="S1121" s="71">
        <v>7414000005</v>
      </c>
      <c r="AB1121"/>
      <c r="AC1121"/>
    </row>
    <row r="1122" spans="1:29" x14ac:dyDescent="0.25">
      <c r="A1122" t="str">
        <f t="shared" si="18"/>
        <v xml:space="preserve">2000579STERGOB ED          </v>
      </c>
      <c r="B1122" s="71">
        <v>2000581</v>
      </c>
      <c r="C1122" s="71" t="s">
        <v>801</v>
      </c>
      <c r="D1122" s="71" t="s">
        <v>358</v>
      </c>
      <c r="E1122" s="71" t="s">
        <v>623</v>
      </c>
      <c r="F1122" s="71" t="s">
        <v>624</v>
      </c>
      <c r="G1122" s="74">
        <v>540</v>
      </c>
      <c r="H1122" s="72">
        <v>1786.5</v>
      </c>
      <c r="I1122" s="73">
        <v>964710</v>
      </c>
      <c r="J1122" s="72">
        <v>1601.684074074074</v>
      </c>
      <c r="K1122" s="73">
        <v>99800.6</v>
      </c>
      <c r="L1122" s="74">
        <v>0</v>
      </c>
      <c r="M1122" s="73">
        <v>0</v>
      </c>
      <c r="N1122" s="74">
        <v>0</v>
      </c>
      <c r="O1122" s="73">
        <v>0</v>
      </c>
      <c r="P1122" s="74">
        <v>540</v>
      </c>
      <c r="Q1122" s="73">
        <v>964710</v>
      </c>
      <c r="R1122" s="71" t="s">
        <v>625</v>
      </c>
      <c r="S1122" s="71">
        <v>7414000005</v>
      </c>
      <c r="AB1122"/>
      <c r="AC1122"/>
    </row>
    <row r="1123" spans="1:29" x14ac:dyDescent="0.25">
      <c r="A1123" t="str">
        <f t="shared" si="18"/>
        <v xml:space="preserve">2000579SVIVE60 ED          </v>
      </c>
      <c r="B1123" s="71">
        <v>2000581</v>
      </c>
      <c r="C1123" s="71" t="s">
        <v>801</v>
      </c>
      <c r="D1123" s="71" t="s">
        <v>419</v>
      </c>
      <c r="E1123" s="71" t="s">
        <v>623</v>
      </c>
      <c r="F1123" s="71" t="s">
        <v>624</v>
      </c>
      <c r="G1123" s="74">
        <v>0</v>
      </c>
      <c r="H1123" s="72">
        <v>0</v>
      </c>
      <c r="I1123" s="73">
        <v>0</v>
      </c>
      <c r="J1123" s="72">
        <v>0</v>
      </c>
      <c r="K1123" s="73">
        <v>0</v>
      </c>
      <c r="L1123" s="74">
        <v>0</v>
      </c>
      <c r="M1123" s="73">
        <v>0</v>
      </c>
      <c r="N1123" s="74">
        <v>0</v>
      </c>
      <c r="O1123" s="73">
        <v>0</v>
      </c>
      <c r="P1123" s="74">
        <v>0</v>
      </c>
      <c r="Q1123" s="73">
        <v>0</v>
      </c>
      <c r="R1123" s="71" t="s">
        <v>625</v>
      </c>
      <c r="S1123" s="71">
        <v>7414000005</v>
      </c>
      <c r="AB1123"/>
      <c r="AC1123"/>
    </row>
    <row r="1124" spans="1:29" x14ac:dyDescent="0.25">
      <c r="A1124" t="str">
        <f t="shared" si="18"/>
        <v xml:space="preserve">2000581ACWI *              </v>
      </c>
      <c r="B1124" s="71">
        <v>2000581</v>
      </c>
      <c r="C1124" s="71" t="s">
        <v>801</v>
      </c>
      <c r="D1124" s="71" t="s">
        <v>459</v>
      </c>
      <c r="E1124" s="71" t="s">
        <v>623</v>
      </c>
      <c r="F1124" s="71" t="s">
        <v>624</v>
      </c>
      <c r="G1124" s="74">
        <v>630000</v>
      </c>
      <c r="H1124" s="72">
        <v>4.5848760000000004</v>
      </c>
      <c r="I1124" s="73">
        <v>2888471.88</v>
      </c>
      <c r="J1124" s="72">
        <v>4.1732759047619048</v>
      </c>
      <c r="K1124" s="73">
        <v>259308.06</v>
      </c>
      <c r="L1124" s="74">
        <v>0</v>
      </c>
      <c r="M1124" s="73">
        <v>0</v>
      </c>
      <c r="N1124" s="74">
        <v>0</v>
      </c>
      <c r="O1124" s="73">
        <v>0</v>
      </c>
      <c r="P1124" s="74">
        <v>630000</v>
      </c>
      <c r="Q1124" s="73">
        <v>2888471.88</v>
      </c>
      <c r="R1124" s="71" t="s">
        <v>625</v>
      </c>
      <c r="S1124" s="71">
        <v>7414000005</v>
      </c>
      <c r="AB1124"/>
      <c r="AC1124"/>
    </row>
    <row r="1125" spans="1:29" x14ac:dyDescent="0.25">
      <c r="A1125" t="str">
        <f t="shared" si="18"/>
        <v xml:space="preserve">2000581IENOVA *            </v>
      </c>
      <c r="B1125" s="71">
        <v>2000581</v>
      </c>
      <c r="C1125" s="71" t="s">
        <v>801</v>
      </c>
      <c r="D1125" s="71" t="s">
        <v>389</v>
      </c>
      <c r="E1125" s="71" t="s">
        <v>623</v>
      </c>
      <c r="F1125" s="71" t="s">
        <v>624</v>
      </c>
      <c r="G1125" s="74">
        <v>2936052</v>
      </c>
      <c r="H1125" s="72">
        <v>3.3967719999999999</v>
      </c>
      <c r="I1125" s="73">
        <v>9973099.2241440006</v>
      </c>
      <c r="J1125" s="72">
        <v>2.8612265484398778</v>
      </c>
      <c r="K1125" s="73">
        <v>1572389.2941439999</v>
      </c>
      <c r="L1125" s="74">
        <v>0</v>
      </c>
      <c r="M1125" s="73">
        <v>0</v>
      </c>
      <c r="N1125" s="74">
        <v>0</v>
      </c>
      <c r="O1125" s="73">
        <v>0</v>
      </c>
      <c r="P1125" s="74">
        <v>2936052</v>
      </c>
      <c r="Q1125" s="73">
        <v>9973099.2241440006</v>
      </c>
      <c r="R1125" s="71" t="s">
        <v>625</v>
      </c>
      <c r="S1125" s="71">
        <v>7414000005</v>
      </c>
      <c r="AB1125"/>
      <c r="AC1125"/>
    </row>
    <row r="1126" spans="1:29" x14ac:dyDescent="0.25">
      <c r="A1126" t="str">
        <f t="shared" si="18"/>
        <v xml:space="preserve">2000581STER-OP ED          </v>
      </c>
      <c r="B1126" s="71">
        <v>2000581</v>
      </c>
      <c r="C1126" s="71" t="s">
        <v>801</v>
      </c>
      <c r="D1126" s="71" t="s">
        <v>407</v>
      </c>
      <c r="E1126" s="71" t="s">
        <v>623</v>
      </c>
      <c r="F1126" s="71" t="s">
        <v>624</v>
      </c>
      <c r="G1126" s="74">
        <v>4048811</v>
      </c>
      <c r="H1126" s="72">
        <v>2.7668819999999998</v>
      </c>
      <c r="I1126" s="73">
        <v>11202582.277302001</v>
      </c>
      <c r="J1126" s="72">
        <v>2.3636919999476391</v>
      </c>
      <c r="K1126" s="73">
        <v>1632440.107302</v>
      </c>
      <c r="L1126" s="74">
        <v>0</v>
      </c>
      <c r="M1126" s="73">
        <v>0</v>
      </c>
      <c r="N1126" s="74">
        <v>0</v>
      </c>
      <c r="O1126" s="73">
        <v>0</v>
      </c>
      <c r="P1126" s="74">
        <v>4048811</v>
      </c>
      <c r="Q1126" s="73">
        <v>11202582.277302001</v>
      </c>
      <c r="R1126" s="71" t="s">
        <v>625</v>
      </c>
      <c r="S1126" s="71">
        <v>7414000005</v>
      </c>
      <c r="AB1126"/>
      <c r="AC1126"/>
    </row>
    <row r="1127" spans="1:29" x14ac:dyDescent="0.25">
      <c r="A1127" t="str">
        <f t="shared" si="18"/>
        <v xml:space="preserve">2000581STERGOB ED          </v>
      </c>
      <c r="B1127" s="71">
        <v>2000597</v>
      </c>
      <c r="C1127" s="71" t="s">
        <v>802</v>
      </c>
      <c r="D1127" s="71" t="s">
        <v>411</v>
      </c>
      <c r="E1127" s="71" t="s">
        <v>623</v>
      </c>
      <c r="F1127" s="71" t="s">
        <v>624</v>
      </c>
      <c r="G1127" s="74">
        <v>6680</v>
      </c>
      <c r="H1127" s="72">
        <v>3.4985729999999999</v>
      </c>
      <c r="I1127" s="73">
        <v>23370.467639999999</v>
      </c>
      <c r="J1127" s="72">
        <v>3.4544176646706588</v>
      </c>
      <c r="K1127" s="73">
        <v>294.95764000000003</v>
      </c>
      <c r="L1127" s="74">
        <v>0</v>
      </c>
      <c r="M1127" s="73">
        <v>0</v>
      </c>
      <c r="N1127" s="74">
        <v>0</v>
      </c>
      <c r="O1127" s="73">
        <v>0</v>
      </c>
      <c r="P1127" s="74">
        <v>6680</v>
      </c>
      <c r="Q1127" s="73">
        <v>23370.467639999999</v>
      </c>
      <c r="R1127" s="71" t="s">
        <v>625</v>
      </c>
      <c r="S1127" s="71">
        <v>7414000005</v>
      </c>
      <c r="AB1127"/>
      <c r="AC1127"/>
    </row>
    <row r="1128" spans="1:29" x14ac:dyDescent="0.25">
      <c r="A1128" t="str">
        <f t="shared" si="18"/>
        <v xml:space="preserve">2000581SVIVE60 ED          </v>
      </c>
      <c r="B1128" s="71">
        <v>2000722</v>
      </c>
      <c r="C1128" s="71" t="s">
        <v>803</v>
      </c>
      <c r="D1128" s="71" t="s">
        <v>473</v>
      </c>
      <c r="E1128" s="71" t="s">
        <v>623</v>
      </c>
      <c r="F1128" s="71" t="s">
        <v>624</v>
      </c>
      <c r="G1128" s="74">
        <v>1262506</v>
      </c>
      <c r="H1128" s="72">
        <v>3.568238</v>
      </c>
      <c r="I1128" s="73">
        <v>4504921.8844280001</v>
      </c>
      <c r="J1128" s="72">
        <v>3.5194257373826341</v>
      </c>
      <c r="K1128" s="73">
        <v>61625.774427999997</v>
      </c>
      <c r="L1128" s="74">
        <v>0</v>
      </c>
      <c r="M1128" s="73">
        <v>0</v>
      </c>
      <c r="N1128" s="74">
        <v>0</v>
      </c>
      <c r="O1128" s="73">
        <v>0</v>
      </c>
      <c r="P1128" s="74">
        <v>1262506</v>
      </c>
      <c r="Q1128" s="73">
        <v>4504921.8844280001</v>
      </c>
      <c r="R1128" s="71" t="s">
        <v>625</v>
      </c>
      <c r="S1128" s="71">
        <v>7414000005</v>
      </c>
      <c r="AB1128"/>
      <c r="AC1128"/>
    </row>
    <row r="1129" spans="1:29" x14ac:dyDescent="0.25">
      <c r="A1129" t="str">
        <f t="shared" si="18"/>
        <v xml:space="preserve">2000597STERGOB B2          </v>
      </c>
      <c r="B1129" s="71">
        <v>2000724</v>
      </c>
      <c r="C1129" s="71" t="s">
        <v>804</v>
      </c>
      <c r="D1129" s="71" t="s">
        <v>473</v>
      </c>
      <c r="E1129" s="71" t="s">
        <v>623</v>
      </c>
      <c r="F1129" s="71" t="s">
        <v>624</v>
      </c>
      <c r="G1129" s="74">
        <v>1084620</v>
      </c>
      <c r="H1129" s="72">
        <v>3.568238</v>
      </c>
      <c r="I1129" s="73">
        <v>3870182.2995600002</v>
      </c>
      <c r="J1129" s="72">
        <v>3.5339675185779353</v>
      </c>
      <c r="K1129" s="73">
        <v>37170.449560000001</v>
      </c>
      <c r="L1129" s="74">
        <v>0</v>
      </c>
      <c r="M1129" s="73">
        <v>0</v>
      </c>
      <c r="N1129" s="74">
        <v>0</v>
      </c>
      <c r="O1129" s="73">
        <v>0</v>
      </c>
      <c r="P1129" s="74">
        <v>1084620</v>
      </c>
      <c r="Q1129" s="73">
        <v>3870182.2995600002</v>
      </c>
      <c r="R1129" s="71" t="s">
        <v>625</v>
      </c>
      <c r="S1129" s="71">
        <v>7414000005</v>
      </c>
      <c r="AB1129"/>
      <c r="AC1129"/>
    </row>
    <row r="1130" spans="1:29" x14ac:dyDescent="0.25">
      <c r="A1130" t="str">
        <f t="shared" si="18"/>
        <v xml:space="preserve">2000722STERGOB B3          </v>
      </c>
      <c r="B1130" s="71">
        <v>2000725</v>
      </c>
      <c r="C1130" s="71" t="s">
        <v>805</v>
      </c>
      <c r="D1130" s="71" t="s">
        <v>473</v>
      </c>
      <c r="E1130" s="71" t="s">
        <v>623</v>
      </c>
      <c r="F1130" s="71" t="s">
        <v>624</v>
      </c>
      <c r="G1130" s="74">
        <v>42</v>
      </c>
      <c r="H1130" s="72">
        <v>3.568238</v>
      </c>
      <c r="I1130" s="73">
        <v>149.865996</v>
      </c>
      <c r="J1130" s="72">
        <v>3.5033333333333334</v>
      </c>
      <c r="K1130" s="73">
        <v>2.7259959999999999</v>
      </c>
      <c r="L1130" s="74">
        <v>0</v>
      </c>
      <c r="M1130" s="73">
        <v>0</v>
      </c>
      <c r="N1130" s="74">
        <v>0</v>
      </c>
      <c r="O1130" s="73">
        <v>0</v>
      </c>
      <c r="P1130" s="74">
        <v>42</v>
      </c>
      <c r="Q1130" s="73">
        <v>149.865996</v>
      </c>
      <c r="R1130" s="71" t="s">
        <v>625</v>
      </c>
      <c r="S1130" s="71">
        <v>7414000005</v>
      </c>
      <c r="AB1130"/>
      <c r="AC1130"/>
    </row>
    <row r="1131" spans="1:29" x14ac:dyDescent="0.25">
      <c r="A1131" t="str">
        <f t="shared" si="18"/>
        <v xml:space="preserve">2000724STERGOB B3          </v>
      </c>
      <c r="B1131" s="71">
        <v>2000730</v>
      </c>
      <c r="C1131" s="71" t="s">
        <v>806</v>
      </c>
      <c r="D1131" s="71" t="s">
        <v>411</v>
      </c>
      <c r="E1131" s="71" t="s">
        <v>623</v>
      </c>
      <c r="F1131" s="71" t="s">
        <v>624</v>
      </c>
      <c r="G1131" s="74">
        <v>1403655</v>
      </c>
      <c r="H1131" s="72">
        <v>3.4985729999999999</v>
      </c>
      <c r="I1131" s="73">
        <v>4910789.4843149995</v>
      </c>
      <c r="J1131" s="72">
        <v>3.4525532556076812</v>
      </c>
      <c r="K1131" s="73">
        <v>64595.844315000002</v>
      </c>
      <c r="L1131" s="74">
        <v>0</v>
      </c>
      <c r="M1131" s="73">
        <v>0</v>
      </c>
      <c r="N1131" s="74">
        <v>0</v>
      </c>
      <c r="O1131" s="73">
        <v>0</v>
      </c>
      <c r="P1131" s="74">
        <v>1403655</v>
      </c>
      <c r="Q1131" s="73">
        <v>4910789.4843149995</v>
      </c>
      <c r="R1131" s="71" t="s">
        <v>625</v>
      </c>
      <c r="S1131" s="71">
        <v>7414000005</v>
      </c>
      <c r="AB1131"/>
      <c r="AC1131"/>
    </row>
    <row r="1132" spans="1:29" x14ac:dyDescent="0.25">
      <c r="A1132" t="str">
        <f t="shared" si="18"/>
        <v xml:space="preserve">2000725STERGOB B3          </v>
      </c>
      <c r="B1132" s="71">
        <v>2000739</v>
      </c>
      <c r="C1132" s="71" t="s">
        <v>807</v>
      </c>
      <c r="D1132" s="71" t="s">
        <v>358</v>
      </c>
      <c r="E1132" s="71" t="s">
        <v>623</v>
      </c>
      <c r="F1132" s="71" t="s">
        <v>624</v>
      </c>
      <c r="G1132" s="74">
        <v>470</v>
      </c>
      <c r="H1132" s="72">
        <v>1786.5</v>
      </c>
      <c r="I1132" s="73">
        <v>839655</v>
      </c>
      <c r="J1132" s="72">
        <v>1367.95</v>
      </c>
      <c r="K1132" s="73">
        <v>196718.5</v>
      </c>
      <c r="L1132" s="74">
        <v>0</v>
      </c>
      <c r="M1132" s="73">
        <v>0</v>
      </c>
      <c r="N1132" s="74">
        <v>0</v>
      </c>
      <c r="O1132" s="73">
        <v>0</v>
      </c>
      <c r="P1132" s="74">
        <v>470</v>
      </c>
      <c r="Q1132" s="73">
        <v>839655</v>
      </c>
      <c r="R1132" s="71" t="s">
        <v>625</v>
      </c>
      <c r="S1132" s="71">
        <v>7414000005</v>
      </c>
      <c r="AB1132"/>
      <c r="AC1132"/>
    </row>
    <row r="1133" spans="1:29" x14ac:dyDescent="0.25">
      <c r="A1133" t="str">
        <f t="shared" si="18"/>
        <v xml:space="preserve">2000730STERGOB B2          </v>
      </c>
      <c r="B1133" s="71">
        <v>2000739</v>
      </c>
      <c r="C1133" s="71" t="s">
        <v>807</v>
      </c>
      <c r="D1133" s="71" t="s">
        <v>568</v>
      </c>
      <c r="E1133" s="71" t="s">
        <v>623</v>
      </c>
      <c r="F1133" s="71" t="s">
        <v>624</v>
      </c>
      <c r="G1133" s="74">
        <v>47898</v>
      </c>
      <c r="H1133" s="72">
        <v>48.559412999999999</v>
      </c>
      <c r="I1133" s="73">
        <v>2325898.7638739999</v>
      </c>
      <c r="J1133" s="72">
        <v>32.818488037078794</v>
      </c>
      <c r="K1133" s="73">
        <v>753958.82387399999</v>
      </c>
      <c r="L1133" s="74">
        <v>0</v>
      </c>
      <c r="M1133" s="73">
        <v>0</v>
      </c>
      <c r="N1133" s="74">
        <v>0</v>
      </c>
      <c r="O1133" s="73">
        <v>0</v>
      </c>
      <c r="P1133" s="74">
        <v>47898</v>
      </c>
      <c r="Q1133" s="73">
        <v>2325898.7638739999</v>
      </c>
      <c r="R1133" s="71" t="s">
        <v>625</v>
      </c>
      <c r="S1133" s="71">
        <v>7414000005</v>
      </c>
      <c r="AB1133"/>
      <c r="AC1133"/>
    </row>
    <row r="1134" spans="1:29" x14ac:dyDescent="0.25">
      <c r="A1134" t="str">
        <f t="shared" si="18"/>
        <v xml:space="preserve">2000739ACWI *              </v>
      </c>
      <c r="B1134" s="71">
        <v>2000739</v>
      </c>
      <c r="C1134" s="71" t="s">
        <v>807</v>
      </c>
      <c r="D1134" s="71" t="s">
        <v>459</v>
      </c>
      <c r="E1134" s="71" t="s">
        <v>623</v>
      </c>
      <c r="F1134" s="71" t="s">
        <v>624</v>
      </c>
      <c r="G1134" s="74">
        <v>399680</v>
      </c>
      <c r="H1134" s="72">
        <v>4.5848760000000004</v>
      </c>
      <c r="I1134" s="73">
        <v>1832483.2396800001</v>
      </c>
      <c r="J1134" s="72">
        <v>3.3440324509607686</v>
      </c>
      <c r="K1134" s="73">
        <v>495940.34967999998</v>
      </c>
      <c r="L1134" s="74">
        <v>0</v>
      </c>
      <c r="M1134" s="73">
        <v>0</v>
      </c>
      <c r="N1134" s="74">
        <v>0</v>
      </c>
      <c r="O1134" s="73">
        <v>0</v>
      </c>
      <c r="P1134" s="74">
        <v>399680</v>
      </c>
      <c r="Q1134" s="73">
        <v>1832483.2396800001</v>
      </c>
      <c r="R1134" s="71" t="s">
        <v>625</v>
      </c>
      <c r="S1134" s="71">
        <v>7414000005</v>
      </c>
      <c r="AB1134"/>
      <c r="AC1134"/>
    </row>
    <row r="1135" spans="1:29" x14ac:dyDescent="0.25">
      <c r="A1135" t="str">
        <f t="shared" si="18"/>
        <v xml:space="preserve">2000739ST&amp;ER-7 ED          </v>
      </c>
      <c r="B1135" s="71">
        <v>2000739</v>
      </c>
      <c r="C1135" s="71" t="s">
        <v>807</v>
      </c>
      <c r="D1135" s="71" t="s">
        <v>569</v>
      </c>
      <c r="E1135" s="71" t="s">
        <v>623</v>
      </c>
      <c r="F1135" s="71" t="s">
        <v>624</v>
      </c>
      <c r="G1135" s="74">
        <v>637286</v>
      </c>
      <c r="H1135" s="72">
        <v>3.5281129999999998</v>
      </c>
      <c r="I1135" s="73">
        <v>2248417.0213179998</v>
      </c>
      <c r="J1135" s="72">
        <v>2.3012690063801808</v>
      </c>
      <c r="K1135" s="73">
        <v>781850.50131800002</v>
      </c>
      <c r="L1135" s="74">
        <v>0</v>
      </c>
      <c r="M1135" s="73">
        <v>0</v>
      </c>
      <c r="N1135" s="74">
        <v>0</v>
      </c>
      <c r="O1135" s="73">
        <v>0</v>
      </c>
      <c r="P1135" s="74">
        <v>637286</v>
      </c>
      <c r="Q1135" s="73">
        <v>2248417.0213179998</v>
      </c>
      <c r="R1135" s="71" t="s">
        <v>625</v>
      </c>
      <c r="S1135" s="71">
        <v>7414000005</v>
      </c>
      <c r="AB1135"/>
      <c r="AC1135"/>
    </row>
    <row r="1136" spans="1:29" x14ac:dyDescent="0.25">
      <c r="A1136" t="str">
        <f t="shared" si="18"/>
        <v xml:space="preserve">2000739STER-OP ED          </v>
      </c>
      <c r="B1136" s="71">
        <v>2000739</v>
      </c>
      <c r="C1136" s="71" t="s">
        <v>807</v>
      </c>
      <c r="D1136" s="71" t="s">
        <v>389</v>
      </c>
      <c r="E1136" s="71" t="s">
        <v>623</v>
      </c>
      <c r="F1136" s="71" t="s">
        <v>624</v>
      </c>
      <c r="G1136" s="74">
        <v>79736</v>
      </c>
      <c r="H1136" s="72">
        <v>3.3967719999999999</v>
      </c>
      <c r="I1136" s="73">
        <v>270845.01219199999</v>
      </c>
      <c r="J1136" s="72">
        <v>2.7001970251831042</v>
      </c>
      <c r="K1136" s="73">
        <v>55542.102191999998</v>
      </c>
      <c r="L1136" s="74">
        <v>0</v>
      </c>
      <c r="M1136" s="73">
        <v>0</v>
      </c>
      <c r="N1136" s="74">
        <v>0</v>
      </c>
      <c r="O1136" s="73">
        <v>0</v>
      </c>
      <c r="P1136" s="74">
        <v>79736</v>
      </c>
      <c r="Q1136" s="73">
        <v>270845.01219199999</v>
      </c>
      <c r="R1136" s="71" t="s">
        <v>625</v>
      </c>
      <c r="S1136" s="71">
        <v>7414000005</v>
      </c>
      <c r="AB1136"/>
      <c r="AC1136"/>
    </row>
    <row r="1137" spans="1:29" x14ac:dyDescent="0.25">
      <c r="A1137" t="str">
        <f t="shared" si="18"/>
        <v xml:space="preserve">2000739STEREAL ED          </v>
      </c>
      <c r="B1137" s="71">
        <v>2000776</v>
      </c>
      <c r="C1137" s="71" t="s">
        <v>808</v>
      </c>
      <c r="D1137" s="71" t="s">
        <v>473</v>
      </c>
      <c r="E1137" s="71" t="s">
        <v>623</v>
      </c>
      <c r="F1137" s="71" t="s">
        <v>624</v>
      </c>
      <c r="G1137" s="74">
        <v>4313721</v>
      </c>
      <c r="H1137" s="72">
        <v>3.568238</v>
      </c>
      <c r="I1137" s="73">
        <v>15392383.193598</v>
      </c>
      <c r="J1137" s="72">
        <v>3.5358036646319966</v>
      </c>
      <c r="K1137" s="73">
        <v>139912.67359799999</v>
      </c>
      <c r="L1137" s="74">
        <v>0</v>
      </c>
      <c r="M1137" s="73">
        <v>0</v>
      </c>
      <c r="N1137" s="74">
        <v>0</v>
      </c>
      <c r="O1137" s="73">
        <v>0</v>
      </c>
      <c r="P1137" s="74">
        <v>4313721</v>
      </c>
      <c r="Q1137" s="73">
        <v>15392383.193598</v>
      </c>
      <c r="R1137" s="71" t="s">
        <v>625</v>
      </c>
      <c r="S1137" s="71">
        <v>7414000005</v>
      </c>
      <c r="AB1137"/>
      <c r="AC1137"/>
    </row>
    <row r="1138" spans="1:29" x14ac:dyDescent="0.25">
      <c r="A1138" t="str">
        <f t="shared" si="18"/>
        <v xml:space="preserve">2000739STERGOB ED          </v>
      </c>
      <c r="B1138" s="71">
        <v>2000777</v>
      </c>
      <c r="C1138" s="71" t="s">
        <v>809</v>
      </c>
      <c r="D1138" s="71" t="s">
        <v>473</v>
      </c>
      <c r="E1138" s="71" t="s">
        <v>623</v>
      </c>
      <c r="F1138" s="71" t="s">
        <v>624</v>
      </c>
      <c r="G1138" s="74">
        <v>637008</v>
      </c>
      <c r="H1138" s="72">
        <v>3.568238</v>
      </c>
      <c r="I1138" s="73">
        <v>2272996.151904</v>
      </c>
      <c r="J1138" s="72">
        <v>3.5099088551478159</v>
      </c>
      <c r="K1138" s="73">
        <v>37156.131904000002</v>
      </c>
      <c r="L1138" s="74">
        <v>0</v>
      </c>
      <c r="M1138" s="73">
        <v>0</v>
      </c>
      <c r="N1138" s="74">
        <v>0</v>
      </c>
      <c r="O1138" s="73">
        <v>0</v>
      </c>
      <c r="P1138" s="74">
        <v>637008</v>
      </c>
      <c r="Q1138" s="73">
        <v>2272996.151904</v>
      </c>
      <c r="R1138" s="71" t="s">
        <v>625</v>
      </c>
      <c r="S1138" s="71">
        <v>7414000005</v>
      </c>
      <c r="AB1138"/>
      <c r="AC1138"/>
    </row>
    <row r="1139" spans="1:29" x14ac:dyDescent="0.25">
      <c r="A1139" t="str">
        <f t="shared" si="18"/>
        <v xml:space="preserve">2000776STERGOB B3          </v>
      </c>
      <c r="B1139" s="71">
        <v>2000778</v>
      </c>
      <c r="C1139" s="71" t="s">
        <v>810</v>
      </c>
      <c r="D1139" s="71" t="s">
        <v>473</v>
      </c>
      <c r="E1139" s="71" t="s">
        <v>623</v>
      </c>
      <c r="F1139" s="71" t="s">
        <v>624</v>
      </c>
      <c r="G1139" s="74">
        <v>3422200</v>
      </c>
      <c r="H1139" s="72">
        <v>3.568238</v>
      </c>
      <c r="I1139" s="73">
        <v>12211224.0836</v>
      </c>
      <c r="J1139" s="72">
        <v>3.5110708111740987</v>
      </c>
      <c r="K1139" s="73">
        <v>195637.55360000001</v>
      </c>
      <c r="L1139" s="74">
        <v>0</v>
      </c>
      <c r="M1139" s="73">
        <v>0</v>
      </c>
      <c r="N1139" s="74">
        <v>0</v>
      </c>
      <c r="O1139" s="73">
        <v>0</v>
      </c>
      <c r="P1139" s="74">
        <v>3422200</v>
      </c>
      <c r="Q1139" s="73">
        <v>12211224.0836</v>
      </c>
      <c r="R1139" s="71" t="s">
        <v>625</v>
      </c>
      <c r="S1139" s="71">
        <v>7414000005</v>
      </c>
      <c r="AB1139"/>
      <c r="AC1139"/>
    </row>
    <row r="1140" spans="1:29" x14ac:dyDescent="0.25">
      <c r="A1140" t="str">
        <f t="shared" si="18"/>
        <v xml:space="preserve">2000777STERGOB B3          </v>
      </c>
      <c r="B1140" s="71">
        <v>2000791</v>
      </c>
      <c r="C1140" s="71" t="s">
        <v>811</v>
      </c>
      <c r="D1140" s="71" t="s">
        <v>358</v>
      </c>
      <c r="E1140" s="71" t="s">
        <v>623</v>
      </c>
      <c r="F1140" s="71" t="s">
        <v>624</v>
      </c>
      <c r="G1140" s="74">
        <v>900</v>
      </c>
      <c r="H1140" s="72">
        <v>1786.5</v>
      </c>
      <c r="I1140" s="73">
        <v>1607850</v>
      </c>
      <c r="J1140" s="72">
        <v>1410.5106555555556</v>
      </c>
      <c r="K1140" s="73">
        <v>427715.41</v>
      </c>
      <c r="L1140" s="74">
        <v>-50</v>
      </c>
      <c r="M1140" s="73">
        <v>-90202</v>
      </c>
      <c r="N1140" s="74">
        <v>0</v>
      </c>
      <c r="O1140" s="73">
        <v>0</v>
      </c>
      <c r="P1140" s="74">
        <v>850</v>
      </c>
      <c r="Q1140" s="73">
        <v>1517648</v>
      </c>
      <c r="R1140" s="71" t="s">
        <v>625</v>
      </c>
      <c r="S1140" s="71">
        <v>7414000005</v>
      </c>
      <c r="AB1140"/>
      <c r="AC1140"/>
    </row>
    <row r="1141" spans="1:29" x14ac:dyDescent="0.25">
      <c r="A1141" t="str">
        <f t="shared" si="18"/>
        <v xml:space="preserve">2000778STERGOB B3          </v>
      </c>
      <c r="B1141" s="71">
        <v>2000791</v>
      </c>
      <c r="C1141" s="71" t="s">
        <v>811</v>
      </c>
      <c r="D1141" s="71" t="s">
        <v>459</v>
      </c>
      <c r="E1141" s="71" t="s">
        <v>623</v>
      </c>
      <c r="F1141" s="71" t="s">
        <v>624</v>
      </c>
      <c r="G1141" s="74">
        <v>1040000</v>
      </c>
      <c r="H1141" s="72">
        <v>4.5848760000000004</v>
      </c>
      <c r="I1141" s="73">
        <v>4768271.04</v>
      </c>
      <c r="J1141" s="72">
        <v>4.0513652307692309</v>
      </c>
      <c r="K1141" s="73">
        <v>692397.48</v>
      </c>
      <c r="L1141" s="74">
        <v>-30000</v>
      </c>
      <c r="M1141" s="73">
        <v>-137546.28</v>
      </c>
      <c r="N1141" s="74">
        <v>0</v>
      </c>
      <c r="O1141" s="73">
        <v>0</v>
      </c>
      <c r="P1141" s="74">
        <v>1010000</v>
      </c>
      <c r="Q1141" s="73">
        <v>4630724.76</v>
      </c>
      <c r="R1141" s="71" t="s">
        <v>625</v>
      </c>
      <c r="S1141" s="71">
        <v>7414000005</v>
      </c>
      <c r="AB1141"/>
      <c r="AC1141"/>
    </row>
    <row r="1142" spans="1:29" x14ac:dyDescent="0.25">
      <c r="A1142" t="str">
        <f t="shared" si="18"/>
        <v xml:space="preserve">2000791ACWI *              </v>
      </c>
      <c r="B1142" s="71">
        <v>2000791</v>
      </c>
      <c r="C1142" s="71" t="s">
        <v>811</v>
      </c>
      <c r="D1142" s="71" t="s">
        <v>389</v>
      </c>
      <c r="E1142" s="71" t="s">
        <v>623</v>
      </c>
      <c r="F1142" s="71" t="s">
        <v>624</v>
      </c>
      <c r="G1142" s="74">
        <v>4488918</v>
      </c>
      <c r="H1142" s="72">
        <v>3.3967719999999999</v>
      </c>
      <c r="I1142" s="73">
        <v>15247830.972696001</v>
      </c>
      <c r="J1142" s="72">
        <v>3.1945733715786298</v>
      </c>
      <c r="K1142" s="73">
        <v>907653.06269599998</v>
      </c>
      <c r="L1142" s="74">
        <v>0</v>
      </c>
      <c r="M1142" s="73">
        <v>0</v>
      </c>
      <c r="N1142" s="74">
        <v>0</v>
      </c>
      <c r="O1142" s="73">
        <v>0</v>
      </c>
      <c r="P1142" s="74">
        <v>4488918</v>
      </c>
      <c r="Q1142" s="73">
        <v>15247830.972696001</v>
      </c>
      <c r="R1142" s="71" t="s">
        <v>625</v>
      </c>
      <c r="S1142" s="71">
        <v>7414000005</v>
      </c>
      <c r="AB1142"/>
      <c r="AC1142"/>
    </row>
    <row r="1143" spans="1:29" x14ac:dyDescent="0.25">
      <c r="A1143" t="str">
        <f t="shared" si="18"/>
        <v xml:space="preserve">2000791STER-OP ED          </v>
      </c>
      <c r="B1143" s="71">
        <v>2000791</v>
      </c>
      <c r="C1143" s="71" t="s">
        <v>811</v>
      </c>
      <c r="D1143" s="71" t="s">
        <v>407</v>
      </c>
      <c r="E1143" s="71" t="s">
        <v>623</v>
      </c>
      <c r="F1143" s="71" t="s">
        <v>624</v>
      </c>
      <c r="G1143" s="74">
        <v>6664683</v>
      </c>
      <c r="H1143" s="72">
        <v>2.7668819999999998</v>
      </c>
      <c r="I1143" s="73">
        <v>18440391.428406</v>
      </c>
      <c r="J1143" s="72">
        <v>2.3636920000546162</v>
      </c>
      <c r="K1143" s="73">
        <v>2687133.538406</v>
      </c>
      <c r="L1143" s="74">
        <v>0</v>
      </c>
      <c r="M1143" s="73">
        <v>0</v>
      </c>
      <c r="N1143" s="74">
        <v>0</v>
      </c>
      <c r="O1143" s="73">
        <v>0</v>
      </c>
      <c r="P1143" s="74">
        <v>6664683</v>
      </c>
      <c r="Q1143" s="73">
        <v>18440391.428406</v>
      </c>
      <c r="R1143" s="71" t="s">
        <v>625</v>
      </c>
      <c r="S1143" s="71">
        <v>7414000005</v>
      </c>
      <c r="AB1143"/>
      <c r="AC1143"/>
    </row>
    <row r="1144" spans="1:29" x14ac:dyDescent="0.25">
      <c r="A1144" t="str">
        <f t="shared" si="18"/>
        <v xml:space="preserve">2000791STERGOB ED          </v>
      </c>
      <c r="B1144" s="71">
        <v>2000795</v>
      </c>
      <c r="C1144" s="71" t="s">
        <v>812</v>
      </c>
      <c r="D1144" s="71" t="s">
        <v>357</v>
      </c>
      <c r="E1144" s="71" t="s">
        <v>623</v>
      </c>
      <c r="F1144" s="71" t="s">
        <v>624</v>
      </c>
      <c r="G1144" s="74">
        <v>5200</v>
      </c>
      <c r="H1144" s="72">
        <v>168.64</v>
      </c>
      <c r="I1144" s="73">
        <v>876928</v>
      </c>
      <c r="J1144" s="72">
        <v>177.75180961538462</v>
      </c>
      <c r="K1144" s="73">
        <v>-47381.41</v>
      </c>
      <c r="L1144" s="74">
        <v>0</v>
      </c>
      <c r="M1144" s="73">
        <v>0</v>
      </c>
      <c r="N1144" s="74">
        <v>0</v>
      </c>
      <c r="O1144" s="73">
        <v>0</v>
      </c>
      <c r="P1144" s="74">
        <v>5200</v>
      </c>
      <c r="Q1144" s="73">
        <v>876928</v>
      </c>
      <c r="R1144" s="71" t="s">
        <v>625</v>
      </c>
      <c r="S1144" s="71">
        <v>7414000005</v>
      </c>
      <c r="AB1144"/>
      <c r="AC1144"/>
    </row>
    <row r="1145" spans="1:29" x14ac:dyDescent="0.25">
      <c r="A1145" t="str">
        <f t="shared" si="18"/>
        <v xml:space="preserve">2000791SVIVE60 ED          </v>
      </c>
      <c r="B1145" s="71">
        <v>2000795</v>
      </c>
      <c r="C1145" s="71" t="s">
        <v>812</v>
      </c>
      <c r="D1145" s="71" t="s">
        <v>617</v>
      </c>
      <c r="E1145" s="71" t="s">
        <v>623</v>
      </c>
      <c r="F1145" s="71" t="s">
        <v>624</v>
      </c>
      <c r="G1145" s="74">
        <v>16400</v>
      </c>
      <c r="H1145" s="72">
        <v>11.86</v>
      </c>
      <c r="I1145" s="73">
        <v>194504</v>
      </c>
      <c r="J1145" s="72">
        <v>12.184011585365853</v>
      </c>
      <c r="K1145" s="73">
        <v>-5313.79</v>
      </c>
      <c r="L1145" s="74">
        <v>0</v>
      </c>
      <c r="M1145" s="73">
        <v>0</v>
      </c>
      <c r="N1145" s="74">
        <v>0</v>
      </c>
      <c r="O1145" s="73">
        <v>0</v>
      </c>
      <c r="P1145" s="74">
        <v>16400</v>
      </c>
      <c r="Q1145" s="73">
        <v>194504</v>
      </c>
      <c r="R1145" s="71" t="s">
        <v>625</v>
      </c>
      <c r="S1145" s="71">
        <v>7414000005</v>
      </c>
      <c r="AB1145"/>
      <c r="AC1145"/>
    </row>
    <row r="1146" spans="1:29" x14ac:dyDescent="0.25">
      <c r="A1146" t="str">
        <f t="shared" si="18"/>
        <v xml:space="preserve">2000795AC *                </v>
      </c>
      <c r="B1146" s="71">
        <v>2000795</v>
      </c>
      <c r="C1146" s="71" t="s">
        <v>812</v>
      </c>
      <c r="D1146" s="71" t="s">
        <v>359</v>
      </c>
      <c r="E1146" s="71" t="s">
        <v>623</v>
      </c>
      <c r="F1146" s="71" t="s">
        <v>624</v>
      </c>
      <c r="G1146" s="74">
        <v>13600</v>
      </c>
      <c r="H1146" s="72">
        <v>73.37</v>
      </c>
      <c r="I1146" s="73">
        <v>997832</v>
      </c>
      <c r="J1146" s="72">
        <v>61.954102941176473</v>
      </c>
      <c r="K1146" s="73">
        <v>155256.20000000001</v>
      </c>
      <c r="L1146" s="74">
        <v>0</v>
      </c>
      <c r="M1146" s="73">
        <v>0</v>
      </c>
      <c r="N1146" s="74">
        <v>0</v>
      </c>
      <c r="O1146" s="73">
        <v>0</v>
      </c>
      <c r="P1146" s="74">
        <v>13600</v>
      </c>
      <c r="Q1146" s="73">
        <v>997832</v>
      </c>
      <c r="R1146" s="71" t="s">
        <v>625</v>
      </c>
      <c r="S1146" s="71">
        <v>7414000005</v>
      </c>
      <c r="AB1146"/>
      <c r="AC1146"/>
    </row>
    <row r="1147" spans="1:29" x14ac:dyDescent="0.25">
      <c r="A1147" t="str">
        <f t="shared" si="18"/>
        <v xml:space="preserve">2000795ALPEK A             </v>
      </c>
      <c r="B1147" s="71">
        <v>2000795</v>
      </c>
      <c r="C1147" s="71" t="s">
        <v>812</v>
      </c>
      <c r="D1147" s="71" t="s">
        <v>360</v>
      </c>
      <c r="E1147" s="71" t="s">
        <v>623</v>
      </c>
      <c r="F1147" s="71" t="s">
        <v>624</v>
      </c>
      <c r="G1147" s="74">
        <v>214600</v>
      </c>
      <c r="H1147" s="72">
        <v>15.12</v>
      </c>
      <c r="I1147" s="73">
        <v>3244752</v>
      </c>
      <c r="J1147" s="72">
        <v>16.447551580149113</v>
      </c>
      <c r="K1147" s="73">
        <v>-284892.56910000002</v>
      </c>
      <c r="L1147" s="74">
        <v>0</v>
      </c>
      <c r="M1147" s="73">
        <v>0</v>
      </c>
      <c r="N1147" s="74">
        <v>0</v>
      </c>
      <c r="O1147" s="73">
        <v>0</v>
      </c>
      <c r="P1147" s="74">
        <v>214600</v>
      </c>
      <c r="Q1147" s="73">
        <v>3244752</v>
      </c>
      <c r="R1147" s="71" t="s">
        <v>625</v>
      </c>
      <c r="S1147" s="71">
        <v>7414000005</v>
      </c>
      <c r="AB1147"/>
      <c r="AC1147"/>
    </row>
    <row r="1148" spans="1:29" x14ac:dyDescent="0.25">
      <c r="A1148" t="str">
        <f t="shared" si="18"/>
        <v xml:space="preserve">2000795ALSEA *             </v>
      </c>
      <c r="B1148" s="71">
        <v>2000795</v>
      </c>
      <c r="C1148" s="71" t="s">
        <v>812</v>
      </c>
      <c r="D1148" s="71" t="s">
        <v>551</v>
      </c>
      <c r="E1148" s="71" t="s">
        <v>623</v>
      </c>
      <c r="F1148" s="71" t="s">
        <v>624</v>
      </c>
      <c r="G1148" s="74">
        <v>4100</v>
      </c>
      <c r="H1148" s="72">
        <v>525.09</v>
      </c>
      <c r="I1148" s="73">
        <v>2152869</v>
      </c>
      <c r="J1148" s="72">
        <v>491.7044292682927</v>
      </c>
      <c r="K1148" s="73">
        <v>136880.84</v>
      </c>
      <c r="L1148" s="74">
        <v>0</v>
      </c>
      <c r="M1148" s="73">
        <v>0</v>
      </c>
      <c r="N1148" s="74">
        <v>0</v>
      </c>
      <c r="O1148" s="73">
        <v>0</v>
      </c>
      <c r="P1148" s="74">
        <v>4100</v>
      </c>
      <c r="Q1148" s="73">
        <v>2152869</v>
      </c>
      <c r="R1148" s="71" t="s">
        <v>625</v>
      </c>
      <c r="S1148" s="71">
        <v>7414000005</v>
      </c>
      <c r="AB1148"/>
      <c r="AC1148"/>
    </row>
    <row r="1149" spans="1:29" x14ac:dyDescent="0.25">
      <c r="A1149" t="str">
        <f t="shared" si="18"/>
        <v xml:space="preserve">2000795AMX B               </v>
      </c>
      <c r="B1149" s="71">
        <v>2000795</v>
      </c>
      <c r="C1149" s="71" t="s">
        <v>812</v>
      </c>
      <c r="D1149" s="71" t="s">
        <v>361</v>
      </c>
      <c r="E1149" s="71" t="s">
        <v>623</v>
      </c>
      <c r="F1149" s="71" t="s">
        <v>624</v>
      </c>
      <c r="G1149" s="74">
        <v>9400</v>
      </c>
      <c r="H1149" s="72">
        <v>68.25</v>
      </c>
      <c r="I1149" s="73">
        <v>641550</v>
      </c>
      <c r="J1149" s="72">
        <v>78.644708510638296</v>
      </c>
      <c r="K1149" s="73">
        <v>-97710.26</v>
      </c>
      <c r="L1149" s="74">
        <v>0</v>
      </c>
      <c r="M1149" s="73">
        <v>0</v>
      </c>
      <c r="N1149" s="74">
        <v>0</v>
      </c>
      <c r="O1149" s="73">
        <v>0</v>
      </c>
      <c r="P1149" s="74">
        <v>9400</v>
      </c>
      <c r="Q1149" s="73">
        <v>641550</v>
      </c>
      <c r="R1149" s="71" t="s">
        <v>625</v>
      </c>
      <c r="S1149" s="71">
        <v>7414000005</v>
      </c>
      <c r="AB1149"/>
      <c r="AC1149"/>
    </row>
    <row r="1150" spans="1:29" x14ac:dyDescent="0.25">
      <c r="A1150" t="str">
        <f t="shared" si="18"/>
        <v xml:space="preserve">2000795ASUR B              </v>
      </c>
      <c r="B1150" s="71">
        <v>2000795</v>
      </c>
      <c r="C1150" s="71" t="s">
        <v>812</v>
      </c>
      <c r="D1150" s="71" t="s">
        <v>362</v>
      </c>
      <c r="E1150" s="71" t="s">
        <v>623</v>
      </c>
      <c r="F1150" s="71" t="s">
        <v>624</v>
      </c>
      <c r="G1150" s="74">
        <v>262700</v>
      </c>
      <c r="H1150" s="72">
        <v>14.33</v>
      </c>
      <c r="I1150" s="73">
        <v>3764491</v>
      </c>
      <c r="J1150" s="72">
        <v>12.029771374191093</v>
      </c>
      <c r="K1150" s="73">
        <v>604270.06000000006</v>
      </c>
      <c r="L1150" s="74">
        <v>0</v>
      </c>
      <c r="M1150" s="73">
        <v>0</v>
      </c>
      <c r="N1150" s="74">
        <v>0</v>
      </c>
      <c r="O1150" s="73">
        <v>0</v>
      </c>
      <c r="P1150" s="74">
        <v>262700</v>
      </c>
      <c r="Q1150" s="73">
        <v>3764491</v>
      </c>
      <c r="R1150" s="71" t="s">
        <v>625</v>
      </c>
      <c r="S1150" s="71">
        <v>7414000005</v>
      </c>
      <c r="AB1150"/>
      <c r="AC1150"/>
    </row>
    <row r="1151" spans="1:29" x14ac:dyDescent="0.25">
      <c r="A1151" t="str">
        <f t="shared" si="18"/>
        <v xml:space="preserve">2000795BIMBO A             </v>
      </c>
      <c r="B1151" s="71">
        <v>2000795</v>
      </c>
      <c r="C1151" s="71" t="s">
        <v>812</v>
      </c>
      <c r="D1151" s="71" t="s">
        <v>570</v>
      </c>
      <c r="E1151" s="71" t="s">
        <v>623</v>
      </c>
      <c r="F1151" s="71" t="s">
        <v>624</v>
      </c>
      <c r="G1151" s="74">
        <v>5000000</v>
      </c>
      <c r="H1151" s="72">
        <v>9.6141520000000007</v>
      </c>
      <c r="I1151" s="73">
        <v>48070760</v>
      </c>
      <c r="J1151" s="72">
        <v>9.0305956599999995</v>
      </c>
      <c r="K1151" s="73">
        <v>2917781.7</v>
      </c>
      <c r="L1151" s="74">
        <v>0</v>
      </c>
      <c r="M1151" s="73">
        <v>0</v>
      </c>
      <c r="N1151" s="74">
        <v>0</v>
      </c>
      <c r="O1151" s="73">
        <v>0</v>
      </c>
      <c r="P1151" s="74">
        <v>5000000</v>
      </c>
      <c r="Q1151" s="73">
        <v>48070760</v>
      </c>
      <c r="R1151" s="71" t="s">
        <v>625</v>
      </c>
      <c r="S1151" s="71">
        <v>7414000005</v>
      </c>
      <c r="AB1151"/>
      <c r="AC1151"/>
    </row>
    <row r="1152" spans="1:29" x14ac:dyDescent="0.25">
      <c r="A1152" t="str">
        <f t="shared" si="18"/>
        <v xml:space="preserve">2000795CEMEX CPO           </v>
      </c>
      <c r="B1152" s="71">
        <v>2000795</v>
      </c>
      <c r="C1152" s="71" t="s">
        <v>812</v>
      </c>
      <c r="D1152" s="71" t="s">
        <v>363</v>
      </c>
      <c r="E1152" s="71" t="s">
        <v>623</v>
      </c>
      <c r="F1152" s="71" t="s">
        <v>624</v>
      </c>
      <c r="G1152" s="74">
        <v>127633</v>
      </c>
      <c r="H1152" s="72">
        <v>9.4935880000000008</v>
      </c>
      <c r="I1152" s="73">
        <v>1211695.117204</v>
      </c>
      <c r="J1152" s="72">
        <v>8.2405490399999994</v>
      </c>
      <c r="K1152" s="73">
        <v>159929.12158168</v>
      </c>
      <c r="L1152" s="74">
        <v>0</v>
      </c>
      <c r="M1152" s="73">
        <v>0</v>
      </c>
      <c r="N1152" s="74">
        <v>0</v>
      </c>
      <c r="O1152" s="73">
        <v>0</v>
      </c>
      <c r="P1152" s="74">
        <v>127633</v>
      </c>
      <c r="Q1152" s="73">
        <v>1211695.117204</v>
      </c>
      <c r="R1152" s="71" t="s">
        <v>625</v>
      </c>
      <c r="S1152" s="71">
        <v>7414000005</v>
      </c>
      <c r="AB1152"/>
      <c r="AC1152"/>
    </row>
    <row r="1153" spans="1:29" x14ac:dyDescent="0.25">
      <c r="A1153" t="str">
        <f t="shared" si="18"/>
        <v xml:space="preserve">2000795CETES 240822        </v>
      </c>
      <c r="B1153" s="71">
        <v>2000795</v>
      </c>
      <c r="C1153" s="71" t="s">
        <v>812</v>
      </c>
      <c r="D1153" s="71" t="s">
        <v>409</v>
      </c>
      <c r="E1153" s="71" t="s">
        <v>623</v>
      </c>
      <c r="F1153" s="71" t="s">
        <v>624</v>
      </c>
      <c r="G1153" s="74">
        <v>636949</v>
      </c>
      <c r="H1153" s="72">
        <v>9.3381629999999998</v>
      </c>
      <c r="I1153" s="73">
        <v>5947933.5846870001</v>
      </c>
      <c r="J1153" s="72">
        <v>8.3209764517660592</v>
      </c>
      <c r="K1153" s="73">
        <v>647895.95471106004</v>
      </c>
      <c r="L1153" s="74">
        <v>0</v>
      </c>
      <c r="M1153" s="73">
        <v>0</v>
      </c>
      <c r="N1153" s="74">
        <v>0</v>
      </c>
      <c r="O1153" s="73">
        <v>0</v>
      </c>
      <c r="P1153" s="74">
        <v>636949</v>
      </c>
      <c r="Q1153" s="73">
        <v>5947933.5846870001</v>
      </c>
      <c r="R1153" s="71" t="s">
        <v>625</v>
      </c>
      <c r="S1153" s="71">
        <v>7414000005</v>
      </c>
      <c r="AB1153"/>
      <c r="AC1153"/>
    </row>
    <row r="1154" spans="1:29" x14ac:dyDescent="0.25">
      <c r="A1154" t="str">
        <f t="shared" si="18"/>
        <v xml:space="preserve">2000795CETES 241003        </v>
      </c>
      <c r="B1154" s="71">
        <v>2000795</v>
      </c>
      <c r="C1154" s="71" t="s">
        <v>812</v>
      </c>
      <c r="D1154" s="71" t="s">
        <v>364</v>
      </c>
      <c r="E1154" s="71" t="s">
        <v>623</v>
      </c>
      <c r="F1154" s="71" t="s">
        <v>624</v>
      </c>
      <c r="G1154" s="74">
        <v>659930</v>
      </c>
      <c r="H1154" s="72">
        <v>9.190137</v>
      </c>
      <c r="I1154" s="73">
        <v>6064847.1104100002</v>
      </c>
      <c r="J1154" s="72">
        <v>8.2168159227684754</v>
      </c>
      <c r="K1154" s="73">
        <v>642323.7784974</v>
      </c>
      <c r="L1154" s="74">
        <v>0</v>
      </c>
      <c r="M1154" s="73">
        <v>0</v>
      </c>
      <c r="N1154" s="74">
        <v>0</v>
      </c>
      <c r="O1154" s="73">
        <v>0</v>
      </c>
      <c r="P1154" s="74">
        <v>659930</v>
      </c>
      <c r="Q1154" s="73">
        <v>6064847.1104100002</v>
      </c>
      <c r="R1154" s="71" t="s">
        <v>625</v>
      </c>
      <c r="S1154" s="71">
        <v>7414000005</v>
      </c>
      <c r="AB1154"/>
      <c r="AC1154"/>
    </row>
    <row r="1155" spans="1:29" x14ac:dyDescent="0.25">
      <c r="A1155" t="str">
        <f t="shared" si="18"/>
        <v xml:space="preserve">2000795CETES 241128        </v>
      </c>
      <c r="B1155" s="71">
        <v>2000795</v>
      </c>
      <c r="C1155" s="71" t="s">
        <v>812</v>
      </c>
      <c r="D1155" s="71" t="s">
        <v>649</v>
      </c>
      <c r="E1155" s="71" t="s">
        <v>623</v>
      </c>
      <c r="F1155" s="71" t="s">
        <v>624</v>
      </c>
      <c r="G1155" s="74">
        <v>182530</v>
      </c>
      <c r="H1155" s="72">
        <v>9.0112480000000001</v>
      </c>
      <c r="I1155" s="73">
        <v>1644823.0974399999</v>
      </c>
      <c r="J1155" s="72">
        <v>8.9969798000000001</v>
      </c>
      <c r="K1155" s="73">
        <v>2604.374546</v>
      </c>
      <c r="L1155" s="74">
        <v>0</v>
      </c>
      <c r="M1155" s="73">
        <v>0</v>
      </c>
      <c r="N1155" s="74">
        <v>0</v>
      </c>
      <c r="O1155" s="73">
        <v>0</v>
      </c>
      <c r="P1155" s="74">
        <v>182530</v>
      </c>
      <c r="Q1155" s="73">
        <v>1644823.0974399999</v>
      </c>
      <c r="R1155" s="71" t="s">
        <v>625</v>
      </c>
      <c r="S1155" s="71">
        <v>7414000005</v>
      </c>
      <c r="AB1155"/>
      <c r="AC1155"/>
    </row>
    <row r="1156" spans="1:29" x14ac:dyDescent="0.25">
      <c r="A1156" t="str">
        <f t="shared" si="18"/>
        <v xml:space="preserve">2000795CETES 250123        </v>
      </c>
      <c r="B1156" s="71">
        <v>2000795</v>
      </c>
      <c r="C1156" s="71" t="s">
        <v>812</v>
      </c>
      <c r="D1156" s="71" t="s">
        <v>613</v>
      </c>
      <c r="E1156" s="71" t="s">
        <v>623</v>
      </c>
      <c r="F1156" s="71" t="s">
        <v>624</v>
      </c>
      <c r="G1156" s="74">
        <v>347450</v>
      </c>
      <c r="H1156" s="72">
        <v>8.2580650000000002</v>
      </c>
      <c r="I1156" s="73">
        <v>2869264.6842499999</v>
      </c>
      <c r="J1156" s="72">
        <v>8.2501711100000001</v>
      </c>
      <c r="K1156" s="73">
        <v>2742.7320804999999</v>
      </c>
      <c r="L1156" s="74">
        <v>0</v>
      </c>
      <c r="M1156" s="73">
        <v>0</v>
      </c>
      <c r="N1156" s="74">
        <v>0</v>
      </c>
      <c r="O1156" s="73">
        <v>0</v>
      </c>
      <c r="P1156" s="74">
        <v>347450</v>
      </c>
      <c r="Q1156" s="73">
        <v>2869264.6842499999</v>
      </c>
      <c r="R1156" s="71" t="s">
        <v>625</v>
      </c>
      <c r="S1156" s="71">
        <v>7414000005</v>
      </c>
      <c r="AB1156"/>
      <c r="AC1156"/>
    </row>
    <row r="1157" spans="1:29" x14ac:dyDescent="0.25">
      <c r="A1157" t="str">
        <f t="shared" si="18"/>
        <v xml:space="preserve">2000795CETES 250403        </v>
      </c>
      <c r="B1157" s="71">
        <v>2000795</v>
      </c>
      <c r="C1157" s="71" t="s">
        <v>812</v>
      </c>
      <c r="D1157" s="71" t="s">
        <v>369</v>
      </c>
      <c r="E1157" s="71" t="s">
        <v>623</v>
      </c>
      <c r="F1157" s="71" t="s">
        <v>624</v>
      </c>
      <c r="G1157" s="74">
        <v>19600</v>
      </c>
      <c r="H1157" s="72">
        <v>207.81</v>
      </c>
      <c r="I1157" s="73">
        <v>4073076</v>
      </c>
      <c r="J1157" s="72">
        <v>175.11741887755102</v>
      </c>
      <c r="K1157" s="73">
        <v>640774.59</v>
      </c>
      <c r="L1157" s="74">
        <v>0</v>
      </c>
      <c r="M1157" s="73">
        <v>0</v>
      </c>
      <c r="N1157" s="74">
        <v>0</v>
      </c>
      <c r="O1157" s="73">
        <v>0</v>
      </c>
      <c r="P1157" s="74">
        <v>19600</v>
      </c>
      <c r="Q1157" s="73">
        <v>4073076</v>
      </c>
      <c r="R1157" s="71" t="s">
        <v>625</v>
      </c>
      <c r="S1157" s="71">
        <v>7414000005</v>
      </c>
      <c r="AB1157"/>
      <c r="AC1157"/>
    </row>
    <row r="1158" spans="1:29" x14ac:dyDescent="0.25">
      <c r="A1158" t="str">
        <f t="shared" si="18"/>
        <v xml:space="preserve">2000795CETES 260219        </v>
      </c>
      <c r="B1158" s="71">
        <v>2000795</v>
      </c>
      <c r="C1158" s="71" t="s">
        <v>812</v>
      </c>
      <c r="D1158" s="71" t="s">
        <v>370</v>
      </c>
      <c r="E1158" s="71" t="s">
        <v>623</v>
      </c>
      <c r="F1158" s="71" t="s">
        <v>624</v>
      </c>
      <c r="G1158" s="74">
        <v>1700</v>
      </c>
      <c r="H1158" s="72">
        <v>271.94</v>
      </c>
      <c r="I1158" s="73">
        <v>462298</v>
      </c>
      <c r="J1158" s="72">
        <v>287.68018823529411</v>
      </c>
      <c r="K1158" s="73">
        <v>-26758.32</v>
      </c>
      <c r="L1158" s="74">
        <v>0</v>
      </c>
      <c r="M1158" s="73">
        <v>0</v>
      </c>
      <c r="N1158" s="74">
        <v>0</v>
      </c>
      <c r="O1158" s="73">
        <v>0</v>
      </c>
      <c r="P1158" s="74">
        <v>1700</v>
      </c>
      <c r="Q1158" s="73">
        <v>462298</v>
      </c>
      <c r="R1158" s="71" t="s">
        <v>625</v>
      </c>
      <c r="S1158" s="71">
        <v>7414000005</v>
      </c>
      <c r="AB1158"/>
      <c r="AC1158"/>
    </row>
    <row r="1159" spans="1:29" x14ac:dyDescent="0.25">
      <c r="A1159" t="str">
        <f t="shared" ref="A1159:A1222" si="19">B1157&amp;D1157</f>
        <v xml:space="preserve">2000795FEMSA UBD           </v>
      </c>
      <c r="B1159" s="71">
        <v>2000795</v>
      </c>
      <c r="C1159" s="71" t="s">
        <v>812</v>
      </c>
      <c r="D1159" s="71" t="s">
        <v>371</v>
      </c>
      <c r="E1159" s="71" t="s">
        <v>623</v>
      </c>
      <c r="F1159" s="71" t="s">
        <v>624</v>
      </c>
      <c r="G1159" s="74">
        <v>6500</v>
      </c>
      <c r="H1159" s="72">
        <v>193.15</v>
      </c>
      <c r="I1159" s="73">
        <v>1255475</v>
      </c>
      <c r="J1159" s="72">
        <v>164.00290153846154</v>
      </c>
      <c r="K1159" s="73">
        <v>189456.14</v>
      </c>
      <c r="L1159" s="74">
        <v>0</v>
      </c>
      <c r="M1159" s="73">
        <v>0</v>
      </c>
      <c r="N1159" s="74">
        <v>0</v>
      </c>
      <c r="O1159" s="73">
        <v>0</v>
      </c>
      <c r="P1159" s="74">
        <v>6500</v>
      </c>
      <c r="Q1159" s="73">
        <v>1255475</v>
      </c>
      <c r="R1159" s="71" t="s">
        <v>625</v>
      </c>
      <c r="S1159" s="71">
        <v>7414000005</v>
      </c>
      <c r="AB1159"/>
      <c r="AC1159"/>
    </row>
    <row r="1160" spans="1:29" x14ac:dyDescent="0.25">
      <c r="A1160" t="str">
        <f t="shared" si="19"/>
        <v xml:space="preserve">2000795GAP B               </v>
      </c>
      <c r="B1160" s="71">
        <v>2000795</v>
      </c>
      <c r="C1160" s="71" t="s">
        <v>812</v>
      </c>
      <c r="D1160" s="71" t="s">
        <v>372</v>
      </c>
      <c r="E1160" s="71" t="s">
        <v>623</v>
      </c>
      <c r="F1160" s="71" t="s">
        <v>624</v>
      </c>
      <c r="G1160" s="74">
        <v>46900</v>
      </c>
      <c r="H1160" s="72">
        <v>27.12</v>
      </c>
      <c r="I1160" s="73">
        <v>1271928</v>
      </c>
      <c r="J1160" s="72">
        <v>22.59975053304904</v>
      </c>
      <c r="K1160" s="73">
        <v>211999.7</v>
      </c>
      <c r="L1160" s="74">
        <v>0</v>
      </c>
      <c r="M1160" s="73">
        <v>0</v>
      </c>
      <c r="N1160" s="74">
        <v>0</v>
      </c>
      <c r="O1160" s="73">
        <v>0</v>
      </c>
      <c r="P1160" s="74">
        <v>46900</v>
      </c>
      <c r="Q1160" s="73">
        <v>1271928</v>
      </c>
      <c r="R1160" s="71" t="s">
        <v>625</v>
      </c>
      <c r="S1160" s="71">
        <v>7414000005</v>
      </c>
      <c r="AB1160"/>
      <c r="AC1160"/>
    </row>
    <row r="1161" spans="1:29" x14ac:dyDescent="0.25">
      <c r="A1161" t="str">
        <f t="shared" si="19"/>
        <v xml:space="preserve">2000795GCC *               </v>
      </c>
      <c r="B1161" s="71">
        <v>2000795</v>
      </c>
      <c r="C1161" s="71" t="s">
        <v>812</v>
      </c>
      <c r="D1161" s="71" t="s">
        <v>373</v>
      </c>
      <c r="E1161" s="71" t="s">
        <v>623</v>
      </c>
      <c r="F1161" s="71" t="s">
        <v>624</v>
      </c>
      <c r="G1161" s="74">
        <v>30800</v>
      </c>
      <c r="H1161" s="72">
        <v>176.44</v>
      </c>
      <c r="I1161" s="73">
        <v>5434352</v>
      </c>
      <c r="J1161" s="72">
        <v>151.15674545454544</v>
      </c>
      <c r="K1161" s="73">
        <v>778724.24</v>
      </c>
      <c r="L1161" s="74">
        <v>0</v>
      </c>
      <c r="M1161" s="73">
        <v>0</v>
      </c>
      <c r="N1161" s="74">
        <v>0</v>
      </c>
      <c r="O1161" s="73">
        <v>0</v>
      </c>
      <c r="P1161" s="74">
        <v>30800</v>
      </c>
      <c r="Q1161" s="73">
        <v>5434352</v>
      </c>
      <c r="R1161" s="71" t="s">
        <v>625</v>
      </c>
      <c r="S1161" s="71">
        <v>7414000005</v>
      </c>
      <c r="AB1161"/>
      <c r="AC1161"/>
    </row>
    <row r="1162" spans="1:29" x14ac:dyDescent="0.25">
      <c r="A1162" t="str">
        <f t="shared" si="19"/>
        <v xml:space="preserve">2000795GENTERA *           </v>
      </c>
      <c r="B1162" s="71">
        <v>2000795</v>
      </c>
      <c r="C1162" s="71" t="s">
        <v>812</v>
      </c>
      <c r="D1162" s="71" t="s">
        <v>374</v>
      </c>
      <c r="E1162" s="71" t="s">
        <v>623</v>
      </c>
      <c r="F1162" s="71" t="s">
        <v>624</v>
      </c>
      <c r="G1162" s="74">
        <v>36700</v>
      </c>
      <c r="H1162" s="72">
        <v>104.12</v>
      </c>
      <c r="I1162" s="73">
        <v>3821204</v>
      </c>
      <c r="J1162" s="72">
        <v>84.554300272479566</v>
      </c>
      <c r="K1162" s="73">
        <v>718061.18</v>
      </c>
      <c r="L1162" s="74">
        <v>0</v>
      </c>
      <c r="M1162" s="73">
        <v>0</v>
      </c>
      <c r="N1162" s="74">
        <v>0</v>
      </c>
      <c r="O1162" s="73">
        <v>0</v>
      </c>
      <c r="P1162" s="74">
        <v>36700</v>
      </c>
      <c r="Q1162" s="73">
        <v>3821204</v>
      </c>
      <c r="R1162" s="71" t="s">
        <v>625</v>
      </c>
      <c r="S1162" s="71">
        <v>7414000005</v>
      </c>
      <c r="AB1162"/>
      <c r="AC1162"/>
    </row>
    <row r="1163" spans="1:29" x14ac:dyDescent="0.25">
      <c r="A1163" t="str">
        <f t="shared" si="19"/>
        <v xml:space="preserve">2000795GFNORTE O           </v>
      </c>
      <c r="B1163" s="71">
        <v>2000795</v>
      </c>
      <c r="C1163" s="71" t="s">
        <v>812</v>
      </c>
      <c r="D1163" s="71" t="s">
        <v>387</v>
      </c>
      <c r="E1163" s="71" t="s">
        <v>623</v>
      </c>
      <c r="F1163" s="71" t="s">
        <v>624</v>
      </c>
      <c r="G1163" s="74">
        <v>3300</v>
      </c>
      <c r="H1163" s="72">
        <v>314.42</v>
      </c>
      <c r="I1163" s="73">
        <v>1037586</v>
      </c>
      <c r="J1163" s="72">
        <v>300.61810303030302</v>
      </c>
      <c r="K1163" s="73">
        <v>45546.26</v>
      </c>
      <c r="L1163" s="74">
        <v>0</v>
      </c>
      <c r="M1163" s="73">
        <v>0</v>
      </c>
      <c r="N1163" s="74">
        <v>0</v>
      </c>
      <c r="O1163" s="73">
        <v>0</v>
      </c>
      <c r="P1163" s="74">
        <v>3300</v>
      </c>
      <c r="Q1163" s="73">
        <v>1037586</v>
      </c>
      <c r="R1163" s="71" t="s">
        <v>625</v>
      </c>
      <c r="S1163" s="71">
        <v>7414000005</v>
      </c>
      <c r="AB1163"/>
      <c r="AC1163"/>
    </row>
    <row r="1164" spans="1:29" x14ac:dyDescent="0.25">
      <c r="A1164" t="str">
        <f t="shared" si="19"/>
        <v xml:space="preserve">2000795GMEXICO B           </v>
      </c>
      <c r="B1164" s="71">
        <v>2000795</v>
      </c>
      <c r="C1164" s="71" t="s">
        <v>812</v>
      </c>
      <c r="D1164" s="71" t="s">
        <v>503</v>
      </c>
      <c r="E1164" s="71" t="s">
        <v>623</v>
      </c>
      <c r="F1164" s="71" t="s">
        <v>624</v>
      </c>
      <c r="G1164" s="74">
        <v>20190</v>
      </c>
      <c r="H1164" s="72">
        <v>43.85</v>
      </c>
      <c r="I1164" s="73">
        <v>885331.5</v>
      </c>
      <c r="J1164" s="72">
        <v>41.152947498761762</v>
      </c>
      <c r="K1164" s="73">
        <v>54453.49</v>
      </c>
      <c r="L1164" s="74">
        <v>0</v>
      </c>
      <c r="M1164" s="73">
        <v>0</v>
      </c>
      <c r="N1164" s="74">
        <v>0</v>
      </c>
      <c r="O1164" s="73">
        <v>0</v>
      </c>
      <c r="P1164" s="74">
        <v>20190</v>
      </c>
      <c r="Q1164" s="73">
        <v>885331.5</v>
      </c>
      <c r="R1164" s="71" t="s">
        <v>625</v>
      </c>
      <c r="S1164" s="71">
        <v>7414000005</v>
      </c>
      <c r="AB1164"/>
      <c r="AC1164"/>
    </row>
    <row r="1165" spans="1:29" x14ac:dyDescent="0.25">
      <c r="A1165" t="str">
        <f t="shared" si="19"/>
        <v xml:space="preserve">2000795GRUMA B             </v>
      </c>
      <c r="B1165" s="71">
        <v>2000795</v>
      </c>
      <c r="C1165" s="71" t="s">
        <v>812</v>
      </c>
      <c r="D1165" s="71" t="s">
        <v>419</v>
      </c>
      <c r="E1165" s="71" t="s">
        <v>623</v>
      </c>
      <c r="F1165" s="71" t="s">
        <v>624</v>
      </c>
      <c r="G1165" s="74">
        <v>0</v>
      </c>
      <c r="H1165" s="72">
        <v>0</v>
      </c>
      <c r="I1165" s="73">
        <v>0</v>
      </c>
      <c r="J1165" s="72">
        <v>0</v>
      </c>
      <c r="K1165" s="73">
        <v>0</v>
      </c>
      <c r="L1165" s="74">
        <v>0</v>
      </c>
      <c r="M1165" s="73">
        <v>0</v>
      </c>
      <c r="N1165" s="74">
        <v>0</v>
      </c>
      <c r="O1165" s="73">
        <v>0</v>
      </c>
      <c r="P1165" s="74">
        <v>0</v>
      </c>
      <c r="Q1165" s="73">
        <v>0</v>
      </c>
      <c r="R1165" s="71" t="s">
        <v>625</v>
      </c>
      <c r="S1165" s="71">
        <v>7414000005</v>
      </c>
      <c r="AB1165"/>
      <c r="AC1165"/>
    </row>
    <row r="1166" spans="1:29" x14ac:dyDescent="0.25">
      <c r="A1166" t="str">
        <f t="shared" si="19"/>
        <v xml:space="preserve">2000795HERDEZ *            </v>
      </c>
      <c r="B1166" s="71">
        <v>2000795</v>
      </c>
      <c r="C1166" s="71" t="s">
        <v>812</v>
      </c>
      <c r="D1166" s="71" t="s">
        <v>540</v>
      </c>
      <c r="E1166" s="71" t="s">
        <v>623</v>
      </c>
      <c r="F1166" s="71" t="s">
        <v>624</v>
      </c>
      <c r="G1166" s="74">
        <v>24200</v>
      </c>
      <c r="H1166" s="72">
        <v>36.28</v>
      </c>
      <c r="I1166" s="73">
        <v>877976</v>
      </c>
      <c r="J1166" s="72">
        <v>39.377865289256199</v>
      </c>
      <c r="K1166" s="73">
        <v>-74968.34</v>
      </c>
      <c r="L1166" s="74">
        <v>0</v>
      </c>
      <c r="M1166" s="73">
        <v>0</v>
      </c>
      <c r="N1166" s="74">
        <v>0</v>
      </c>
      <c r="O1166" s="73">
        <v>0</v>
      </c>
      <c r="P1166" s="74">
        <v>24200</v>
      </c>
      <c r="Q1166" s="73">
        <v>877976</v>
      </c>
      <c r="R1166" s="71" t="s">
        <v>625</v>
      </c>
      <c r="S1166" s="71">
        <v>7414000005</v>
      </c>
      <c r="AB1166"/>
      <c r="AC1166"/>
    </row>
    <row r="1167" spans="1:29" x14ac:dyDescent="0.25">
      <c r="A1167" t="str">
        <f t="shared" si="19"/>
        <v xml:space="preserve">2000795IENOVA *            </v>
      </c>
      <c r="B1167" s="71">
        <v>2000795</v>
      </c>
      <c r="C1167" s="71" t="s">
        <v>812</v>
      </c>
      <c r="D1167" s="71" t="s">
        <v>553</v>
      </c>
      <c r="E1167" s="71" t="s">
        <v>623</v>
      </c>
      <c r="F1167" s="71" t="s">
        <v>624</v>
      </c>
      <c r="G1167" s="74">
        <v>3300</v>
      </c>
      <c r="H1167" s="72">
        <v>136.35</v>
      </c>
      <c r="I1167" s="73">
        <v>449955</v>
      </c>
      <c r="J1167" s="72">
        <v>119.05624848484848</v>
      </c>
      <c r="K1167" s="73">
        <v>57069.38</v>
      </c>
      <c r="L1167" s="74">
        <v>0</v>
      </c>
      <c r="M1167" s="73">
        <v>0</v>
      </c>
      <c r="N1167" s="74">
        <v>0</v>
      </c>
      <c r="O1167" s="73">
        <v>0</v>
      </c>
      <c r="P1167" s="74">
        <v>3300</v>
      </c>
      <c r="Q1167" s="73">
        <v>449955</v>
      </c>
      <c r="R1167" s="71" t="s">
        <v>625</v>
      </c>
      <c r="S1167" s="71">
        <v>7414000005</v>
      </c>
      <c r="AB1167"/>
      <c r="AC1167"/>
    </row>
    <row r="1168" spans="1:29" x14ac:dyDescent="0.25">
      <c r="A1168" t="str">
        <f t="shared" si="19"/>
        <v xml:space="preserve">2000795LACOMER UBC         </v>
      </c>
      <c r="B1168" s="71">
        <v>2000795</v>
      </c>
      <c r="C1168" s="71" t="s">
        <v>812</v>
      </c>
      <c r="D1168" s="71" t="s">
        <v>541</v>
      </c>
      <c r="E1168" s="71" t="s">
        <v>623</v>
      </c>
      <c r="F1168" s="71" t="s">
        <v>624</v>
      </c>
      <c r="G1168" s="74">
        <v>5600</v>
      </c>
      <c r="H1168" s="72">
        <v>156</v>
      </c>
      <c r="I1168" s="73">
        <v>873600</v>
      </c>
      <c r="J1168" s="72">
        <v>141.13810535714285</v>
      </c>
      <c r="K1168" s="73">
        <v>83226.61</v>
      </c>
      <c r="L1168" s="74">
        <v>0</v>
      </c>
      <c r="M1168" s="73">
        <v>0</v>
      </c>
      <c r="N1168" s="74">
        <v>0</v>
      </c>
      <c r="O1168" s="73">
        <v>0</v>
      </c>
      <c r="P1168" s="74">
        <v>5600</v>
      </c>
      <c r="Q1168" s="73">
        <v>873600</v>
      </c>
      <c r="R1168" s="71" t="s">
        <v>625</v>
      </c>
      <c r="S1168" s="71">
        <v>7414000005</v>
      </c>
      <c r="AB1168"/>
      <c r="AC1168"/>
    </row>
    <row r="1169" spans="1:29" x14ac:dyDescent="0.25">
      <c r="A1169" t="str">
        <f t="shared" si="19"/>
        <v xml:space="preserve">2000795LIVEPOL C-1         </v>
      </c>
      <c r="B1169" s="71">
        <v>2000795</v>
      </c>
      <c r="C1169" s="71" t="s">
        <v>812</v>
      </c>
      <c r="D1169" s="71" t="s">
        <v>389</v>
      </c>
      <c r="E1169" s="71" t="s">
        <v>623</v>
      </c>
      <c r="F1169" s="71" t="s">
        <v>624</v>
      </c>
      <c r="G1169" s="74">
        <v>17319553</v>
      </c>
      <c r="H1169" s="72">
        <v>3.3967719999999999</v>
      </c>
      <c r="I1169" s="73">
        <v>58830572.682916</v>
      </c>
      <c r="J1169" s="72">
        <v>3.2498033165174642</v>
      </c>
      <c r="K1169" s="73">
        <v>2545431.9029160002</v>
      </c>
      <c r="L1169" s="74">
        <v>0</v>
      </c>
      <c r="M1169" s="73">
        <v>0</v>
      </c>
      <c r="N1169" s="74">
        <v>0</v>
      </c>
      <c r="O1169" s="73">
        <v>0</v>
      </c>
      <c r="P1169" s="74">
        <v>17319553</v>
      </c>
      <c r="Q1169" s="73">
        <v>58830572.682916</v>
      </c>
      <c r="R1169" s="71" t="s">
        <v>625</v>
      </c>
      <c r="S1169" s="71">
        <v>7414000005</v>
      </c>
      <c r="AB1169"/>
      <c r="AC1169"/>
    </row>
    <row r="1170" spans="1:29" x14ac:dyDescent="0.25">
      <c r="A1170" t="str">
        <f t="shared" si="19"/>
        <v xml:space="preserve">2000795R A                 </v>
      </c>
      <c r="B1170" s="71">
        <v>2000795</v>
      </c>
      <c r="C1170" s="71" t="s">
        <v>812</v>
      </c>
      <c r="D1170" s="71" t="s">
        <v>500</v>
      </c>
      <c r="E1170" s="71" t="s">
        <v>623</v>
      </c>
      <c r="F1170" s="71" t="s">
        <v>624</v>
      </c>
      <c r="G1170" s="74">
        <v>31700</v>
      </c>
      <c r="H1170" s="72">
        <v>31.41</v>
      </c>
      <c r="I1170" s="73">
        <v>995697</v>
      </c>
      <c r="J1170" s="72">
        <v>32.104099053627763</v>
      </c>
      <c r="K1170" s="73">
        <v>-22002.94</v>
      </c>
      <c r="L1170" s="74">
        <v>0</v>
      </c>
      <c r="M1170" s="73">
        <v>0</v>
      </c>
      <c r="N1170" s="74">
        <v>0</v>
      </c>
      <c r="O1170" s="73">
        <v>0</v>
      </c>
      <c r="P1170" s="74">
        <v>31700</v>
      </c>
      <c r="Q1170" s="73">
        <v>995697</v>
      </c>
      <c r="R1170" s="71" t="s">
        <v>625</v>
      </c>
      <c r="S1170" s="71">
        <v>7414000005</v>
      </c>
      <c r="AB1170"/>
      <c r="AC1170"/>
    </row>
    <row r="1171" spans="1:29" x14ac:dyDescent="0.25">
      <c r="A1171" t="str">
        <f t="shared" si="19"/>
        <v xml:space="preserve">2000795STERGOB ED          </v>
      </c>
      <c r="B1171" s="71">
        <v>2000795</v>
      </c>
      <c r="C1171" s="71" t="s">
        <v>812</v>
      </c>
      <c r="D1171" s="71" t="s">
        <v>400</v>
      </c>
      <c r="E1171" s="71" t="s">
        <v>623</v>
      </c>
      <c r="F1171" s="71" t="s">
        <v>624</v>
      </c>
      <c r="G1171" s="74">
        <v>23700</v>
      </c>
      <c r="H1171" s="72">
        <v>58.67</v>
      </c>
      <c r="I1171" s="73">
        <v>1390479</v>
      </c>
      <c r="J1171" s="72">
        <v>59.723732911392403</v>
      </c>
      <c r="K1171" s="73">
        <v>-24973.47</v>
      </c>
      <c r="L1171" s="74">
        <v>0</v>
      </c>
      <c r="M1171" s="73">
        <v>0</v>
      </c>
      <c r="N1171" s="74">
        <v>0</v>
      </c>
      <c r="O1171" s="73">
        <v>0</v>
      </c>
      <c r="P1171" s="74">
        <v>23700</v>
      </c>
      <c r="Q1171" s="73">
        <v>1390479</v>
      </c>
      <c r="R1171" s="71" t="s">
        <v>625</v>
      </c>
      <c r="S1171" s="71">
        <v>7414000005</v>
      </c>
      <c r="AB1171"/>
      <c r="AC1171"/>
    </row>
    <row r="1172" spans="1:29" x14ac:dyDescent="0.25">
      <c r="A1172" t="str">
        <f t="shared" si="19"/>
        <v xml:space="preserve">2000795TRAXION A           </v>
      </c>
      <c r="B1172" s="71">
        <v>2000795</v>
      </c>
      <c r="C1172" s="71" t="s">
        <v>812</v>
      </c>
      <c r="D1172" s="71" t="s">
        <v>403</v>
      </c>
      <c r="E1172" s="71" t="s">
        <v>623</v>
      </c>
      <c r="F1172" s="71" t="s">
        <v>624</v>
      </c>
      <c r="G1172" s="74">
        <v>56300</v>
      </c>
      <c r="H1172" s="72">
        <v>65.260000000000005</v>
      </c>
      <c r="I1172" s="73">
        <v>3674138</v>
      </c>
      <c r="J1172" s="72">
        <v>69.916128419182954</v>
      </c>
      <c r="K1172" s="73">
        <v>-262140.03</v>
      </c>
      <c r="L1172" s="74">
        <v>0</v>
      </c>
      <c r="M1172" s="73">
        <v>0</v>
      </c>
      <c r="N1172" s="74">
        <v>0</v>
      </c>
      <c r="O1172" s="73">
        <v>0</v>
      </c>
      <c r="P1172" s="74">
        <v>56300</v>
      </c>
      <c r="Q1172" s="73">
        <v>3674138</v>
      </c>
      <c r="R1172" s="71" t="s">
        <v>625</v>
      </c>
      <c r="S1172" s="71">
        <v>7414000005</v>
      </c>
      <c r="AB1172"/>
      <c r="AC1172"/>
    </row>
    <row r="1173" spans="1:29" x14ac:dyDescent="0.25">
      <c r="A1173" t="str">
        <f t="shared" si="19"/>
        <v xml:space="preserve">2000795VESTA *             </v>
      </c>
      <c r="B1173" s="71">
        <v>2000905</v>
      </c>
      <c r="C1173" s="71" t="s">
        <v>813</v>
      </c>
      <c r="D1173" s="71" t="s">
        <v>389</v>
      </c>
      <c r="E1173" s="71" t="s">
        <v>623</v>
      </c>
      <c r="F1173" s="71" t="s">
        <v>624</v>
      </c>
      <c r="G1173" s="74">
        <v>168003841</v>
      </c>
      <c r="H1173" s="72">
        <v>3.3967719999999999</v>
      </c>
      <c r="I1173" s="73">
        <v>570670743.00125206</v>
      </c>
      <c r="J1173" s="72">
        <v>2.4139206622067646</v>
      </c>
      <c r="K1173" s="73">
        <v>165122799.88125199</v>
      </c>
      <c r="L1173" s="74">
        <v>0</v>
      </c>
      <c r="M1173" s="73">
        <v>0</v>
      </c>
      <c r="N1173" s="74">
        <v>0</v>
      </c>
      <c r="O1173" s="73">
        <v>0</v>
      </c>
      <c r="P1173" s="74">
        <v>168003841</v>
      </c>
      <c r="Q1173" s="73">
        <v>570670743.00125206</v>
      </c>
      <c r="R1173" s="71" t="s">
        <v>625</v>
      </c>
      <c r="S1173" s="71">
        <v>7414000005</v>
      </c>
      <c r="AB1173"/>
      <c r="AC1173"/>
    </row>
    <row r="1174" spans="1:29" x14ac:dyDescent="0.25">
      <c r="A1174" t="str">
        <f t="shared" si="19"/>
        <v xml:space="preserve">2000795WALMEX *            </v>
      </c>
      <c r="B1174" s="71">
        <v>2000926</v>
      </c>
      <c r="C1174" s="71" t="s">
        <v>814</v>
      </c>
      <c r="D1174" s="71" t="s">
        <v>389</v>
      </c>
      <c r="E1174" s="71" t="s">
        <v>623</v>
      </c>
      <c r="F1174" s="71" t="s">
        <v>624</v>
      </c>
      <c r="G1174" s="74">
        <v>10852072</v>
      </c>
      <c r="H1174" s="72">
        <v>3.3967719999999999</v>
      </c>
      <c r="I1174" s="73">
        <v>36862014.311584003</v>
      </c>
      <c r="J1174" s="72">
        <v>2.9231567907031946</v>
      </c>
      <c r="K1174" s="73">
        <v>5139706.3515839996</v>
      </c>
      <c r="L1174" s="74">
        <v>0</v>
      </c>
      <c r="M1174" s="73">
        <v>0</v>
      </c>
      <c r="N1174" s="74">
        <v>0</v>
      </c>
      <c r="O1174" s="73">
        <v>0</v>
      </c>
      <c r="P1174" s="74">
        <v>10852072</v>
      </c>
      <c r="Q1174" s="73">
        <v>36862014.311584003</v>
      </c>
      <c r="R1174" s="71" t="s">
        <v>625</v>
      </c>
      <c r="S1174" s="71">
        <v>7414000005</v>
      </c>
      <c r="AB1174"/>
      <c r="AC1174"/>
    </row>
    <row r="1175" spans="1:29" x14ac:dyDescent="0.25">
      <c r="A1175" t="str">
        <f t="shared" si="19"/>
        <v xml:space="preserve">2000905STERGOB ED          </v>
      </c>
      <c r="B1175" s="71">
        <v>2000927</v>
      </c>
      <c r="C1175" s="71" t="s">
        <v>815</v>
      </c>
      <c r="D1175" s="71" t="s">
        <v>389</v>
      </c>
      <c r="E1175" s="71" t="s">
        <v>623</v>
      </c>
      <c r="F1175" s="71" t="s">
        <v>624</v>
      </c>
      <c r="G1175" s="74">
        <v>12701127</v>
      </c>
      <c r="H1175" s="72">
        <v>3.3967719999999999</v>
      </c>
      <c r="I1175" s="73">
        <v>43142832.562044002</v>
      </c>
      <c r="J1175" s="72">
        <v>2.9077468999404541</v>
      </c>
      <c r="K1175" s="73">
        <v>6211169.9020440001</v>
      </c>
      <c r="L1175" s="74">
        <v>0</v>
      </c>
      <c r="M1175" s="73">
        <v>0</v>
      </c>
      <c r="N1175" s="74">
        <v>0</v>
      </c>
      <c r="O1175" s="73">
        <v>0</v>
      </c>
      <c r="P1175" s="74">
        <v>12701127</v>
      </c>
      <c r="Q1175" s="73">
        <v>43142832.562044002</v>
      </c>
      <c r="R1175" s="71" t="s">
        <v>625</v>
      </c>
      <c r="S1175" s="71">
        <v>7414000005</v>
      </c>
      <c r="AB1175"/>
      <c r="AC1175"/>
    </row>
    <row r="1176" spans="1:29" x14ac:dyDescent="0.25">
      <c r="A1176" t="str">
        <f t="shared" si="19"/>
        <v xml:space="preserve">2000926STERGOB ED          </v>
      </c>
      <c r="B1176" s="71">
        <v>2000928</v>
      </c>
      <c r="C1176" s="71" t="s">
        <v>816</v>
      </c>
      <c r="D1176" s="71" t="s">
        <v>389</v>
      </c>
      <c r="E1176" s="71" t="s">
        <v>623</v>
      </c>
      <c r="F1176" s="71" t="s">
        <v>624</v>
      </c>
      <c r="G1176" s="74">
        <v>10920208</v>
      </c>
      <c r="H1176" s="72">
        <v>3.3967719999999999</v>
      </c>
      <c r="I1176" s="73">
        <v>37093456.768576004</v>
      </c>
      <c r="J1176" s="72">
        <v>2.317473671746912</v>
      </c>
      <c r="K1176" s="73">
        <v>11786162.238576001</v>
      </c>
      <c r="L1176" s="74">
        <v>0</v>
      </c>
      <c r="M1176" s="73">
        <v>0</v>
      </c>
      <c r="N1176" s="74">
        <v>0</v>
      </c>
      <c r="O1176" s="73">
        <v>0</v>
      </c>
      <c r="P1176" s="74">
        <v>10920208</v>
      </c>
      <c r="Q1176" s="73">
        <v>37093456.768576004</v>
      </c>
      <c r="R1176" s="71" t="s">
        <v>625</v>
      </c>
      <c r="S1176" s="71">
        <v>7414000005</v>
      </c>
      <c r="AB1176"/>
      <c r="AC1176"/>
    </row>
    <row r="1177" spans="1:29" x14ac:dyDescent="0.25">
      <c r="A1177" t="str">
        <f t="shared" si="19"/>
        <v xml:space="preserve">2000927STERGOB ED          </v>
      </c>
      <c r="B1177" s="71">
        <v>2000941</v>
      </c>
      <c r="C1177" s="71" t="s">
        <v>817</v>
      </c>
      <c r="D1177" s="71" t="s">
        <v>357</v>
      </c>
      <c r="E1177" s="71" t="s">
        <v>623</v>
      </c>
      <c r="F1177" s="71" t="s">
        <v>624</v>
      </c>
      <c r="G1177" s="74">
        <v>52300</v>
      </c>
      <c r="H1177" s="72">
        <v>168.64</v>
      </c>
      <c r="I1177" s="73">
        <v>8819872</v>
      </c>
      <c r="J1177" s="72">
        <v>1.8209361376673041</v>
      </c>
      <c r="K1177" s="73">
        <v>17544509.039999999</v>
      </c>
      <c r="L1177" s="74">
        <v>-52300</v>
      </c>
      <c r="M1177" s="73">
        <v>-8859937.2400000002</v>
      </c>
      <c r="N1177" s="74">
        <v>0</v>
      </c>
      <c r="O1177" s="73">
        <v>0</v>
      </c>
      <c r="P1177" s="74">
        <v>0</v>
      </c>
      <c r="Q1177" s="73">
        <v>-40065.24</v>
      </c>
      <c r="R1177" s="71" t="s">
        <v>625</v>
      </c>
      <c r="S1177" s="71">
        <v>7414000005</v>
      </c>
      <c r="AB1177"/>
      <c r="AC1177"/>
    </row>
    <row r="1178" spans="1:29" x14ac:dyDescent="0.25">
      <c r="A1178" t="str">
        <f t="shared" si="19"/>
        <v xml:space="preserve">2000928STERGOB ED          </v>
      </c>
      <c r="B1178" s="71">
        <v>2000941</v>
      </c>
      <c r="C1178" s="71" t="s">
        <v>817</v>
      </c>
      <c r="D1178" s="71" t="s">
        <v>358</v>
      </c>
      <c r="E1178" s="71" t="s">
        <v>623</v>
      </c>
      <c r="F1178" s="71" t="s">
        <v>624</v>
      </c>
      <c r="G1178" s="74">
        <v>900</v>
      </c>
      <c r="H1178" s="72">
        <v>1786.5</v>
      </c>
      <c r="I1178" s="73">
        <v>1607850</v>
      </c>
      <c r="J1178" s="72">
        <v>135.04</v>
      </c>
      <c r="K1178" s="73">
        <v>3337236</v>
      </c>
      <c r="L1178" s="74">
        <v>-900</v>
      </c>
      <c r="M1178" s="73">
        <v>-1623636</v>
      </c>
      <c r="N1178" s="74">
        <v>0</v>
      </c>
      <c r="O1178" s="73">
        <v>0</v>
      </c>
      <c r="P1178" s="74">
        <v>0</v>
      </c>
      <c r="Q1178" s="73">
        <v>-15786</v>
      </c>
      <c r="R1178" s="71" t="s">
        <v>625</v>
      </c>
      <c r="S1178" s="71">
        <v>7414000005</v>
      </c>
      <c r="AB1178"/>
      <c r="AC1178"/>
    </row>
    <row r="1179" spans="1:29" x14ac:dyDescent="0.25">
      <c r="A1179" t="str">
        <f t="shared" si="19"/>
        <v xml:space="preserve">2000941AC *                </v>
      </c>
      <c r="B1179" s="71">
        <v>2000941</v>
      </c>
      <c r="C1179" s="71" t="s">
        <v>817</v>
      </c>
      <c r="D1179" s="71" t="s">
        <v>506</v>
      </c>
      <c r="E1179" s="71" t="s">
        <v>623</v>
      </c>
      <c r="F1179" s="71" t="s">
        <v>624</v>
      </c>
      <c r="G1179" s="74">
        <v>487300</v>
      </c>
      <c r="H1179" s="72">
        <v>12.48</v>
      </c>
      <c r="I1179" s="73">
        <v>6081504</v>
      </c>
      <c r="J1179" s="72">
        <v>1.5463212226554484</v>
      </c>
      <c r="K1179" s="73">
        <v>12916530.331800001</v>
      </c>
      <c r="L1179" s="74">
        <v>-487300</v>
      </c>
      <c r="M1179" s="73">
        <v>-6084240.7800000003</v>
      </c>
      <c r="N1179" s="74">
        <v>0</v>
      </c>
      <c r="O1179" s="73">
        <v>0</v>
      </c>
      <c r="P1179" s="74">
        <v>0</v>
      </c>
      <c r="Q1179" s="73">
        <v>-2736.78</v>
      </c>
      <c r="R1179" s="71" t="s">
        <v>625</v>
      </c>
      <c r="S1179" s="71">
        <v>7414000005</v>
      </c>
      <c r="AB1179"/>
      <c r="AC1179"/>
    </row>
    <row r="1180" spans="1:29" x14ac:dyDescent="0.25">
      <c r="A1180" t="str">
        <f t="shared" si="19"/>
        <v xml:space="preserve">2000941ACWI *              </v>
      </c>
      <c r="B1180" s="71">
        <v>2000941</v>
      </c>
      <c r="C1180" s="71" t="s">
        <v>817</v>
      </c>
      <c r="D1180" s="71" t="s">
        <v>359</v>
      </c>
      <c r="E1180" s="71" t="s">
        <v>623</v>
      </c>
      <c r="F1180" s="71" t="s">
        <v>624</v>
      </c>
      <c r="G1180" s="74">
        <v>86900</v>
      </c>
      <c r="H1180" s="72">
        <v>73.37</v>
      </c>
      <c r="I1180" s="73">
        <v>6375853</v>
      </c>
      <c r="J1180" s="72">
        <v>14.482966052934408</v>
      </c>
      <c r="K1180" s="73">
        <v>8389805.3599999994</v>
      </c>
      <c r="L1180" s="74">
        <v>-44603</v>
      </c>
      <c r="M1180" s="73">
        <v>-3357713.01</v>
      </c>
      <c r="N1180" s="74">
        <v>0</v>
      </c>
      <c r="O1180" s="73">
        <v>0</v>
      </c>
      <c r="P1180" s="74">
        <v>42297</v>
      </c>
      <c r="Q1180" s="73">
        <v>3018139.99</v>
      </c>
      <c r="R1180" s="71" t="s">
        <v>625</v>
      </c>
      <c r="S1180" s="71">
        <v>7414000005</v>
      </c>
      <c r="AB1180"/>
      <c r="AC1180"/>
    </row>
    <row r="1181" spans="1:29" x14ac:dyDescent="0.25">
      <c r="A1181" t="str">
        <f t="shared" si="19"/>
        <v xml:space="preserve">2000941ALFA A              </v>
      </c>
      <c r="B1181" s="71">
        <v>2000941</v>
      </c>
      <c r="C1181" s="71" t="s">
        <v>817</v>
      </c>
      <c r="D1181" s="71" t="s">
        <v>360</v>
      </c>
      <c r="E1181" s="71" t="s">
        <v>623</v>
      </c>
      <c r="F1181" s="71" t="s">
        <v>624</v>
      </c>
      <c r="G1181" s="74">
        <v>1801000</v>
      </c>
      <c r="H1181" s="72">
        <v>15.12</v>
      </c>
      <c r="I1181" s="73">
        <v>27231120</v>
      </c>
      <c r="J1181" s="72">
        <v>1.9793292781787895</v>
      </c>
      <c r="K1181" s="73">
        <v>50897467.969999999</v>
      </c>
      <c r="L1181" s="74">
        <v>-1801000</v>
      </c>
      <c r="M1181" s="73">
        <v>-27391444.550000001</v>
      </c>
      <c r="N1181" s="74">
        <v>0</v>
      </c>
      <c r="O1181" s="73">
        <v>0</v>
      </c>
      <c r="P1181" s="74">
        <v>0</v>
      </c>
      <c r="Q1181" s="73">
        <v>-160324.54999999999</v>
      </c>
      <c r="R1181" s="71" t="s">
        <v>625</v>
      </c>
      <c r="S1181" s="71">
        <v>7414000005</v>
      </c>
      <c r="AB1181"/>
      <c r="AC1181"/>
    </row>
    <row r="1182" spans="1:29" x14ac:dyDescent="0.25">
      <c r="A1182" t="str">
        <f t="shared" si="19"/>
        <v xml:space="preserve">2000941ALSEA *             </v>
      </c>
      <c r="B1182" s="71">
        <v>2000941</v>
      </c>
      <c r="C1182" s="71" t="s">
        <v>817</v>
      </c>
      <c r="D1182" s="71" t="s">
        <v>551</v>
      </c>
      <c r="E1182" s="71" t="s">
        <v>623</v>
      </c>
      <c r="F1182" s="71" t="s">
        <v>624</v>
      </c>
      <c r="G1182" s="74">
        <v>19500</v>
      </c>
      <c r="H1182" s="72">
        <v>525.09</v>
      </c>
      <c r="I1182" s="73">
        <v>10239255</v>
      </c>
      <c r="J1182" s="72">
        <v>25.061602051282051</v>
      </c>
      <c r="K1182" s="73">
        <v>20967211.239999998</v>
      </c>
      <c r="L1182" s="74">
        <v>-19500</v>
      </c>
      <c r="M1182" s="73">
        <v>-10350904.949999999</v>
      </c>
      <c r="N1182" s="74">
        <v>0</v>
      </c>
      <c r="O1182" s="73">
        <v>0</v>
      </c>
      <c r="P1182" s="74">
        <v>0</v>
      </c>
      <c r="Q1182" s="73">
        <v>-111649.95</v>
      </c>
      <c r="R1182" s="71" t="s">
        <v>625</v>
      </c>
      <c r="S1182" s="71">
        <v>7414000005</v>
      </c>
      <c r="AB1182"/>
      <c r="AC1182"/>
    </row>
    <row r="1183" spans="1:29" x14ac:dyDescent="0.25">
      <c r="A1183" t="str">
        <f t="shared" si="19"/>
        <v xml:space="preserve">2000941AMX B               </v>
      </c>
      <c r="B1183" s="71">
        <v>2000941</v>
      </c>
      <c r="C1183" s="71" t="s">
        <v>817</v>
      </c>
      <c r="D1183" s="71" t="s">
        <v>571</v>
      </c>
      <c r="E1183" s="71" t="s">
        <v>623</v>
      </c>
      <c r="F1183" s="71" t="s">
        <v>624</v>
      </c>
      <c r="G1183" s="74">
        <v>46686</v>
      </c>
      <c r="H1183" s="72">
        <v>99.999110999999999</v>
      </c>
      <c r="I1183" s="73">
        <v>4668558.496146</v>
      </c>
      <c r="J1183" s="72">
        <v>100.00133401876366</v>
      </c>
      <c r="K1183" s="73">
        <v>-103.78385400000001</v>
      </c>
      <c r="L1183" s="74">
        <v>0</v>
      </c>
      <c r="M1183" s="73">
        <v>0</v>
      </c>
      <c r="N1183" s="74">
        <v>0</v>
      </c>
      <c r="O1183" s="73">
        <v>0</v>
      </c>
      <c r="P1183" s="74">
        <v>46686</v>
      </c>
      <c r="Q1183" s="73">
        <v>4668558.496146</v>
      </c>
      <c r="R1183" s="71" t="s">
        <v>625</v>
      </c>
      <c r="S1183" s="71">
        <v>7414000005</v>
      </c>
      <c r="AB1183"/>
      <c r="AC1183"/>
    </row>
    <row r="1184" spans="1:29" x14ac:dyDescent="0.25">
      <c r="A1184" t="str">
        <f t="shared" si="19"/>
        <v xml:space="preserve">2000941ASUR B              </v>
      </c>
      <c r="B1184" s="71">
        <v>2000941</v>
      </c>
      <c r="C1184" s="71" t="s">
        <v>817</v>
      </c>
      <c r="D1184" s="71" t="s">
        <v>361</v>
      </c>
      <c r="E1184" s="71" t="s">
        <v>623</v>
      </c>
      <c r="F1184" s="71" t="s">
        <v>624</v>
      </c>
      <c r="G1184" s="74">
        <v>90140</v>
      </c>
      <c r="H1184" s="72">
        <v>68.25</v>
      </c>
      <c r="I1184" s="73">
        <v>6152055</v>
      </c>
      <c r="J1184" s="72">
        <v>17.227680054359883</v>
      </c>
      <c r="K1184" s="73">
        <v>10751206.9199</v>
      </c>
      <c r="L1184" s="74">
        <v>-90140</v>
      </c>
      <c r="M1184" s="73">
        <v>-6188620.0300000003</v>
      </c>
      <c r="N1184" s="74">
        <v>0</v>
      </c>
      <c r="O1184" s="73">
        <v>0</v>
      </c>
      <c r="P1184" s="74">
        <v>0</v>
      </c>
      <c r="Q1184" s="73">
        <v>-36565.03</v>
      </c>
      <c r="R1184" s="71" t="s">
        <v>625</v>
      </c>
      <c r="S1184" s="71">
        <v>7414000005</v>
      </c>
      <c r="AB1184"/>
      <c r="AC1184"/>
    </row>
    <row r="1185" spans="1:29" x14ac:dyDescent="0.25">
      <c r="A1185" t="str">
        <f t="shared" si="19"/>
        <v xml:space="preserve">2000941BBPEN 21            </v>
      </c>
      <c r="B1185" s="71">
        <v>2000941</v>
      </c>
      <c r="C1185" s="71" t="s">
        <v>817</v>
      </c>
      <c r="D1185" s="71" t="s">
        <v>572</v>
      </c>
      <c r="E1185" s="71" t="s">
        <v>623</v>
      </c>
      <c r="F1185" s="71" t="s">
        <v>624</v>
      </c>
      <c r="G1185" s="74">
        <v>11000</v>
      </c>
      <c r="H1185" s="72">
        <v>99.923287000000002</v>
      </c>
      <c r="I1185" s="73">
        <v>1099156.1569999999</v>
      </c>
      <c r="J1185" s="72">
        <v>99.961500909999998</v>
      </c>
      <c r="K1185" s="73">
        <v>-420.35300999999998</v>
      </c>
      <c r="L1185" s="74">
        <v>0</v>
      </c>
      <c r="M1185" s="73">
        <v>0</v>
      </c>
      <c r="N1185" s="74">
        <v>0</v>
      </c>
      <c r="O1185" s="73">
        <v>0</v>
      </c>
      <c r="P1185" s="74">
        <v>11000</v>
      </c>
      <c r="Q1185" s="73">
        <v>1099156.1569999999</v>
      </c>
      <c r="R1185" s="71" t="s">
        <v>625</v>
      </c>
      <c r="S1185" s="71">
        <v>7414000005</v>
      </c>
      <c r="AB1185"/>
      <c r="AC1185"/>
    </row>
    <row r="1186" spans="1:29" x14ac:dyDescent="0.25">
      <c r="A1186" t="str">
        <f t="shared" si="19"/>
        <v xml:space="preserve">2000941BIMBO A             </v>
      </c>
      <c r="B1186" s="71">
        <v>2000941</v>
      </c>
      <c r="C1186" s="71" t="s">
        <v>817</v>
      </c>
      <c r="D1186" s="71" t="s">
        <v>573</v>
      </c>
      <c r="E1186" s="71" t="s">
        <v>623</v>
      </c>
      <c r="F1186" s="71" t="s">
        <v>624</v>
      </c>
      <c r="G1186" s="74">
        <v>55340</v>
      </c>
      <c r="H1186" s="72">
        <v>99.908186999999998</v>
      </c>
      <c r="I1186" s="73">
        <v>5528919.0685799997</v>
      </c>
      <c r="J1186" s="72">
        <v>100.00094398248645</v>
      </c>
      <c r="K1186" s="73">
        <v>-5133.1714107999996</v>
      </c>
      <c r="L1186" s="74">
        <v>0</v>
      </c>
      <c r="M1186" s="73">
        <v>0</v>
      </c>
      <c r="N1186" s="74">
        <v>0</v>
      </c>
      <c r="O1186" s="73">
        <v>0</v>
      </c>
      <c r="P1186" s="74">
        <v>55340</v>
      </c>
      <c r="Q1186" s="73">
        <v>5528919.0685799997</v>
      </c>
      <c r="R1186" s="71" t="s">
        <v>625</v>
      </c>
      <c r="S1186" s="71">
        <v>7414000005</v>
      </c>
      <c r="AB1186"/>
      <c r="AC1186"/>
    </row>
    <row r="1187" spans="1:29" x14ac:dyDescent="0.25">
      <c r="A1187" t="str">
        <f t="shared" si="19"/>
        <v xml:space="preserve">2000941BONDESF 250227      </v>
      </c>
      <c r="B1187" s="71">
        <v>2000941</v>
      </c>
      <c r="C1187" s="71" t="s">
        <v>817</v>
      </c>
      <c r="D1187" s="71" t="s">
        <v>574</v>
      </c>
      <c r="E1187" s="71" t="s">
        <v>623</v>
      </c>
      <c r="F1187" s="71" t="s">
        <v>624</v>
      </c>
      <c r="G1187" s="74">
        <v>7837</v>
      </c>
      <c r="H1187" s="72">
        <v>99.882447999999997</v>
      </c>
      <c r="I1187" s="73">
        <v>782778.74497600005</v>
      </c>
      <c r="J1187" s="72">
        <v>100.08703075</v>
      </c>
      <c r="K1187" s="73">
        <v>-1603.3150117499999</v>
      </c>
      <c r="L1187" s="74">
        <v>0</v>
      </c>
      <c r="M1187" s="73">
        <v>0</v>
      </c>
      <c r="N1187" s="74">
        <v>0</v>
      </c>
      <c r="O1187" s="73">
        <v>0</v>
      </c>
      <c r="P1187" s="74">
        <v>7837</v>
      </c>
      <c r="Q1187" s="73">
        <v>782778.74497600005</v>
      </c>
      <c r="R1187" s="71" t="s">
        <v>625</v>
      </c>
      <c r="S1187" s="71">
        <v>7414000005</v>
      </c>
      <c r="AB1187"/>
      <c r="AC1187"/>
    </row>
    <row r="1188" spans="1:29" x14ac:dyDescent="0.25">
      <c r="A1188" t="str">
        <f t="shared" si="19"/>
        <v xml:space="preserve">2000941BONDESF 250424      </v>
      </c>
      <c r="B1188" s="71">
        <v>2000941</v>
      </c>
      <c r="C1188" s="71" t="s">
        <v>817</v>
      </c>
      <c r="D1188" s="71" t="s">
        <v>362</v>
      </c>
      <c r="E1188" s="71" t="s">
        <v>623</v>
      </c>
      <c r="F1188" s="71" t="s">
        <v>624</v>
      </c>
      <c r="G1188" s="74">
        <v>1403000</v>
      </c>
      <c r="H1188" s="72">
        <v>14.33</v>
      </c>
      <c r="I1188" s="73">
        <v>20104990</v>
      </c>
      <c r="J1188" s="72">
        <v>2.3293024875267285</v>
      </c>
      <c r="K1188" s="73">
        <v>43477991.390000001</v>
      </c>
      <c r="L1188" s="74">
        <v>-1403000</v>
      </c>
      <c r="M1188" s="73">
        <v>-20161564.879999999</v>
      </c>
      <c r="N1188" s="74">
        <v>0</v>
      </c>
      <c r="O1188" s="73">
        <v>0</v>
      </c>
      <c r="P1188" s="74">
        <v>0</v>
      </c>
      <c r="Q1188" s="73">
        <v>-56574.879999999997</v>
      </c>
      <c r="R1188" s="71" t="s">
        <v>625</v>
      </c>
      <c r="S1188" s="71">
        <v>7414000005</v>
      </c>
      <c r="AB1188"/>
      <c r="AC1188"/>
    </row>
    <row r="1189" spans="1:29" x14ac:dyDescent="0.25">
      <c r="A1189" t="str">
        <f t="shared" si="19"/>
        <v xml:space="preserve">2000941BONDESF 250619      </v>
      </c>
      <c r="B1189" s="71">
        <v>2000941</v>
      </c>
      <c r="C1189" s="71" t="s">
        <v>817</v>
      </c>
      <c r="D1189" s="71" t="s">
        <v>575</v>
      </c>
      <c r="E1189" s="71" t="s">
        <v>623</v>
      </c>
      <c r="F1189" s="71" t="s">
        <v>624</v>
      </c>
      <c r="G1189" s="74">
        <v>31819</v>
      </c>
      <c r="H1189" s="72">
        <v>99.999204000000006</v>
      </c>
      <c r="I1189" s="73">
        <v>3181874.6720759999</v>
      </c>
      <c r="J1189" s="72">
        <v>100.12310977946353</v>
      </c>
      <c r="K1189" s="73">
        <v>-3942.5579967499998</v>
      </c>
      <c r="L1189" s="74">
        <v>0</v>
      </c>
      <c r="M1189" s="73">
        <v>0</v>
      </c>
      <c r="N1189" s="74">
        <v>0</v>
      </c>
      <c r="O1189" s="73">
        <v>0</v>
      </c>
      <c r="P1189" s="74">
        <v>31819</v>
      </c>
      <c r="Q1189" s="73">
        <v>3181874.6720759999</v>
      </c>
      <c r="R1189" s="71" t="s">
        <v>625</v>
      </c>
      <c r="S1189" s="71">
        <v>7414000005</v>
      </c>
      <c r="AB1189"/>
      <c r="AC1189"/>
    </row>
    <row r="1190" spans="1:29" x14ac:dyDescent="0.25">
      <c r="A1190" t="str">
        <f t="shared" si="19"/>
        <v xml:space="preserve">2000941CEMEX CPO           </v>
      </c>
      <c r="B1190" s="71">
        <v>2000941</v>
      </c>
      <c r="C1190" s="71" t="s">
        <v>817</v>
      </c>
      <c r="D1190" s="71" t="s">
        <v>649</v>
      </c>
      <c r="E1190" s="71" t="s">
        <v>623</v>
      </c>
      <c r="F1190" s="71" t="s">
        <v>624</v>
      </c>
      <c r="G1190" s="74">
        <v>0</v>
      </c>
      <c r="H1190" s="72">
        <v>0</v>
      </c>
      <c r="I1190" s="73">
        <v>0</v>
      </c>
      <c r="J1190" s="72">
        <v>0</v>
      </c>
      <c r="K1190" s="73">
        <v>-96965.79</v>
      </c>
      <c r="L1190" s="74">
        <v>17000000</v>
      </c>
      <c r="M1190" s="73">
        <v>153288181.78999999</v>
      </c>
      <c r="N1190" s="74">
        <v>0</v>
      </c>
      <c r="O1190" s="73">
        <v>0</v>
      </c>
      <c r="P1190" s="74">
        <v>17000000</v>
      </c>
      <c r="Q1190" s="73">
        <v>153288181.78999999</v>
      </c>
      <c r="R1190" s="71" t="s">
        <v>625</v>
      </c>
      <c r="S1190" s="71">
        <v>7414000005</v>
      </c>
      <c r="AB1190"/>
      <c r="AC1190"/>
    </row>
    <row r="1191" spans="1:29" x14ac:dyDescent="0.25">
      <c r="A1191" t="str">
        <f t="shared" si="19"/>
        <v xml:space="preserve">2000941CETELEM 21-3        </v>
      </c>
      <c r="B1191" s="71">
        <v>2000941</v>
      </c>
      <c r="C1191" s="71" t="s">
        <v>817</v>
      </c>
      <c r="D1191" s="71" t="s">
        <v>455</v>
      </c>
      <c r="E1191" s="71" t="s">
        <v>623</v>
      </c>
      <c r="F1191" s="71" t="s">
        <v>624</v>
      </c>
      <c r="G1191" s="74">
        <v>17068</v>
      </c>
      <c r="H1191" s="72">
        <v>72.270214999999993</v>
      </c>
      <c r="I1191" s="73">
        <v>1233508.0296199999</v>
      </c>
      <c r="J1191" s="72">
        <v>94.414780289999996</v>
      </c>
      <c r="K1191" s="73">
        <v>-377963.44036971999</v>
      </c>
      <c r="L1191" s="74">
        <v>0</v>
      </c>
      <c r="M1191" s="73">
        <v>0</v>
      </c>
      <c r="N1191" s="74">
        <v>0</v>
      </c>
      <c r="O1191" s="73">
        <v>0</v>
      </c>
      <c r="P1191" s="74">
        <v>17068</v>
      </c>
      <c r="Q1191" s="73">
        <v>1233508.0296199999</v>
      </c>
      <c r="R1191" s="71" t="s">
        <v>625</v>
      </c>
      <c r="S1191" s="71">
        <v>7414000005</v>
      </c>
      <c r="AB1191"/>
      <c r="AC1191"/>
    </row>
    <row r="1192" spans="1:29" x14ac:dyDescent="0.25">
      <c r="A1192" t="str">
        <f t="shared" si="19"/>
        <v xml:space="preserve">2000941CETES 250403        </v>
      </c>
      <c r="B1192" s="71">
        <v>2000941</v>
      </c>
      <c r="C1192" s="71" t="s">
        <v>817</v>
      </c>
      <c r="D1192" s="71" t="s">
        <v>365</v>
      </c>
      <c r="E1192" s="71" t="s">
        <v>623</v>
      </c>
      <c r="F1192" s="71" t="s">
        <v>624</v>
      </c>
      <c r="G1192" s="74">
        <v>11400</v>
      </c>
      <c r="H1192" s="72">
        <v>675.38</v>
      </c>
      <c r="I1192" s="73">
        <v>7699332</v>
      </c>
      <c r="J1192" s="72">
        <v>14.298342105263158</v>
      </c>
      <c r="K1192" s="73">
        <v>15235662.9</v>
      </c>
      <c r="L1192" s="74">
        <v>-11400</v>
      </c>
      <c r="M1192" s="73">
        <v>-7743678</v>
      </c>
      <c r="N1192" s="74">
        <v>0</v>
      </c>
      <c r="O1192" s="73">
        <v>0</v>
      </c>
      <c r="P1192" s="74">
        <v>0</v>
      </c>
      <c r="Q1192" s="73">
        <v>-44346</v>
      </c>
      <c r="R1192" s="71" t="s">
        <v>625</v>
      </c>
      <c r="S1192" s="71">
        <v>7414000005</v>
      </c>
      <c r="AB1192"/>
      <c r="AC1192"/>
    </row>
    <row r="1193" spans="1:29" x14ac:dyDescent="0.25">
      <c r="A1193" t="str">
        <f t="shared" si="19"/>
        <v xml:space="preserve">2000941CHIACB 07           </v>
      </c>
      <c r="B1193" s="71">
        <v>2000941</v>
      </c>
      <c r="C1193" s="71" t="s">
        <v>817</v>
      </c>
      <c r="D1193" s="71" t="s">
        <v>367</v>
      </c>
      <c r="E1193" s="71" t="s">
        <v>623</v>
      </c>
      <c r="F1193" s="71" t="s">
        <v>624</v>
      </c>
      <c r="G1193" s="74">
        <v>2670</v>
      </c>
      <c r="H1193" s="72">
        <v>700.65</v>
      </c>
      <c r="I1193" s="73">
        <v>1870735.5</v>
      </c>
      <c r="J1193" s="72">
        <v>77.856460674157304</v>
      </c>
      <c r="K1193" s="73">
        <v>3533594.25</v>
      </c>
      <c r="L1193" s="74">
        <v>-2670</v>
      </c>
      <c r="M1193" s="73">
        <v>-1870735.5</v>
      </c>
      <c r="N1193" s="74">
        <v>0</v>
      </c>
      <c r="O1193" s="73">
        <v>0</v>
      </c>
      <c r="P1193" s="74">
        <v>0</v>
      </c>
      <c r="Q1193" s="73">
        <v>0</v>
      </c>
      <c r="R1193" s="71" t="s">
        <v>625</v>
      </c>
      <c r="S1193" s="71">
        <v>7414000005</v>
      </c>
      <c r="AB1193"/>
      <c r="AC1193"/>
    </row>
    <row r="1194" spans="1:29" x14ac:dyDescent="0.25">
      <c r="A1194" t="str">
        <f t="shared" si="19"/>
        <v xml:space="preserve">2000941EEM *               </v>
      </c>
      <c r="B1194" s="71">
        <v>2000941</v>
      </c>
      <c r="C1194" s="71" t="s">
        <v>817</v>
      </c>
      <c r="D1194" s="71" t="s">
        <v>368</v>
      </c>
      <c r="E1194" s="71" t="s">
        <v>623</v>
      </c>
      <c r="F1194" s="71" t="s">
        <v>624</v>
      </c>
      <c r="G1194" s="74">
        <v>4570</v>
      </c>
      <c r="H1194" s="72">
        <v>1151</v>
      </c>
      <c r="I1194" s="73">
        <v>5260070</v>
      </c>
      <c r="J1194" s="72">
        <v>75.800722100656458</v>
      </c>
      <c r="K1194" s="73">
        <v>10866549.300000001</v>
      </c>
      <c r="L1194" s="74">
        <v>-4570</v>
      </c>
      <c r="M1194" s="73">
        <v>-5298549.4000000004</v>
      </c>
      <c r="N1194" s="74">
        <v>0</v>
      </c>
      <c r="O1194" s="73">
        <v>0</v>
      </c>
      <c r="P1194" s="74">
        <v>0</v>
      </c>
      <c r="Q1194" s="73">
        <v>-38479.4</v>
      </c>
      <c r="R1194" s="71" t="s">
        <v>625</v>
      </c>
      <c r="S1194" s="71">
        <v>7414000005</v>
      </c>
      <c r="AB1194"/>
      <c r="AC1194"/>
    </row>
    <row r="1195" spans="1:29" x14ac:dyDescent="0.25">
      <c r="A1195" t="str">
        <f t="shared" si="19"/>
        <v xml:space="preserve">2000941EPP *               </v>
      </c>
      <c r="B1195" s="71">
        <v>2000941</v>
      </c>
      <c r="C1195" s="71" t="s">
        <v>817</v>
      </c>
      <c r="D1195" s="71" t="s">
        <v>369</v>
      </c>
      <c r="E1195" s="71" t="s">
        <v>623</v>
      </c>
      <c r="F1195" s="71" t="s">
        <v>624</v>
      </c>
      <c r="G1195" s="74">
        <v>155000</v>
      </c>
      <c r="H1195" s="72">
        <v>207.81</v>
      </c>
      <c r="I1195" s="73">
        <v>32210550</v>
      </c>
      <c r="J1195" s="72">
        <v>30.196602516129033</v>
      </c>
      <c r="K1195" s="73">
        <v>69101573.390000001</v>
      </c>
      <c r="L1195" s="74">
        <v>-155000</v>
      </c>
      <c r="M1195" s="73">
        <v>-32234583.870000001</v>
      </c>
      <c r="N1195" s="74">
        <v>0</v>
      </c>
      <c r="O1195" s="73">
        <v>0</v>
      </c>
      <c r="P1195" s="74">
        <v>0</v>
      </c>
      <c r="Q1195" s="73">
        <v>-24033.87</v>
      </c>
      <c r="R1195" s="71" t="s">
        <v>625</v>
      </c>
      <c r="S1195" s="71">
        <v>7414000005</v>
      </c>
      <c r="AB1195"/>
      <c r="AC1195"/>
    </row>
    <row r="1196" spans="1:29" x14ac:dyDescent="0.25">
      <c r="A1196" t="str">
        <f t="shared" si="19"/>
        <v xml:space="preserve">2000941EWJ *               </v>
      </c>
      <c r="B1196" s="71">
        <v>2000941</v>
      </c>
      <c r="C1196" s="71" t="s">
        <v>817</v>
      </c>
      <c r="D1196" s="71" t="s">
        <v>576</v>
      </c>
      <c r="E1196" s="71" t="s">
        <v>623</v>
      </c>
      <c r="F1196" s="71" t="s">
        <v>624</v>
      </c>
      <c r="G1196" s="74">
        <v>72893</v>
      </c>
      <c r="H1196" s="72">
        <v>30.9</v>
      </c>
      <c r="I1196" s="73">
        <v>2252393.7000000002</v>
      </c>
      <c r="J1196" s="72">
        <v>1.0095289876942917</v>
      </c>
      <c r="K1196" s="73">
        <v>4431199.8035000004</v>
      </c>
      <c r="L1196" s="74">
        <v>-72893</v>
      </c>
      <c r="M1196" s="73">
        <v>-2254848.7400000002</v>
      </c>
      <c r="N1196" s="74">
        <v>0</v>
      </c>
      <c r="O1196" s="73">
        <v>0</v>
      </c>
      <c r="P1196" s="74">
        <v>0</v>
      </c>
      <c r="Q1196" s="73">
        <v>-2455.04</v>
      </c>
      <c r="R1196" s="71" t="s">
        <v>625</v>
      </c>
      <c r="S1196" s="71">
        <v>7414000005</v>
      </c>
      <c r="AB1196"/>
      <c r="AC1196"/>
    </row>
    <row r="1197" spans="1:29" x14ac:dyDescent="0.25">
      <c r="A1197" t="str">
        <f t="shared" si="19"/>
        <v xml:space="preserve">2000941FEMSA UBD           </v>
      </c>
      <c r="B1197" s="71">
        <v>2000941</v>
      </c>
      <c r="C1197" s="71" t="s">
        <v>817</v>
      </c>
      <c r="D1197" s="71" t="s">
        <v>577</v>
      </c>
      <c r="E1197" s="71" t="s">
        <v>623</v>
      </c>
      <c r="F1197" s="71" t="s">
        <v>624</v>
      </c>
      <c r="G1197" s="74">
        <v>26599</v>
      </c>
      <c r="H1197" s="72">
        <v>68.83</v>
      </c>
      <c r="I1197" s="73">
        <v>1830809.17</v>
      </c>
      <c r="J1197" s="72">
        <v>6.5107834993796763</v>
      </c>
      <c r="K1197" s="73">
        <v>3834729.8402999998</v>
      </c>
      <c r="L1197" s="74">
        <v>-26598</v>
      </c>
      <c r="M1197" s="73">
        <v>-1828025</v>
      </c>
      <c r="N1197" s="74">
        <v>0</v>
      </c>
      <c r="O1197" s="73">
        <v>0</v>
      </c>
      <c r="P1197" s="74">
        <v>1</v>
      </c>
      <c r="Q1197" s="73">
        <v>2784.17</v>
      </c>
      <c r="R1197" s="71" t="s">
        <v>625</v>
      </c>
      <c r="S1197" s="71">
        <v>7414000005</v>
      </c>
      <c r="AB1197"/>
      <c r="AC1197"/>
    </row>
    <row r="1198" spans="1:29" x14ac:dyDescent="0.25">
      <c r="A1198" t="str">
        <f t="shared" si="19"/>
        <v xml:space="preserve">2000941FIBRAMQ 12          </v>
      </c>
      <c r="B1198" s="71">
        <v>2000941</v>
      </c>
      <c r="C1198" s="71" t="s">
        <v>817</v>
      </c>
      <c r="D1198" s="71" t="s">
        <v>370</v>
      </c>
      <c r="E1198" s="71" t="s">
        <v>623</v>
      </c>
      <c r="F1198" s="71" t="s">
        <v>624</v>
      </c>
      <c r="G1198" s="74">
        <v>25500</v>
      </c>
      <c r="H1198" s="72">
        <v>271.94</v>
      </c>
      <c r="I1198" s="73">
        <v>6934470</v>
      </c>
      <c r="J1198" s="72">
        <v>25.367385490196078</v>
      </c>
      <c r="K1198" s="73">
        <v>13222071.67</v>
      </c>
      <c r="L1198" s="74">
        <v>-25500</v>
      </c>
      <c r="M1198" s="73">
        <v>-6935048.9100000001</v>
      </c>
      <c r="N1198" s="74">
        <v>0</v>
      </c>
      <c r="O1198" s="73">
        <v>0</v>
      </c>
      <c r="P1198" s="74">
        <v>0</v>
      </c>
      <c r="Q1198" s="73">
        <v>-578.91</v>
      </c>
      <c r="R1198" s="71" t="s">
        <v>625</v>
      </c>
      <c r="S1198" s="71">
        <v>7414000005</v>
      </c>
      <c r="AB1198"/>
      <c r="AC1198"/>
    </row>
    <row r="1199" spans="1:29" x14ac:dyDescent="0.25">
      <c r="A1199" t="str">
        <f t="shared" si="19"/>
        <v xml:space="preserve">2000941FIBRAPL 14          </v>
      </c>
      <c r="B1199" s="71">
        <v>2000941</v>
      </c>
      <c r="C1199" s="71" t="s">
        <v>817</v>
      </c>
      <c r="D1199" s="71" t="s">
        <v>371</v>
      </c>
      <c r="E1199" s="71" t="s">
        <v>623</v>
      </c>
      <c r="F1199" s="71" t="s">
        <v>624</v>
      </c>
      <c r="G1199" s="74">
        <v>28100</v>
      </c>
      <c r="H1199" s="72">
        <v>193.15</v>
      </c>
      <c r="I1199" s="73">
        <v>5427515</v>
      </c>
      <c r="J1199" s="72">
        <v>38.678827758007117</v>
      </c>
      <c r="K1199" s="73">
        <v>11941905.060000001</v>
      </c>
      <c r="L1199" s="74">
        <v>-28100</v>
      </c>
      <c r="M1199" s="73">
        <v>-5382315.4100000001</v>
      </c>
      <c r="N1199" s="74">
        <v>0</v>
      </c>
      <c r="O1199" s="73">
        <v>0</v>
      </c>
      <c r="P1199" s="74">
        <v>0</v>
      </c>
      <c r="Q1199" s="73">
        <v>45199.59</v>
      </c>
      <c r="R1199" s="71" t="s">
        <v>625</v>
      </c>
      <c r="S1199" s="71">
        <v>7414000005</v>
      </c>
      <c r="AB1199"/>
      <c r="AC1199"/>
    </row>
    <row r="1200" spans="1:29" x14ac:dyDescent="0.25">
      <c r="A1200" t="str">
        <f t="shared" si="19"/>
        <v xml:space="preserve">2000941GAP B               </v>
      </c>
      <c r="B1200" s="71">
        <v>2000941</v>
      </c>
      <c r="C1200" s="71" t="s">
        <v>817</v>
      </c>
      <c r="D1200" s="71" t="s">
        <v>372</v>
      </c>
      <c r="E1200" s="71" t="s">
        <v>623</v>
      </c>
      <c r="F1200" s="71" t="s">
        <v>624</v>
      </c>
      <c r="G1200" s="74">
        <v>187500</v>
      </c>
      <c r="H1200" s="72">
        <v>27.12</v>
      </c>
      <c r="I1200" s="73">
        <v>5085000</v>
      </c>
      <c r="J1200" s="72">
        <v>6.719973173333333</v>
      </c>
      <c r="K1200" s="73">
        <v>11429994.970000001</v>
      </c>
      <c r="L1200" s="74">
        <v>-187500</v>
      </c>
      <c r="M1200" s="73">
        <v>-5128199.6900000004</v>
      </c>
      <c r="N1200" s="74">
        <v>0</v>
      </c>
      <c r="O1200" s="73">
        <v>0</v>
      </c>
      <c r="P1200" s="74">
        <v>0</v>
      </c>
      <c r="Q1200" s="73">
        <v>-43199.69</v>
      </c>
      <c r="R1200" s="71" t="s">
        <v>625</v>
      </c>
      <c r="S1200" s="71">
        <v>7414000005</v>
      </c>
      <c r="AB1200"/>
      <c r="AC1200"/>
    </row>
    <row r="1201" spans="1:29" x14ac:dyDescent="0.25">
      <c r="A1201" t="str">
        <f t="shared" si="19"/>
        <v xml:space="preserve">2000941GCC *               </v>
      </c>
      <c r="B1201" s="71">
        <v>2000941</v>
      </c>
      <c r="C1201" s="71" t="s">
        <v>817</v>
      </c>
      <c r="D1201" s="71" t="s">
        <v>373</v>
      </c>
      <c r="E1201" s="71" t="s">
        <v>623</v>
      </c>
      <c r="F1201" s="71" t="s">
        <v>624</v>
      </c>
      <c r="G1201" s="74">
        <v>208400</v>
      </c>
      <c r="H1201" s="72">
        <v>176.44</v>
      </c>
      <c r="I1201" s="73">
        <v>36770096</v>
      </c>
      <c r="J1201" s="72">
        <v>27.264970681381957</v>
      </c>
      <c r="K1201" s="73">
        <v>79222211.890000001</v>
      </c>
      <c r="L1201" s="74">
        <v>-208400</v>
      </c>
      <c r="M1201" s="73">
        <v>-36743086.380000003</v>
      </c>
      <c r="N1201" s="74">
        <v>0</v>
      </c>
      <c r="O1201" s="73">
        <v>0</v>
      </c>
      <c r="P1201" s="74">
        <v>0</v>
      </c>
      <c r="Q1201" s="73">
        <v>27009.62</v>
      </c>
      <c r="R1201" s="71" t="s">
        <v>625</v>
      </c>
      <c r="S1201" s="71">
        <v>7414000005</v>
      </c>
      <c r="AB1201"/>
      <c r="AC1201"/>
    </row>
    <row r="1202" spans="1:29" x14ac:dyDescent="0.25">
      <c r="A1202" t="str">
        <f t="shared" si="19"/>
        <v xml:space="preserve">2000941GENTERA *           </v>
      </c>
      <c r="B1202" s="71">
        <v>2000941</v>
      </c>
      <c r="C1202" s="71" t="s">
        <v>817</v>
      </c>
      <c r="D1202" s="71" t="s">
        <v>374</v>
      </c>
      <c r="E1202" s="71" t="s">
        <v>623</v>
      </c>
      <c r="F1202" s="71" t="s">
        <v>624</v>
      </c>
      <c r="G1202" s="74">
        <v>249100</v>
      </c>
      <c r="H1202" s="72">
        <v>104.12</v>
      </c>
      <c r="I1202" s="73">
        <v>25936292</v>
      </c>
      <c r="J1202" s="72">
        <v>3.2896445202729829</v>
      </c>
      <c r="K1202" s="73">
        <v>48362204.25</v>
      </c>
      <c r="L1202" s="74">
        <v>-207515</v>
      </c>
      <c r="M1202" s="73">
        <v>-21709658.379999999</v>
      </c>
      <c r="N1202" s="74">
        <v>0</v>
      </c>
      <c r="O1202" s="73">
        <v>0</v>
      </c>
      <c r="P1202" s="74">
        <v>41585</v>
      </c>
      <c r="Q1202" s="73">
        <v>4226633.62</v>
      </c>
      <c r="R1202" s="71" t="s">
        <v>625</v>
      </c>
      <c r="S1202" s="71">
        <v>7414000005</v>
      </c>
      <c r="AB1202"/>
      <c r="AC1202"/>
    </row>
    <row r="1203" spans="1:29" x14ac:dyDescent="0.25">
      <c r="A1203" t="str">
        <f t="shared" si="19"/>
        <v xml:space="preserve">2000941GFNORTE O           </v>
      </c>
      <c r="B1203" s="71">
        <v>2000941</v>
      </c>
      <c r="C1203" s="71" t="s">
        <v>817</v>
      </c>
      <c r="D1203" s="71" t="s">
        <v>499</v>
      </c>
      <c r="E1203" s="71" t="s">
        <v>623</v>
      </c>
      <c r="F1203" s="71" t="s">
        <v>624</v>
      </c>
      <c r="G1203" s="74">
        <v>112820</v>
      </c>
      <c r="H1203" s="72">
        <v>92.954503000000003</v>
      </c>
      <c r="I1203" s="73">
        <v>10487127.02846</v>
      </c>
      <c r="J1203" s="72">
        <v>2.8213604009927319E-2</v>
      </c>
      <c r="K1203" s="73">
        <v>20971070.998115599</v>
      </c>
      <c r="L1203" s="74">
        <v>-112820</v>
      </c>
      <c r="M1203" s="73">
        <v>-10586971.74</v>
      </c>
      <c r="N1203" s="74">
        <v>0</v>
      </c>
      <c r="O1203" s="73">
        <v>0</v>
      </c>
      <c r="P1203" s="74">
        <v>0</v>
      </c>
      <c r="Q1203" s="73">
        <v>-99844.711540000004</v>
      </c>
      <c r="R1203" s="71" t="s">
        <v>625</v>
      </c>
      <c r="S1203" s="71">
        <v>7414000005</v>
      </c>
      <c r="AB1203"/>
      <c r="AC1203"/>
    </row>
    <row r="1204" spans="1:29" x14ac:dyDescent="0.25">
      <c r="A1204" t="str">
        <f t="shared" si="19"/>
        <v xml:space="preserve">2000941GMEXICO B           </v>
      </c>
      <c r="B1204" s="71">
        <v>2000941</v>
      </c>
      <c r="C1204" s="71" t="s">
        <v>817</v>
      </c>
      <c r="D1204" s="71" t="s">
        <v>380</v>
      </c>
      <c r="E1204" s="71" t="s">
        <v>623</v>
      </c>
      <c r="F1204" s="71" t="s">
        <v>624</v>
      </c>
      <c r="G1204" s="74">
        <v>0</v>
      </c>
      <c r="H1204" s="72">
        <v>0</v>
      </c>
      <c r="I1204" s="73">
        <v>0</v>
      </c>
      <c r="J1204" s="72">
        <v>0</v>
      </c>
      <c r="K1204" s="73">
        <v>-187237.269</v>
      </c>
      <c r="L1204" s="74">
        <v>1700000</v>
      </c>
      <c r="M1204" s="73">
        <v>163460947.00999999</v>
      </c>
      <c r="N1204" s="74">
        <v>0</v>
      </c>
      <c r="O1204" s="73">
        <v>0</v>
      </c>
      <c r="P1204" s="74">
        <v>1700000</v>
      </c>
      <c r="Q1204" s="73">
        <v>163460947.00999999</v>
      </c>
      <c r="R1204" s="71" t="s">
        <v>625</v>
      </c>
      <c r="S1204" s="71">
        <v>7414000005</v>
      </c>
      <c r="AB1204"/>
      <c r="AC1204"/>
    </row>
    <row r="1205" spans="1:29" x14ac:dyDescent="0.25">
      <c r="A1205" t="str">
        <f t="shared" si="19"/>
        <v xml:space="preserve">2000941GOBFED 260903       </v>
      </c>
      <c r="B1205" s="71">
        <v>2000941</v>
      </c>
      <c r="C1205" s="71" t="s">
        <v>817</v>
      </c>
      <c r="D1205" s="71" t="s">
        <v>507</v>
      </c>
      <c r="E1205" s="71" t="s">
        <v>623</v>
      </c>
      <c r="F1205" s="71" t="s">
        <v>624</v>
      </c>
      <c r="G1205" s="74">
        <v>40310</v>
      </c>
      <c r="H1205" s="72">
        <v>94.864168000000006</v>
      </c>
      <c r="I1205" s="73">
        <v>3823974.6120799999</v>
      </c>
      <c r="J1205" s="72">
        <v>1.27952157</v>
      </c>
      <c r="K1205" s="73">
        <v>7596371.7096733004</v>
      </c>
      <c r="L1205" s="74">
        <v>-40310</v>
      </c>
      <c r="M1205" s="73">
        <v>-3866855.95</v>
      </c>
      <c r="N1205" s="74">
        <v>0</v>
      </c>
      <c r="O1205" s="73">
        <v>0</v>
      </c>
      <c r="P1205" s="74">
        <v>0</v>
      </c>
      <c r="Q1205" s="73">
        <v>-42881.337919999998</v>
      </c>
      <c r="R1205" s="71" t="s">
        <v>625</v>
      </c>
      <c r="S1205" s="71">
        <v>7414000005</v>
      </c>
      <c r="AB1205"/>
      <c r="AC1205"/>
    </row>
    <row r="1206" spans="1:29" x14ac:dyDescent="0.25">
      <c r="A1206" t="str">
        <f t="shared" si="19"/>
        <v xml:space="preserve">2000941GOBFED 270603       </v>
      </c>
      <c r="B1206" s="71">
        <v>2000941</v>
      </c>
      <c r="C1206" s="71" t="s">
        <v>817</v>
      </c>
      <c r="D1206" s="71" t="s">
        <v>381</v>
      </c>
      <c r="E1206" s="71" t="s">
        <v>623</v>
      </c>
      <c r="F1206" s="71" t="s">
        <v>624</v>
      </c>
      <c r="G1206" s="74">
        <v>100000</v>
      </c>
      <c r="H1206" s="72">
        <v>94.870157000000006</v>
      </c>
      <c r="I1206" s="73">
        <v>9487015.6999999993</v>
      </c>
      <c r="J1206" s="72">
        <v>3.5547954499999999</v>
      </c>
      <c r="K1206" s="73">
        <v>18618551.855</v>
      </c>
      <c r="L1206" s="74">
        <v>-100000</v>
      </c>
      <c r="M1206" s="73">
        <v>-9795321.1300000008</v>
      </c>
      <c r="N1206" s="74">
        <v>0</v>
      </c>
      <c r="O1206" s="73">
        <v>0</v>
      </c>
      <c r="P1206" s="74">
        <v>0</v>
      </c>
      <c r="Q1206" s="73">
        <v>-308305.43</v>
      </c>
      <c r="R1206" s="71" t="s">
        <v>625</v>
      </c>
      <c r="S1206" s="71">
        <v>7414000005</v>
      </c>
      <c r="AB1206"/>
      <c r="AC1206"/>
    </row>
    <row r="1207" spans="1:29" x14ac:dyDescent="0.25">
      <c r="A1207" t="str">
        <f t="shared" si="19"/>
        <v xml:space="preserve">2000941GOBFED 290301       </v>
      </c>
      <c r="B1207" s="71">
        <v>2000941</v>
      </c>
      <c r="C1207" s="71" t="s">
        <v>817</v>
      </c>
      <c r="D1207" s="71" t="s">
        <v>382</v>
      </c>
      <c r="E1207" s="71" t="s">
        <v>623</v>
      </c>
      <c r="F1207" s="71" t="s">
        <v>624</v>
      </c>
      <c r="G1207" s="74">
        <v>26947</v>
      </c>
      <c r="H1207" s="72">
        <v>89.489464999999996</v>
      </c>
      <c r="I1207" s="73">
        <v>2411472.613355</v>
      </c>
      <c r="J1207" s="72">
        <v>5750.4020487202688</v>
      </c>
      <c r="K1207" s="73">
        <v>-412520.89351009001</v>
      </c>
      <c r="L1207" s="74">
        <v>1700000</v>
      </c>
      <c r="M1207" s="73">
        <v>157269859.53999999</v>
      </c>
      <c r="N1207" s="74">
        <v>0</v>
      </c>
      <c r="O1207" s="73">
        <v>0</v>
      </c>
      <c r="P1207" s="74">
        <v>1726947</v>
      </c>
      <c r="Q1207" s="73">
        <v>159681332.153355</v>
      </c>
      <c r="R1207" s="71" t="s">
        <v>625</v>
      </c>
      <c r="S1207" s="71">
        <v>7414000005</v>
      </c>
      <c r="AB1207"/>
      <c r="AC1207"/>
    </row>
    <row r="1208" spans="1:29" x14ac:dyDescent="0.25">
      <c r="A1208" t="str">
        <f t="shared" si="19"/>
        <v xml:space="preserve">2000941GOBFED 290531       </v>
      </c>
      <c r="B1208" s="71">
        <v>2000941</v>
      </c>
      <c r="C1208" s="71" t="s">
        <v>817</v>
      </c>
      <c r="D1208" s="71" t="s">
        <v>383</v>
      </c>
      <c r="E1208" s="71" t="s">
        <v>623</v>
      </c>
      <c r="F1208" s="71" t="s">
        <v>624</v>
      </c>
      <c r="G1208" s="74">
        <v>67810</v>
      </c>
      <c r="H1208" s="72">
        <v>86.197128000000006</v>
      </c>
      <c r="I1208" s="73">
        <v>5845027.2496800004</v>
      </c>
      <c r="J1208" s="72">
        <v>3.7868230498982451</v>
      </c>
      <c r="K1208" s="73">
        <v>11433270.028346401</v>
      </c>
      <c r="L1208" s="74">
        <v>-67810</v>
      </c>
      <c r="M1208" s="73">
        <v>-6038229.0300000003</v>
      </c>
      <c r="N1208" s="74">
        <v>0</v>
      </c>
      <c r="O1208" s="73">
        <v>0</v>
      </c>
      <c r="P1208" s="74">
        <v>0</v>
      </c>
      <c r="Q1208" s="73">
        <v>-193201.78031999999</v>
      </c>
      <c r="R1208" s="71" t="s">
        <v>625</v>
      </c>
      <c r="S1208" s="71">
        <v>7414000005</v>
      </c>
      <c r="AB1208"/>
      <c r="AC1208"/>
    </row>
    <row r="1209" spans="1:29" x14ac:dyDescent="0.25">
      <c r="A1209" t="str">
        <f t="shared" si="19"/>
        <v xml:space="preserve">2000941GOBFED 310529       </v>
      </c>
      <c r="B1209" s="71">
        <v>2000941</v>
      </c>
      <c r="C1209" s="71" t="s">
        <v>817</v>
      </c>
      <c r="D1209" s="71" t="s">
        <v>408</v>
      </c>
      <c r="E1209" s="71" t="s">
        <v>623</v>
      </c>
      <c r="F1209" s="71" t="s">
        <v>624</v>
      </c>
      <c r="G1209" s="74">
        <v>100000</v>
      </c>
      <c r="H1209" s="72">
        <v>89.643172000000007</v>
      </c>
      <c r="I1209" s="73">
        <v>8964317.1999999993</v>
      </c>
      <c r="J1209" s="72">
        <v>1629.3763166599999</v>
      </c>
      <c r="K1209" s="73">
        <v>-1579922.0660000001</v>
      </c>
      <c r="L1209" s="74">
        <v>1700000</v>
      </c>
      <c r="M1209" s="73">
        <v>158510544.72999999</v>
      </c>
      <c r="N1209" s="74">
        <v>0</v>
      </c>
      <c r="O1209" s="73">
        <v>0</v>
      </c>
      <c r="P1209" s="74">
        <v>1800000</v>
      </c>
      <c r="Q1209" s="73">
        <v>167474861.93000001</v>
      </c>
      <c r="R1209" s="71" t="s">
        <v>625</v>
      </c>
      <c r="S1209" s="71">
        <v>7414000005</v>
      </c>
      <c r="AB1209"/>
      <c r="AC1209"/>
    </row>
    <row r="1210" spans="1:29" x14ac:dyDescent="0.25">
      <c r="A1210" t="str">
        <f t="shared" si="19"/>
        <v xml:space="preserve">2000941GOBFED 330526       </v>
      </c>
      <c r="B1210" s="71">
        <v>2000941</v>
      </c>
      <c r="C1210" s="71" t="s">
        <v>817</v>
      </c>
      <c r="D1210" s="71" t="s">
        <v>384</v>
      </c>
      <c r="E1210" s="71" t="s">
        <v>623</v>
      </c>
      <c r="F1210" s="71" t="s">
        <v>624</v>
      </c>
      <c r="G1210" s="74">
        <v>52046</v>
      </c>
      <c r="H1210" s="72">
        <v>81.738860000000003</v>
      </c>
      <c r="I1210" s="73">
        <v>4254180.70756</v>
      </c>
      <c r="J1210" s="72">
        <v>3.6395684427425739</v>
      </c>
      <c r="K1210" s="73">
        <v>8318936.4359490201</v>
      </c>
      <c r="L1210" s="74">
        <v>-52046</v>
      </c>
      <c r="M1210" s="73">
        <v>-4410656</v>
      </c>
      <c r="N1210" s="74">
        <v>0</v>
      </c>
      <c r="O1210" s="73">
        <v>0</v>
      </c>
      <c r="P1210" s="74">
        <v>0</v>
      </c>
      <c r="Q1210" s="73">
        <v>-156475.29243999999</v>
      </c>
      <c r="R1210" s="71" t="s">
        <v>625</v>
      </c>
      <c r="S1210" s="71">
        <v>7414000005</v>
      </c>
      <c r="AB1210"/>
      <c r="AC1210"/>
    </row>
    <row r="1211" spans="1:29" x14ac:dyDescent="0.25">
      <c r="A1211" t="str">
        <f t="shared" si="19"/>
        <v xml:space="preserve">2000941GOBFED 381118       </v>
      </c>
      <c r="B1211" s="71">
        <v>2000941</v>
      </c>
      <c r="C1211" s="71" t="s">
        <v>817</v>
      </c>
      <c r="D1211" s="71" t="s">
        <v>385</v>
      </c>
      <c r="E1211" s="71" t="s">
        <v>623</v>
      </c>
      <c r="F1211" s="71" t="s">
        <v>624</v>
      </c>
      <c r="G1211" s="74">
        <v>21353</v>
      </c>
      <c r="H1211" s="72">
        <v>83.200761</v>
      </c>
      <c r="I1211" s="73">
        <v>1776585.8496330001</v>
      </c>
      <c r="J1211" s="72">
        <v>6.0626566799999999</v>
      </c>
      <c r="K1211" s="73">
        <v>3423715.7911779601</v>
      </c>
      <c r="L1211" s="74">
        <v>-21353</v>
      </c>
      <c r="M1211" s="73">
        <v>-1839649.01</v>
      </c>
      <c r="N1211" s="74">
        <v>0</v>
      </c>
      <c r="O1211" s="73">
        <v>0</v>
      </c>
      <c r="P1211" s="74">
        <v>0</v>
      </c>
      <c r="Q1211" s="73">
        <v>-63063.160366999997</v>
      </c>
      <c r="R1211" s="71" t="s">
        <v>625</v>
      </c>
      <c r="S1211" s="71">
        <v>7414000005</v>
      </c>
      <c r="AB1211"/>
      <c r="AC1211"/>
    </row>
    <row r="1212" spans="1:29" x14ac:dyDescent="0.25">
      <c r="A1212" t="str">
        <f t="shared" si="19"/>
        <v xml:space="preserve">2000941GOBFED 421113       </v>
      </c>
      <c r="B1212" s="71">
        <v>2000941</v>
      </c>
      <c r="C1212" s="71" t="s">
        <v>817</v>
      </c>
      <c r="D1212" s="71" t="s">
        <v>386</v>
      </c>
      <c r="E1212" s="71" t="s">
        <v>623</v>
      </c>
      <c r="F1212" s="71" t="s">
        <v>624</v>
      </c>
      <c r="G1212" s="74">
        <v>20529</v>
      </c>
      <c r="H1212" s="72">
        <v>82.159907000000004</v>
      </c>
      <c r="I1212" s="73">
        <v>1686660.730803</v>
      </c>
      <c r="J1212" s="72">
        <v>6.2834505600000004</v>
      </c>
      <c r="K1212" s="73">
        <v>3244328.5050597601</v>
      </c>
      <c r="L1212" s="74">
        <v>-20529</v>
      </c>
      <c r="M1212" s="73">
        <v>-1710713.91</v>
      </c>
      <c r="N1212" s="74">
        <v>0</v>
      </c>
      <c r="O1212" s="73">
        <v>0</v>
      </c>
      <c r="P1212" s="74">
        <v>0</v>
      </c>
      <c r="Q1212" s="73">
        <v>-24053.179197000001</v>
      </c>
      <c r="R1212" s="71" t="s">
        <v>625</v>
      </c>
      <c r="S1212" s="71">
        <v>7414000005</v>
      </c>
      <c r="AB1212"/>
      <c r="AC1212"/>
    </row>
    <row r="1213" spans="1:29" x14ac:dyDescent="0.25">
      <c r="A1213" t="str">
        <f t="shared" si="19"/>
        <v xml:space="preserve">2000941GOBFED 471107       </v>
      </c>
      <c r="B1213" s="71">
        <v>2000941</v>
      </c>
      <c r="C1213" s="71" t="s">
        <v>817</v>
      </c>
      <c r="D1213" s="71" t="s">
        <v>387</v>
      </c>
      <c r="E1213" s="71" t="s">
        <v>623</v>
      </c>
      <c r="F1213" s="71" t="s">
        <v>624</v>
      </c>
      <c r="G1213" s="74">
        <v>23400</v>
      </c>
      <c r="H1213" s="72">
        <v>314.42</v>
      </c>
      <c r="I1213" s="73">
        <v>7357428</v>
      </c>
      <c r="J1213" s="72">
        <v>47.647804273504271</v>
      </c>
      <c r="K1213" s="73">
        <v>15829814.619999999</v>
      </c>
      <c r="L1213" s="74">
        <v>-23400</v>
      </c>
      <c r="M1213" s="73">
        <v>-7440317.6200000001</v>
      </c>
      <c r="N1213" s="74">
        <v>0</v>
      </c>
      <c r="O1213" s="73">
        <v>0</v>
      </c>
      <c r="P1213" s="74">
        <v>0</v>
      </c>
      <c r="Q1213" s="73">
        <v>-82889.62</v>
      </c>
      <c r="R1213" s="71" t="s">
        <v>625</v>
      </c>
      <c r="S1213" s="71">
        <v>7414000005</v>
      </c>
      <c r="AB1213"/>
      <c r="AC1213"/>
    </row>
    <row r="1214" spans="1:29" x14ac:dyDescent="0.25">
      <c r="A1214" t="str">
        <f t="shared" si="19"/>
        <v xml:space="preserve">2000941GOBFED 530731       </v>
      </c>
      <c r="B1214" s="71">
        <v>2000941</v>
      </c>
      <c r="C1214" s="71" t="s">
        <v>817</v>
      </c>
      <c r="D1214" s="71" t="s">
        <v>419</v>
      </c>
      <c r="E1214" s="71" t="s">
        <v>623</v>
      </c>
      <c r="F1214" s="71" t="s">
        <v>624</v>
      </c>
      <c r="G1214" s="74">
        <v>0</v>
      </c>
      <c r="H1214" s="72">
        <v>0</v>
      </c>
      <c r="I1214" s="73">
        <v>0</v>
      </c>
      <c r="J1214" s="72">
        <v>0</v>
      </c>
      <c r="K1214" s="73">
        <v>0</v>
      </c>
      <c r="L1214" s="74">
        <v>0</v>
      </c>
      <c r="M1214" s="73">
        <v>0</v>
      </c>
      <c r="N1214" s="74">
        <v>0</v>
      </c>
      <c r="O1214" s="73">
        <v>0</v>
      </c>
      <c r="P1214" s="74">
        <v>0</v>
      </c>
      <c r="Q1214" s="73">
        <v>0</v>
      </c>
      <c r="R1214" s="71" t="s">
        <v>625</v>
      </c>
      <c r="S1214" s="71">
        <v>7414000005</v>
      </c>
      <c r="AB1214"/>
      <c r="AC1214"/>
    </row>
    <row r="1215" spans="1:29" x14ac:dyDescent="0.25">
      <c r="A1215" t="str">
        <f t="shared" si="19"/>
        <v xml:space="preserve">2000941GRUMA B             </v>
      </c>
      <c r="B1215" s="71">
        <v>2000941</v>
      </c>
      <c r="C1215" s="71" t="s">
        <v>817</v>
      </c>
      <c r="D1215" s="71" t="s">
        <v>388</v>
      </c>
      <c r="E1215" s="71" t="s">
        <v>623</v>
      </c>
      <c r="F1215" s="71" t="s">
        <v>624</v>
      </c>
      <c r="G1215" s="74">
        <v>4450</v>
      </c>
      <c r="H1215" s="72">
        <v>8532.5</v>
      </c>
      <c r="I1215" s="73">
        <v>37969625</v>
      </c>
      <c r="J1215" s="72">
        <v>749.31582022471912</v>
      </c>
      <c r="K1215" s="73">
        <v>79273705.400000006</v>
      </c>
      <c r="L1215" s="74">
        <v>-4450</v>
      </c>
      <c r="M1215" s="73">
        <v>-38402610</v>
      </c>
      <c r="N1215" s="74">
        <v>0</v>
      </c>
      <c r="O1215" s="73">
        <v>0</v>
      </c>
      <c r="P1215" s="74">
        <v>0</v>
      </c>
      <c r="Q1215" s="73">
        <v>-432985</v>
      </c>
      <c r="R1215" s="71" t="s">
        <v>625</v>
      </c>
      <c r="S1215" s="71">
        <v>7414000005</v>
      </c>
      <c r="AB1215"/>
      <c r="AC1215"/>
    </row>
    <row r="1216" spans="1:29" x14ac:dyDescent="0.25">
      <c r="A1216" t="str">
        <f t="shared" si="19"/>
        <v xml:space="preserve">2000941IENOVA *            </v>
      </c>
      <c r="B1216" s="71">
        <v>2000941</v>
      </c>
      <c r="C1216" s="71" t="s">
        <v>817</v>
      </c>
      <c r="D1216" s="71" t="s">
        <v>578</v>
      </c>
      <c r="E1216" s="71" t="s">
        <v>623</v>
      </c>
      <c r="F1216" s="71" t="s">
        <v>624</v>
      </c>
      <c r="G1216" s="74">
        <v>114687</v>
      </c>
      <c r="H1216" s="72">
        <v>12.29</v>
      </c>
      <c r="I1216" s="73">
        <v>1409503.23</v>
      </c>
      <c r="J1216" s="72">
        <v>18.874792522256229</v>
      </c>
      <c r="K1216" s="73">
        <v>-755190.1</v>
      </c>
      <c r="L1216" s="74">
        <v>0</v>
      </c>
      <c r="M1216" s="73">
        <v>0</v>
      </c>
      <c r="N1216" s="74">
        <v>0</v>
      </c>
      <c r="O1216" s="73">
        <v>0</v>
      </c>
      <c r="P1216" s="74">
        <v>114687</v>
      </c>
      <c r="Q1216" s="73">
        <v>1409503.23</v>
      </c>
      <c r="R1216" s="71" t="s">
        <v>625</v>
      </c>
      <c r="S1216" s="71">
        <v>7414000005</v>
      </c>
      <c r="AB1216"/>
      <c r="AC1216"/>
    </row>
    <row r="1217" spans="1:29" x14ac:dyDescent="0.25">
      <c r="A1217" t="str">
        <f t="shared" si="19"/>
        <v xml:space="preserve">2000941IVV *               </v>
      </c>
      <c r="B1217" s="71">
        <v>2000941</v>
      </c>
      <c r="C1217" s="71" t="s">
        <v>817</v>
      </c>
      <c r="D1217" s="71" t="s">
        <v>579</v>
      </c>
      <c r="E1217" s="71" t="s">
        <v>623</v>
      </c>
      <c r="F1217" s="71" t="s">
        <v>624</v>
      </c>
      <c r="G1217" s="74">
        <v>268750</v>
      </c>
      <c r="H1217" s="72">
        <v>92.873472000000007</v>
      </c>
      <c r="I1217" s="73">
        <v>24959745.600000001</v>
      </c>
      <c r="J1217" s="72">
        <v>100</v>
      </c>
      <c r="K1217" s="73">
        <v>-1915254.4</v>
      </c>
      <c r="L1217" s="74">
        <v>0</v>
      </c>
      <c r="M1217" s="73">
        <v>0</v>
      </c>
      <c r="N1217" s="74">
        <v>0</v>
      </c>
      <c r="O1217" s="73">
        <v>0</v>
      </c>
      <c r="P1217" s="74">
        <v>268750</v>
      </c>
      <c r="Q1217" s="73">
        <v>24959745.600000001</v>
      </c>
      <c r="R1217" s="71" t="s">
        <v>625</v>
      </c>
      <c r="S1217" s="71">
        <v>7414000005</v>
      </c>
      <c r="AB1217"/>
      <c r="AC1217"/>
    </row>
    <row r="1218" spans="1:29" x14ac:dyDescent="0.25">
      <c r="A1218" t="str">
        <f t="shared" si="19"/>
        <v xml:space="preserve">2000941JAVER *             </v>
      </c>
      <c r="B1218" s="71">
        <v>2000941</v>
      </c>
      <c r="C1218" s="71" t="s">
        <v>817</v>
      </c>
      <c r="D1218" s="71" t="s">
        <v>580</v>
      </c>
      <c r="E1218" s="71" t="s">
        <v>623</v>
      </c>
      <c r="F1218" s="71" t="s">
        <v>624</v>
      </c>
      <c r="G1218" s="74">
        <v>178200</v>
      </c>
      <c r="H1218" s="72">
        <v>38.369999999999997</v>
      </c>
      <c r="I1218" s="73">
        <v>6837534</v>
      </c>
      <c r="J1218" s="72">
        <v>3.9521592592592594</v>
      </c>
      <c r="K1218" s="73">
        <v>14379342.779999999</v>
      </c>
      <c r="L1218" s="74">
        <v>-178200</v>
      </c>
      <c r="M1218" s="73">
        <v>-6831524.3899999997</v>
      </c>
      <c r="N1218" s="74">
        <v>0</v>
      </c>
      <c r="O1218" s="73">
        <v>0</v>
      </c>
      <c r="P1218" s="74">
        <v>0</v>
      </c>
      <c r="Q1218" s="73">
        <v>6009.61</v>
      </c>
      <c r="R1218" s="71" t="s">
        <v>625</v>
      </c>
      <c r="S1218" s="71">
        <v>7414000005</v>
      </c>
      <c r="AB1218"/>
      <c r="AC1218"/>
    </row>
    <row r="1219" spans="1:29" x14ac:dyDescent="0.25">
      <c r="A1219" t="str">
        <f t="shared" si="19"/>
        <v xml:space="preserve">2000941KIMBER 22           </v>
      </c>
      <c r="B1219" s="71">
        <v>2000941</v>
      </c>
      <c r="C1219" s="71" t="s">
        <v>817</v>
      </c>
      <c r="D1219" s="71" t="s">
        <v>581</v>
      </c>
      <c r="E1219" s="71" t="s">
        <v>623</v>
      </c>
      <c r="F1219" s="71" t="s">
        <v>624</v>
      </c>
      <c r="G1219" s="74">
        <v>15425</v>
      </c>
      <c r="H1219" s="72">
        <v>99.998991000000004</v>
      </c>
      <c r="I1219" s="73">
        <v>1542484.4361749999</v>
      </c>
      <c r="J1219" s="72">
        <v>100</v>
      </c>
      <c r="K1219" s="73">
        <v>-15.563825</v>
      </c>
      <c r="L1219" s="74">
        <v>0</v>
      </c>
      <c r="M1219" s="73">
        <v>0</v>
      </c>
      <c r="N1219" s="74">
        <v>0</v>
      </c>
      <c r="O1219" s="73">
        <v>0</v>
      </c>
      <c r="P1219" s="74">
        <v>15425</v>
      </c>
      <c r="Q1219" s="73">
        <v>1542484.4361749999</v>
      </c>
      <c r="R1219" s="71" t="s">
        <v>625</v>
      </c>
      <c r="S1219" s="71">
        <v>7414000005</v>
      </c>
      <c r="AB1219"/>
      <c r="AC1219"/>
    </row>
    <row r="1220" spans="1:29" x14ac:dyDescent="0.25">
      <c r="A1220" t="str">
        <f t="shared" si="19"/>
        <v xml:space="preserve">2000941KIMBER A            </v>
      </c>
      <c r="B1220" s="71">
        <v>2000941</v>
      </c>
      <c r="C1220" s="71" t="s">
        <v>817</v>
      </c>
      <c r="D1220" s="71" t="s">
        <v>539</v>
      </c>
      <c r="E1220" s="71" t="s">
        <v>623</v>
      </c>
      <c r="F1220" s="71" t="s">
        <v>624</v>
      </c>
      <c r="G1220" s="74">
        <v>35990</v>
      </c>
      <c r="H1220" s="72">
        <v>158.63</v>
      </c>
      <c r="I1220" s="73">
        <v>5709093.7000000002</v>
      </c>
      <c r="J1220" s="72">
        <v>23.735027507641011</v>
      </c>
      <c r="K1220" s="73">
        <v>12272411.039999999</v>
      </c>
      <c r="L1220" s="74">
        <v>-35990</v>
      </c>
      <c r="M1220" s="73">
        <v>-5774051.8499999996</v>
      </c>
      <c r="N1220" s="74">
        <v>0</v>
      </c>
      <c r="O1220" s="73">
        <v>0</v>
      </c>
      <c r="P1220" s="74">
        <v>0</v>
      </c>
      <c r="Q1220" s="73">
        <v>-64958.15</v>
      </c>
      <c r="R1220" s="71" t="s">
        <v>625</v>
      </c>
      <c r="S1220" s="71">
        <v>7414000005</v>
      </c>
      <c r="AB1220"/>
      <c r="AC1220"/>
    </row>
    <row r="1221" spans="1:29" x14ac:dyDescent="0.25">
      <c r="A1221" t="str">
        <f t="shared" si="19"/>
        <v xml:space="preserve">2000941KOF 21-2L           </v>
      </c>
      <c r="B1221" s="71">
        <v>2000941</v>
      </c>
      <c r="C1221" s="71" t="s">
        <v>817</v>
      </c>
      <c r="D1221" s="71" t="s">
        <v>541</v>
      </c>
      <c r="E1221" s="71" t="s">
        <v>623</v>
      </c>
      <c r="F1221" s="71" t="s">
        <v>624</v>
      </c>
      <c r="G1221" s="74">
        <v>32400</v>
      </c>
      <c r="H1221" s="72">
        <v>156</v>
      </c>
      <c r="I1221" s="73">
        <v>5054400</v>
      </c>
      <c r="J1221" s="72">
        <v>17.806790432098765</v>
      </c>
      <c r="K1221" s="73">
        <v>10685740.01</v>
      </c>
      <c r="L1221" s="74">
        <v>-32400</v>
      </c>
      <c r="M1221" s="73">
        <v>-5059432.07</v>
      </c>
      <c r="N1221" s="74">
        <v>0</v>
      </c>
      <c r="O1221" s="73">
        <v>0</v>
      </c>
      <c r="P1221" s="74">
        <v>0</v>
      </c>
      <c r="Q1221" s="73">
        <v>-5032.07</v>
      </c>
      <c r="R1221" s="71" t="s">
        <v>625</v>
      </c>
      <c r="S1221" s="71">
        <v>7414000005</v>
      </c>
      <c r="AB1221"/>
      <c r="AC1221"/>
    </row>
    <row r="1222" spans="1:29" x14ac:dyDescent="0.25">
      <c r="A1222" t="str">
        <f t="shared" si="19"/>
        <v xml:space="preserve">2000941KOF UBL             </v>
      </c>
      <c r="B1222" s="71">
        <v>2000941</v>
      </c>
      <c r="C1222" s="71" t="s">
        <v>817</v>
      </c>
      <c r="D1222" s="71" t="s">
        <v>501</v>
      </c>
      <c r="E1222" s="71" t="s">
        <v>623</v>
      </c>
      <c r="F1222" s="71" t="s">
        <v>624</v>
      </c>
      <c r="G1222" s="74">
        <v>17410</v>
      </c>
      <c r="H1222" s="72">
        <v>682.55</v>
      </c>
      <c r="I1222" s="73">
        <v>11883195.5</v>
      </c>
      <c r="J1222" s="72">
        <v>22.827044801838024</v>
      </c>
      <c r="K1222" s="73">
        <v>23368972.149999999</v>
      </c>
      <c r="L1222" s="74">
        <v>-17410</v>
      </c>
      <c r="M1222" s="73">
        <v>-11883195.5</v>
      </c>
      <c r="N1222" s="74">
        <v>0</v>
      </c>
      <c r="O1222" s="73">
        <v>0</v>
      </c>
      <c r="P1222" s="74">
        <v>0</v>
      </c>
      <c r="Q1222" s="73">
        <v>0</v>
      </c>
      <c r="R1222" s="71" t="s">
        <v>625</v>
      </c>
      <c r="S1222" s="71">
        <v>7414000005</v>
      </c>
      <c r="AB1222"/>
      <c r="AC1222"/>
    </row>
    <row r="1223" spans="1:29" x14ac:dyDescent="0.25">
      <c r="A1223" t="str">
        <f t="shared" ref="A1223:A1286" si="20">B1221&amp;D1221</f>
        <v xml:space="preserve">2000941R A                 </v>
      </c>
      <c r="B1223" s="71">
        <v>2000941</v>
      </c>
      <c r="C1223" s="71" t="s">
        <v>817</v>
      </c>
      <c r="D1223" s="71" t="s">
        <v>568</v>
      </c>
      <c r="E1223" s="71" t="s">
        <v>623</v>
      </c>
      <c r="F1223" s="71" t="s">
        <v>624</v>
      </c>
      <c r="G1223" s="74">
        <v>758611</v>
      </c>
      <c r="H1223" s="72">
        <v>48.559412999999999</v>
      </c>
      <c r="I1223" s="73">
        <v>36837704.855342999</v>
      </c>
      <c r="J1223" s="72">
        <v>5.3953107719239508</v>
      </c>
      <c r="K1223" s="73">
        <v>77768351.810686007</v>
      </c>
      <c r="L1223" s="74">
        <v>-758611</v>
      </c>
      <c r="M1223" s="73">
        <v>-36837704.859999999</v>
      </c>
      <c r="N1223" s="74">
        <v>0</v>
      </c>
      <c r="O1223" s="73">
        <v>0</v>
      </c>
      <c r="P1223" s="74">
        <v>0</v>
      </c>
      <c r="Q1223" s="73">
        <v>-4.6569999999999997E-3</v>
      </c>
      <c r="R1223" s="71" t="s">
        <v>625</v>
      </c>
      <c r="S1223" s="71">
        <v>7414000005</v>
      </c>
      <c r="AB1223"/>
      <c r="AC1223"/>
    </row>
    <row r="1224" spans="1:29" x14ac:dyDescent="0.25">
      <c r="A1224" t="str">
        <f t="shared" si="20"/>
        <v xml:space="preserve">2000941SPSM *              </v>
      </c>
      <c r="B1224" s="71">
        <v>2000941</v>
      </c>
      <c r="C1224" s="71" t="s">
        <v>817</v>
      </c>
      <c r="D1224" s="71" t="s">
        <v>569</v>
      </c>
      <c r="E1224" s="71" t="s">
        <v>623</v>
      </c>
      <c r="F1224" s="71" t="s">
        <v>624</v>
      </c>
      <c r="G1224" s="74">
        <v>11339728</v>
      </c>
      <c r="H1224" s="72">
        <v>3.5281129999999998</v>
      </c>
      <c r="I1224" s="73">
        <v>40007841.773263998</v>
      </c>
      <c r="J1224" s="72">
        <v>0.48951742846036517</v>
      </c>
      <c r="K1224" s="73">
        <v>85566678.036528006</v>
      </c>
      <c r="L1224" s="74">
        <v>-11339728</v>
      </c>
      <c r="M1224" s="73">
        <v>-40007841.770000003</v>
      </c>
      <c r="N1224" s="74">
        <v>0</v>
      </c>
      <c r="O1224" s="73">
        <v>0</v>
      </c>
      <c r="P1224" s="74">
        <v>0</v>
      </c>
      <c r="Q1224" s="73">
        <v>3.264E-3</v>
      </c>
      <c r="R1224" s="71" t="s">
        <v>625</v>
      </c>
      <c r="S1224" s="71">
        <v>7414000005</v>
      </c>
      <c r="AB1224"/>
      <c r="AC1224"/>
    </row>
    <row r="1225" spans="1:29" x14ac:dyDescent="0.25">
      <c r="A1225" t="str">
        <f t="shared" si="20"/>
        <v xml:space="preserve">2000941ST&amp;ER-7 ED          </v>
      </c>
      <c r="B1225" s="71">
        <v>2000941</v>
      </c>
      <c r="C1225" s="71" t="s">
        <v>817</v>
      </c>
      <c r="D1225" s="71" t="s">
        <v>389</v>
      </c>
      <c r="E1225" s="71" t="s">
        <v>623</v>
      </c>
      <c r="F1225" s="71" t="s">
        <v>624</v>
      </c>
      <c r="G1225" s="74">
        <v>43105121</v>
      </c>
      <c r="H1225" s="72">
        <v>3.3967719999999999</v>
      </c>
      <c r="I1225" s="73">
        <v>146418268.06941199</v>
      </c>
      <c r="J1225" s="72">
        <v>3.2661376435992375</v>
      </c>
      <c r="K1225" s="73">
        <v>5631009.7394120004</v>
      </c>
      <c r="L1225" s="74">
        <v>0</v>
      </c>
      <c r="M1225" s="73">
        <v>0</v>
      </c>
      <c r="N1225" s="74">
        <v>0</v>
      </c>
      <c r="O1225" s="73">
        <v>0</v>
      </c>
      <c r="P1225" s="74">
        <v>43105121</v>
      </c>
      <c r="Q1225" s="73">
        <v>146418268.06941199</v>
      </c>
      <c r="R1225" s="71" t="s">
        <v>625</v>
      </c>
      <c r="S1225" s="71">
        <v>7414000005</v>
      </c>
      <c r="AB1225"/>
      <c r="AC1225"/>
    </row>
    <row r="1226" spans="1:29" x14ac:dyDescent="0.25">
      <c r="A1226" t="str">
        <f t="shared" si="20"/>
        <v xml:space="preserve">2000941STEREAL ED          </v>
      </c>
      <c r="B1226" s="71">
        <v>2000941</v>
      </c>
      <c r="C1226" s="71" t="s">
        <v>817</v>
      </c>
      <c r="D1226" s="71" t="s">
        <v>582</v>
      </c>
      <c r="E1226" s="71" t="s">
        <v>623</v>
      </c>
      <c r="F1226" s="71" t="s">
        <v>624</v>
      </c>
      <c r="G1226" s="74">
        <v>60600</v>
      </c>
      <c r="H1226" s="72">
        <v>42.3</v>
      </c>
      <c r="I1226" s="73">
        <v>2563380</v>
      </c>
      <c r="J1226" s="72">
        <v>8.8620757425742571</v>
      </c>
      <c r="K1226" s="73">
        <v>5663801.79</v>
      </c>
      <c r="L1226" s="74">
        <v>-60600</v>
      </c>
      <c r="M1226" s="73">
        <v>-2568177.39</v>
      </c>
      <c r="N1226" s="74">
        <v>0</v>
      </c>
      <c r="O1226" s="73">
        <v>0</v>
      </c>
      <c r="P1226" s="74">
        <v>0</v>
      </c>
      <c r="Q1226" s="73">
        <v>-4797.3900000000003</v>
      </c>
      <c r="R1226" s="71" t="s">
        <v>625</v>
      </c>
      <c r="S1226" s="71">
        <v>7414000005</v>
      </c>
      <c r="AB1226"/>
      <c r="AC1226"/>
    </row>
    <row r="1227" spans="1:29" x14ac:dyDescent="0.25">
      <c r="A1227" t="str">
        <f t="shared" si="20"/>
        <v xml:space="preserve">2000941STERGOB ED          </v>
      </c>
      <c r="B1227" s="71">
        <v>2000941</v>
      </c>
      <c r="C1227" s="71" t="s">
        <v>817</v>
      </c>
      <c r="D1227" s="71" t="s">
        <v>391</v>
      </c>
      <c r="E1227" s="71" t="s">
        <v>623</v>
      </c>
      <c r="F1227" s="71" t="s">
        <v>624</v>
      </c>
      <c r="G1227" s="74">
        <v>1586</v>
      </c>
      <c r="H1227" s="72">
        <v>775.69178699999998</v>
      </c>
      <c r="I1227" s="73">
        <v>1230247.1741820001</v>
      </c>
      <c r="J1227" s="72">
        <v>9.7748114000000008</v>
      </c>
      <c r="K1227" s="73">
        <v>2475997.1992444</v>
      </c>
      <c r="L1227" s="74">
        <v>-1586</v>
      </c>
      <c r="M1227" s="73">
        <v>-1252598.3799999999</v>
      </c>
      <c r="N1227" s="74">
        <v>0</v>
      </c>
      <c r="O1227" s="73">
        <v>0</v>
      </c>
      <c r="P1227" s="74">
        <v>0</v>
      </c>
      <c r="Q1227" s="73">
        <v>-22351.205817999999</v>
      </c>
      <c r="R1227" s="71" t="s">
        <v>625</v>
      </c>
      <c r="S1227" s="71">
        <v>7414000005</v>
      </c>
      <c r="AB1227"/>
      <c r="AC1227"/>
    </row>
    <row r="1228" spans="1:29" x14ac:dyDescent="0.25">
      <c r="A1228" t="str">
        <f t="shared" si="20"/>
        <v xml:space="preserve">2000941TERRA 13            </v>
      </c>
      <c r="B1228" s="71">
        <v>2000941</v>
      </c>
      <c r="C1228" s="71" t="s">
        <v>817</v>
      </c>
      <c r="D1228" s="71" t="s">
        <v>392</v>
      </c>
      <c r="E1228" s="71" t="s">
        <v>623</v>
      </c>
      <c r="F1228" s="71" t="s">
        <v>624</v>
      </c>
      <c r="G1228" s="74">
        <v>1315</v>
      </c>
      <c r="H1228" s="72">
        <v>747.17843200000004</v>
      </c>
      <c r="I1228" s="73">
        <v>982539.63807999995</v>
      </c>
      <c r="J1228" s="72">
        <v>17.675020991346006</v>
      </c>
      <c r="K1228" s="73">
        <v>1988321.9287636201</v>
      </c>
      <c r="L1228" s="74">
        <v>-1315</v>
      </c>
      <c r="M1228" s="73">
        <v>-995203.6</v>
      </c>
      <c r="N1228" s="74">
        <v>0</v>
      </c>
      <c r="O1228" s="73">
        <v>0</v>
      </c>
      <c r="P1228" s="74">
        <v>0</v>
      </c>
      <c r="Q1228" s="73">
        <v>-12663.96192</v>
      </c>
      <c r="R1228" s="71" t="s">
        <v>625</v>
      </c>
      <c r="S1228" s="71">
        <v>7414000005</v>
      </c>
      <c r="AB1228"/>
      <c r="AC1228"/>
    </row>
    <row r="1229" spans="1:29" x14ac:dyDescent="0.25">
      <c r="A1229" t="str">
        <f t="shared" si="20"/>
        <v xml:space="preserve">2000941UDIBONO 251204      </v>
      </c>
      <c r="B1229" s="71">
        <v>2000941</v>
      </c>
      <c r="C1229" s="71" t="s">
        <v>817</v>
      </c>
      <c r="D1229" s="71" t="s">
        <v>393</v>
      </c>
      <c r="E1229" s="71" t="s">
        <v>623</v>
      </c>
      <c r="F1229" s="71" t="s">
        <v>624</v>
      </c>
      <c r="G1229" s="74">
        <v>1432</v>
      </c>
      <c r="H1229" s="72">
        <v>765.92388300000005</v>
      </c>
      <c r="I1229" s="73">
        <v>1096803.000456</v>
      </c>
      <c r="J1229" s="72">
        <v>5.9096264666689944</v>
      </c>
      <c r="K1229" s="73">
        <v>2202068.5860122698</v>
      </c>
      <c r="L1229" s="74">
        <v>-1432</v>
      </c>
      <c r="M1229" s="73">
        <v>-1115649.07</v>
      </c>
      <c r="N1229" s="74">
        <v>0</v>
      </c>
      <c r="O1229" s="73">
        <v>0</v>
      </c>
      <c r="P1229" s="74">
        <v>0</v>
      </c>
      <c r="Q1229" s="73">
        <v>-18846.069544000002</v>
      </c>
      <c r="R1229" s="71" t="s">
        <v>625</v>
      </c>
      <c r="S1229" s="71">
        <v>7414000005</v>
      </c>
      <c r="AB1229"/>
      <c r="AC1229"/>
    </row>
    <row r="1230" spans="1:29" x14ac:dyDescent="0.25">
      <c r="A1230" t="str">
        <f t="shared" si="20"/>
        <v xml:space="preserve">2000941UDIBONO 261203      </v>
      </c>
      <c r="B1230" s="71">
        <v>2000941</v>
      </c>
      <c r="C1230" s="71" t="s">
        <v>817</v>
      </c>
      <c r="D1230" s="71" t="s">
        <v>395</v>
      </c>
      <c r="E1230" s="71" t="s">
        <v>623</v>
      </c>
      <c r="F1230" s="71" t="s">
        <v>624</v>
      </c>
      <c r="G1230" s="74">
        <v>8909</v>
      </c>
      <c r="H1230" s="72">
        <v>772.926965</v>
      </c>
      <c r="I1230" s="73">
        <v>6886006.331185</v>
      </c>
      <c r="J1230" s="72">
        <v>31.998697119999999</v>
      </c>
      <c r="K1230" s="73">
        <v>13486936.269727919</v>
      </c>
      <c r="L1230" s="74">
        <v>-8909</v>
      </c>
      <c r="M1230" s="73">
        <v>-6992006.6399999997</v>
      </c>
      <c r="N1230" s="74">
        <v>0</v>
      </c>
      <c r="O1230" s="73">
        <v>0</v>
      </c>
      <c r="P1230" s="74">
        <v>0</v>
      </c>
      <c r="Q1230" s="73">
        <v>-106000.308815</v>
      </c>
      <c r="R1230" s="71" t="s">
        <v>625</v>
      </c>
      <c r="S1230" s="71">
        <v>7414000005</v>
      </c>
      <c r="AB1230"/>
      <c r="AC1230"/>
    </row>
    <row r="1231" spans="1:29" x14ac:dyDescent="0.25">
      <c r="A1231" t="str">
        <f t="shared" si="20"/>
        <v xml:space="preserve">2000941UDIBONO 281130      </v>
      </c>
      <c r="B1231" s="71">
        <v>2000941</v>
      </c>
      <c r="C1231" s="71" t="s">
        <v>817</v>
      </c>
      <c r="D1231" s="71" t="s">
        <v>396</v>
      </c>
      <c r="E1231" s="71" t="s">
        <v>623</v>
      </c>
      <c r="F1231" s="71" t="s">
        <v>624</v>
      </c>
      <c r="G1231" s="74">
        <v>11288</v>
      </c>
      <c r="H1231" s="72">
        <v>721.59464000000003</v>
      </c>
      <c r="I1231" s="73">
        <v>8145360.2963199997</v>
      </c>
      <c r="J1231" s="72">
        <v>25.376388410000001</v>
      </c>
      <c r="K1231" s="73">
        <v>16004271.920267919</v>
      </c>
      <c r="L1231" s="74">
        <v>-11288</v>
      </c>
      <c r="M1231" s="73">
        <v>-8264364.0300000003</v>
      </c>
      <c r="N1231" s="74">
        <v>0</v>
      </c>
      <c r="O1231" s="73">
        <v>0</v>
      </c>
      <c r="P1231" s="74">
        <v>0</v>
      </c>
      <c r="Q1231" s="73">
        <v>-119003.73368</v>
      </c>
      <c r="R1231" s="71" t="s">
        <v>625</v>
      </c>
      <c r="S1231" s="71">
        <v>7414000005</v>
      </c>
      <c r="AB1231"/>
      <c r="AC1231"/>
    </row>
    <row r="1232" spans="1:29" x14ac:dyDescent="0.25">
      <c r="A1232" t="str">
        <f t="shared" si="20"/>
        <v xml:space="preserve">2000941UDIBONO 351122      </v>
      </c>
      <c r="B1232" s="71">
        <v>2000941</v>
      </c>
      <c r="C1232" s="71" t="s">
        <v>817</v>
      </c>
      <c r="D1232" s="71" t="s">
        <v>397</v>
      </c>
      <c r="E1232" s="71" t="s">
        <v>623</v>
      </c>
      <c r="F1232" s="71" t="s">
        <v>624</v>
      </c>
      <c r="G1232" s="74">
        <v>794</v>
      </c>
      <c r="H1232" s="72">
        <v>635.96311900000001</v>
      </c>
      <c r="I1232" s="73">
        <v>504954.71648599999</v>
      </c>
      <c r="J1232" s="72">
        <v>38.160738819999999</v>
      </c>
      <c r="K1232" s="73">
        <v>979609.80634891998</v>
      </c>
      <c r="L1232" s="74">
        <v>-794</v>
      </c>
      <c r="M1232" s="73">
        <v>-511907.61</v>
      </c>
      <c r="N1232" s="74">
        <v>0</v>
      </c>
      <c r="O1232" s="73">
        <v>0</v>
      </c>
      <c r="P1232" s="74">
        <v>0</v>
      </c>
      <c r="Q1232" s="73">
        <v>-6952.8935140000003</v>
      </c>
      <c r="R1232" s="71" t="s">
        <v>625</v>
      </c>
      <c r="S1232" s="71">
        <v>7414000005</v>
      </c>
      <c r="AB1232"/>
      <c r="AC1232"/>
    </row>
    <row r="1233" spans="1:29" x14ac:dyDescent="0.25">
      <c r="A1233" t="str">
        <f t="shared" si="20"/>
        <v xml:space="preserve">2000941UDIBONO 401115      </v>
      </c>
      <c r="B1233" s="71">
        <v>2000941</v>
      </c>
      <c r="C1233" s="71" t="s">
        <v>817</v>
      </c>
      <c r="D1233" s="71" t="s">
        <v>398</v>
      </c>
      <c r="E1233" s="71" t="s">
        <v>623</v>
      </c>
      <c r="F1233" s="71" t="s">
        <v>624</v>
      </c>
      <c r="G1233" s="74">
        <v>7490</v>
      </c>
      <c r="H1233" s="72">
        <v>709.36974099999998</v>
      </c>
      <c r="I1233" s="73">
        <v>5313179.3600899996</v>
      </c>
      <c r="J1233" s="72">
        <v>58.809078419999999</v>
      </c>
      <c r="K1233" s="73">
        <v>10185878.7228142</v>
      </c>
      <c r="L1233" s="74">
        <v>-7490</v>
      </c>
      <c r="M1233" s="73">
        <v>-5397831.6100000003</v>
      </c>
      <c r="N1233" s="74">
        <v>0</v>
      </c>
      <c r="O1233" s="73">
        <v>0</v>
      </c>
      <c r="P1233" s="74">
        <v>0</v>
      </c>
      <c r="Q1233" s="73">
        <v>-84652.249909999999</v>
      </c>
      <c r="R1233" s="71" t="s">
        <v>625</v>
      </c>
      <c r="S1233" s="71">
        <v>7414000005</v>
      </c>
      <c r="AB1233"/>
      <c r="AC1233"/>
    </row>
    <row r="1234" spans="1:29" x14ac:dyDescent="0.25">
      <c r="A1234" t="str">
        <f t="shared" si="20"/>
        <v xml:space="preserve">2000941UDIBONO 431112      </v>
      </c>
      <c r="B1234" s="71">
        <v>2000941</v>
      </c>
      <c r="C1234" s="71" t="s">
        <v>817</v>
      </c>
      <c r="D1234" s="71" t="s">
        <v>399</v>
      </c>
      <c r="E1234" s="71" t="s">
        <v>623</v>
      </c>
      <c r="F1234" s="71" t="s">
        <v>624</v>
      </c>
      <c r="G1234" s="74">
        <v>13932</v>
      </c>
      <c r="H1234" s="72">
        <v>694.41118700000004</v>
      </c>
      <c r="I1234" s="73">
        <v>9674536.6572840009</v>
      </c>
      <c r="J1234" s="72">
        <v>33.238675279839221</v>
      </c>
      <c r="K1234" s="73">
        <v>18885992.09056928</v>
      </c>
      <c r="L1234" s="74">
        <v>-13932</v>
      </c>
      <c r="M1234" s="73">
        <v>-9868932.3100000005</v>
      </c>
      <c r="N1234" s="74">
        <v>0</v>
      </c>
      <c r="O1234" s="73">
        <v>0</v>
      </c>
      <c r="P1234" s="74">
        <v>0</v>
      </c>
      <c r="Q1234" s="73">
        <v>-194395.65271600001</v>
      </c>
      <c r="R1234" s="71" t="s">
        <v>625</v>
      </c>
      <c r="S1234" s="71">
        <v>7414000005</v>
      </c>
      <c r="AB1234"/>
      <c r="AC1234"/>
    </row>
    <row r="1235" spans="1:29" x14ac:dyDescent="0.25">
      <c r="A1235" t="str">
        <f t="shared" si="20"/>
        <v xml:space="preserve">2000941UDIBONO 461108      </v>
      </c>
      <c r="B1235" s="71">
        <v>2000941</v>
      </c>
      <c r="C1235" s="71" t="s">
        <v>817</v>
      </c>
      <c r="D1235" s="71" t="s">
        <v>400</v>
      </c>
      <c r="E1235" s="71" t="s">
        <v>623</v>
      </c>
      <c r="F1235" s="71" t="s">
        <v>624</v>
      </c>
      <c r="G1235" s="74">
        <v>110900</v>
      </c>
      <c r="H1235" s="72">
        <v>58.67</v>
      </c>
      <c r="I1235" s="73">
        <v>6506503</v>
      </c>
      <c r="J1235" s="72">
        <v>20.873057530207394</v>
      </c>
      <c r="K1235" s="73">
        <v>7795309.6599000003</v>
      </c>
      <c r="L1235" s="74">
        <v>-61422</v>
      </c>
      <c r="M1235" s="73">
        <v>-3695591.61</v>
      </c>
      <c r="N1235" s="74">
        <v>0</v>
      </c>
      <c r="O1235" s="73">
        <v>0</v>
      </c>
      <c r="P1235" s="74">
        <v>49478</v>
      </c>
      <c r="Q1235" s="73">
        <v>2810911.39</v>
      </c>
      <c r="R1235" s="71" t="s">
        <v>625</v>
      </c>
      <c r="S1235" s="71">
        <v>7414000005</v>
      </c>
      <c r="AB1235"/>
      <c r="AC1235"/>
    </row>
    <row r="1236" spans="1:29" x14ac:dyDescent="0.25">
      <c r="A1236" t="str">
        <f t="shared" si="20"/>
        <v xml:space="preserve">2000941UDIBONO 501103      </v>
      </c>
      <c r="B1236" s="71">
        <v>2000941</v>
      </c>
      <c r="C1236" s="71" t="s">
        <v>817</v>
      </c>
      <c r="D1236" s="71" t="s">
        <v>401</v>
      </c>
      <c r="E1236" s="71" t="s">
        <v>623</v>
      </c>
      <c r="F1236" s="71" t="s">
        <v>624</v>
      </c>
      <c r="G1236" s="74">
        <v>10130</v>
      </c>
      <c r="H1236" s="72">
        <v>1090</v>
      </c>
      <c r="I1236" s="73">
        <v>11041700</v>
      </c>
      <c r="J1236" s="72">
        <v>9.3600236920039492</v>
      </c>
      <c r="K1236" s="73">
        <v>21988582.960000001</v>
      </c>
      <c r="L1236" s="74">
        <v>-10130</v>
      </c>
      <c r="M1236" s="73">
        <v>-11083334.300000001</v>
      </c>
      <c r="N1236" s="74">
        <v>0</v>
      </c>
      <c r="O1236" s="73">
        <v>0</v>
      </c>
      <c r="P1236" s="74">
        <v>0</v>
      </c>
      <c r="Q1236" s="73">
        <v>-41634.300000000003</v>
      </c>
      <c r="R1236" s="71" t="s">
        <v>625</v>
      </c>
      <c r="S1236" s="71">
        <v>7414000005</v>
      </c>
      <c r="AB1236"/>
      <c r="AC1236"/>
    </row>
    <row r="1237" spans="1:29" x14ac:dyDescent="0.25">
      <c r="A1237" t="str">
        <f t="shared" si="20"/>
        <v xml:space="preserve">2000941VESTA *             </v>
      </c>
      <c r="B1237" s="71">
        <v>2000941</v>
      </c>
      <c r="C1237" s="71" t="s">
        <v>817</v>
      </c>
      <c r="D1237" s="71" t="s">
        <v>403</v>
      </c>
      <c r="E1237" s="71" t="s">
        <v>623</v>
      </c>
      <c r="F1237" s="71" t="s">
        <v>624</v>
      </c>
      <c r="G1237" s="74">
        <v>350800</v>
      </c>
      <c r="H1237" s="72">
        <v>65.260000000000005</v>
      </c>
      <c r="I1237" s="73">
        <v>22893208</v>
      </c>
      <c r="J1237" s="72">
        <v>3.3676709521094641</v>
      </c>
      <c r="K1237" s="73">
        <v>44605037.030000001</v>
      </c>
      <c r="L1237" s="74">
        <v>-350800</v>
      </c>
      <c r="M1237" s="73">
        <v>-22871663.629999999</v>
      </c>
      <c r="N1237" s="74">
        <v>0</v>
      </c>
      <c r="O1237" s="73">
        <v>0</v>
      </c>
      <c r="P1237" s="74">
        <v>0</v>
      </c>
      <c r="Q1237" s="73">
        <v>21544.37</v>
      </c>
      <c r="R1237" s="71" t="s">
        <v>625</v>
      </c>
      <c r="S1237" s="71">
        <v>7414000005</v>
      </c>
      <c r="AB1237"/>
      <c r="AC1237"/>
    </row>
    <row r="1238" spans="1:29" x14ac:dyDescent="0.25">
      <c r="A1238" t="str">
        <f t="shared" si="20"/>
        <v xml:space="preserve">2000941VGK *               </v>
      </c>
      <c r="B1238" s="71">
        <v>2000942</v>
      </c>
      <c r="C1238" s="71" t="s">
        <v>818</v>
      </c>
      <c r="D1238" s="71" t="s">
        <v>357</v>
      </c>
      <c r="E1238" s="71" t="s">
        <v>623</v>
      </c>
      <c r="F1238" s="71" t="s">
        <v>624</v>
      </c>
      <c r="G1238" s="74">
        <v>1500</v>
      </c>
      <c r="H1238" s="72">
        <v>168.64</v>
      </c>
      <c r="I1238" s="73">
        <v>252960</v>
      </c>
      <c r="J1238" s="72">
        <v>0.58241333333333334</v>
      </c>
      <c r="K1238" s="73">
        <v>506793.62</v>
      </c>
      <c r="L1238" s="74">
        <v>-1500</v>
      </c>
      <c r="M1238" s="73">
        <v>-254108.89</v>
      </c>
      <c r="N1238" s="74">
        <v>0</v>
      </c>
      <c r="O1238" s="73">
        <v>0</v>
      </c>
      <c r="P1238" s="74">
        <v>0</v>
      </c>
      <c r="Q1238" s="73">
        <v>-1148.8900000000001</v>
      </c>
      <c r="R1238" s="71" t="s">
        <v>625</v>
      </c>
      <c r="S1238" s="71">
        <v>7414000005</v>
      </c>
      <c r="AB1238"/>
      <c r="AC1238"/>
    </row>
    <row r="1239" spans="1:29" x14ac:dyDescent="0.25">
      <c r="A1239" t="str">
        <f t="shared" si="20"/>
        <v xml:space="preserve">2000941WALMEX *            </v>
      </c>
      <c r="B1239" s="71">
        <v>2000942</v>
      </c>
      <c r="C1239" s="71" t="s">
        <v>818</v>
      </c>
      <c r="D1239" s="71" t="s">
        <v>358</v>
      </c>
      <c r="E1239" s="71" t="s">
        <v>623</v>
      </c>
      <c r="F1239" s="71" t="s">
        <v>624</v>
      </c>
      <c r="G1239" s="74">
        <v>130</v>
      </c>
      <c r="H1239" s="72">
        <v>1786.5</v>
      </c>
      <c r="I1239" s="73">
        <v>232245</v>
      </c>
      <c r="J1239" s="72">
        <v>171.91230769230771</v>
      </c>
      <c r="K1239" s="73">
        <v>486838.6</v>
      </c>
      <c r="L1239" s="74">
        <v>-130</v>
      </c>
      <c r="M1239" s="73">
        <v>-234525.2</v>
      </c>
      <c r="N1239" s="74">
        <v>0</v>
      </c>
      <c r="O1239" s="73">
        <v>0</v>
      </c>
      <c r="P1239" s="74">
        <v>0</v>
      </c>
      <c r="Q1239" s="73">
        <v>-2280.1999999999998</v>
      </c>
      <c r="R1239" s="71" t="s">
        <v>625</v>
      </c>
      <c r="S1239" s="71">
        <v>7414000005</v>
      </c>
      <c r="AB1239"/>
      <c r="AC1239"/>
    </row>
    <row r="1240" spans="1:29" x14ac:dyDescent="0.25">
      <c r="A1240" t="str">
        <f t="shared" si="20"/>
        <v xml:space="preserve">2000942AC *                </v>
      </c>
      <c r="B1240" s="71">
        <v>2000942</v>
      </c>
      <c r="C1240" s="71" t="s">
        <v>818</v>
      </c>
      <c r="D1240" s="71" t="s">
        <v>506</v>
      </c>
      <c r="E1240" s="71" t="s">
        <v>623</v>
      </c>
      <c r="F1240" s="71" t="s">
        <v>624</v>
      </c>
      <c r="G1240" s="74">
        <v>13800</v>
      </c>
      <c r="H1240" s="72">
        <v>12.48</v>
      </c>
      <c r="I1240" s="73">
        <v>172224</v>
      </c>
      <c r="J1240" s="72">
        <v>1.7722623188405797</v>
      </c>
      <c r="K1240" s="73">
        <v>368905.22</v>
      </c>
      <c r="L1240" s="74">
        <v>-13800</v>
      </c>
      <c r="M1240" s="73">
        <v>-172301.4</v>
      </c>
      <c r="N1240" s="74">
        <v>0</v>
      </c>
      <c r="O1240" s="73">
        <v>0</v>
      </c>
      <c r="P1240" s="74">
        <v>0</v>
      </c>
      <c r="Q1240" s="73">
        <v>-77.400000000000006</v>
      </c>
      <c r="R1240" s="71" t="s">
        <v>625</v>
      </c>
      <c r="S1240" s="71">
        <v>7414000005</v>
      </c>
      <c r="AB1240"/>
      <c r="AC1240"/>
    </row>
    <row r="1241" spans="1:29" x14ac:dyDescent="0.25">
      <c r="A1241" t="str">
        <f t="shared" si="20"/>
        <v xml:space="preserve">2000942ACWI *              </v>
      </c>
      <c r="B1241" s="71">
        <v>2000942</v>
      </c>
      <c r="C1241" s="71" t="s">
        <v>818</v>
      </c>
      <c r="D1241" s="71" t="s">
        <v>359</v>
      </c>
      <c r="E1241" s="71" t="s">
        <v>623</v>
      </c>
      <c r="F1241" s="71" t="s">
        <v>624</v>
      </c>
      <c r="G1241" s="74">
        <v>2500</v>
      </c>
      <c r="H1241" s="72">
        <v>73.37</v>
      </c>
      <c r="I1241" s="73">
        <v>183425</v>
      </c>
      <c r="J1241" s="72">
        <v>14.841652</v>
      </c>
      <c r="K1241" s="73">
        <v>240454.58</v>
      </c>
      <c r="L1241" s="74">
        <v>-1283</v>
      </c>
      <c r="M1241" s="73">
        <v>-96584.42</v>
      </c>
      <c r="N1241" s="74">
        <v>0</v>
      </c>
      <c r="O1241" s="73">
        <v>0</v>
      </c>
      <c r="P1241" s="74">
        <v>1217</v>
      </c>
      <c r="Q1241" s="73">
        <v>86840.58</v>
      </c>
      <c r="R1241" s="71" t="s">
        <v>625</v>
      </c>
      <c r="S1241" s="71">
        <v>7414000005</v>
      </c>
      <c r="AB1241"/>
      <c r="AC1241"/>
    </row>
    <row r="1242" spans="1:29" x14ac:dyDescent="0.25">
      <c r="A1242" t="str">
        <f t="shared" si="20"/>
        <v xml:space="preserve">2000942ALFA A              </v>
      </c>
      <c r="B1242" s="71">
        <v>2000942</v>
      </c>
      <c r="C1242" s="71" t="s">
        <v>818</v>
      </c>
      <c r="D1242" s="71" t="s">
        <v>360</v>
      </c>
      <c r="E1242" s="71" t="s">
        <v>623</v>
      </c>
      <c r="F1242" s="71" t="s">
        <v>624</v>
      </c>
      <c r="G1242" s="74">
        <v>51000</v>
      </c>
      <c r="H1242" s="72">
        <v>15.12</v>
      </c>
      <c r="I1242" s="73">
        <v>771120</v>
      </c>
      <c r="J1242" s="72">
        <v>1.3990358803921568</v>
      </c>
      <c r="K1242" s="73">
        <v>1470889.1701</v>
      </c>
      <c r="L1242" s="74">
        <v>-51000</v>
      </c>
      <c r="M1242" s="73">
        <v>-775660.09</v>
      </c>
      <c r="N1242" s="74">
        <v>0</v>
      </c>
      <c r="O1242" s="73">
        <v>0</v>
      </c>
      <c r="P1242" s="74">
        <v>0</v>
      </c>
      <c r="Q1242" s="73">
        <v>-4540.09</v>
      </c>
      <c r="R1242" s="71" t="s">
        <v>625</v>
      </c>
      <c r="S1242" s="71">
        <v>7414000005</v>
      </c>
      <c r="AB1242"/>
      <c r="AC1242"/>
    </row>
    <row r="1243" spans="1:29" x14ac:dyDescent="0.25">
      <c r="A1243" t="str">
        <f t="shared" si="20"/>
        <v xml:space="preserve">2000942ALSEA *             </v>
      </c>
      <c r="B1243" s="71">
        <v>2000942</v>
      </c>
      <c r="C1243" s="71" t="s">
        <v>818</v>
      </c>
      <c r="D1243" s="71" t="s">
        <v>551</v>
      </c>
      <c r="E1243" s="71" t="s">
        <v>623</v>
      </c>
      <c r="F1243" s="71" t="s">
        <v>624</v>
      </c>
      <c r="G1243" s="74">
        <v>550</v>
      </c>
      <c r="H1243" s="72">
        <v>525.09</v>
      </c>
      <c r="I1243" s="73">
        <v>288799.5</v>
      </c>
      <c r="J1243" s="72">
        <v>25.065745454545453</v>
      </c>
      <c r="K1243" s="73">
        <v>591385.16</v>
      </c>
      <c r="L1243" s="74">
        <v>-550</v>
      </c>
      <c r="M1243" s="73">
        <v>-291950.15999999997</v>
      </c>
      <c r="N1243" s="74">
        <v>0</v>
      </c>
      <c r="O1243" s="73">
        <v>0</v>
      </c>
      <c r="P1243" s="74">
        <v>0</v>
      </c>
      <c r="Q1243" s="73">
        <v>-3150.66</v>
      </c>
      <c r="R1243" s="71" t="s">
        <v>625</v>
      </c>
      <c r="S1243" s="71">
        <v>7414000005</v>
      </c>
      <c r="AB1243"/>
      <c r="AC1243"/>
    </row>
    <row r="1244" spans="1:29" x14ac:dyDescent="0.25">
      <c r="A1244" t="str">
        <f t="shared" si="20"/>
        <v xml:space="preserve">2000942AMX B               </v>
      </c>
      <c r="B1244" s="71">
        <v>2000942</v>
      </c>
      <c r="C1244" s="71" t="s">
        <v>818</v>
      </c>
      <c r="D1244" s="71" t="s">
        <v>361</v>
      </c>
      <c r="E1244" s="71" t="s">
        <v>623</v>
      </c>
      <c r="F1244" s="71" t="s">
        <v>624</v>
      </c>
      <c r="G1244" s="74">
        <v>2550</v>
      </c>
      <c r="H1244" s="72">
        <v>68.25</v>
      </c>
      <c r="I1244" s="73">
        <v>174037.5</v>
      </c>
      <c r="J1244" s="72">
        <v>11.36632156862745</v>
      </c>
      <c r="K1244" s="73">
        <v>319090.88</v>
      </c>
      <c r="L1244" s="74">
        <v>-2550</v>
      </c>
      <c r="M1244" s="73">
        <v>-175072.13</v>
      </c>
      <c r="N1244" s="74">
        <v>0</v>
      </c>
      <c r="O1244" s="73">
        <v>0</v>
      </c>
      <c r="P1244" s="74">
        <v>0</v>
      </c>
      <c r="Q1244" s="73">
        <v>-1034.6300000000001</v>
      </c>
      <c r="R1244" s="71" t="s">
        <v>625</v>
      </c>
      <c r="S1244" s="71">
        <v>7414000005</v>
      </c>
      <c r="AB1244"/>
      <c r="AC1244"/>
    </row>
    <row r="1245" spans="1:29" x14ac:dyDescent="0.25">
      <c r="A1245" t="str">
        <f t="shared" si="20"/>
        <v xml:space="preserve">2000942ASUR B              </v>
      </c>
      <c r="B1245" s="71">
        <v>2000942</v>
      </c>
      <c r="C1245" s="71" t="s">
        <v>818</v>
      </c>
      <c r="D1245" s="71" t="s">
        <v>362</v>
      </c>
      <c r="E1245" s="71" t="s">
        <v>623</v>
      </c>
      <c r="F1245" s="71" t="s">
        <v>624</v>
      </c>
      <c r="G1245" s="74">
        <v>40000</v>
      </c>
      <c r="H1245" s="72">
        <v>14.33</v>
      </c>
      <c r="I1245" s="73">
        <v>573200</v>
      </c>
      <c r="J1245" s="72">
        <v>3.0078532500000001</v>
      </c>
      <c r="K1245" s="73">
        <v>1266714.1299999999</v>
      </c>
      <c r="L1245" s="74">
        <v>-40000</v>
      </c>
      <c r="M1245" s="73">
        <v>-574812.94999999995</v>
      </c>
      <c r="N1245" s="74">
        <v>0</v>
      </c>
      <c r="O1245" s="73">
        <v>0</v>
      </c>
      <c r="P1245" s="74">
        <v>0</v>
      </c>
      <c r="Q1245" s="73">
        <v>-1612.95</v>
      </c>
      <c r="R1245" s="71" t="s">
        <v>625</v>
      </c>
      <c r="S1245" s="71">
        <v>7414000005</v>
      </c>
      <c r="AB1245"/>
      <c r="AC1245"/>
    </row>
    <row r="1246" spans="1:29" x14ac:dyDescent="0.25">
      <c r="A1246" t="str">
        <f t="shared" si="20"/>
        <v xml:space="preserve">2000942BIMBO A             </v>
      </c>
      <c r="B1246" s="71">
        <v>2000942</v>
      </c>
      <c r="C1246" s="71" t="s">
        <v>818</v>
      </c>
      <c r="D1246" s="71" t="s">
        <v>649</v>
      </c>
      <c r="E1246" s="71" t="s">
        <v>623</v>
      </c>
      <c r="F1246" s="71" t="s">
        <v>624</v>
      </c>
      <c r="G1246" s="74">
        <v>0</v>
      </c>
      <c r="H1246" s="72">
        <v>0</v>
      </c>
      <c r="I1246" s="73">
        <v>0</v>
      </c>
      <c r="J1246" s="72">
        <v>0</v>
      </c>
      <c r="K1246" s="73">
        <v>-1425.9675</v>
      </c>
      <c r="L1246" s="74">
        <v>250000</v>
      </c>
      <c r="M1246" s="73">
        <v>2254237.9700000002</v>
      </c>
      <c r="N1246" s="74">
        <v>0</v>
      </c>
      <c r="O1246" s="73">
        <v>0</v>
      </c>
      <c r="P1246" s="74">
        <v>250000</v>
      </c>
      <c r="Q1246" s="73">
        <v>2254237.9700000002</v>
      </c>
      <c r="R1246" s="71" t="s">
        <v>625</v>
      </c>
      <c r="S1246" s="71">
        <v>7414000005</v>
      </c>
      <c r="AB1246"/>
      <c r="AC1246"/>
    </row>
    <row r="1247" spans="1:29" x14ac:dyDescent="0.25">
      <c r="A1247" t="str">
        <f t="shared" si="20"/>
        <v xml:space="preserve">2000942CEMEX CPO           </v>
      </c>
      <c r="B1247" s="71">
        <v>2000942</v>
      </c>
      <c r="C1247" s="71" t="s">
        <v>818</v>
      </c>
      <c r="D1247" s="71" t="s">
        <v>455</v>
      </c>
      <c r="E1247" s="71" t="s">
        <v>623</v>
      </c>
      <c r="F1247" s="71" t="s">
        <v>624</v>
      </c>
      <c r="G1247" s="74">
        <v>1704</v>
      </c>
      <c r="H1247" s="72">
        <v>72.270214999999993</v>
      </c>
      <c r="I1247" s="73">
        <v>123148.44636</v>
      </c>
      <c r="J1247" s="72">
        <v>94.414778179999999</v>
      </c>
      <c r="K1247" s="73">
        <v>-37734.335658720003</v>
      </c>
      <c r="L1247" s="74">
        <v>0</v>
      </c>
      <c r="M1247" s="73">
        <v>0</v>
      </c>
      <c r="N1247" s="74">
        <v>0</v>
      </c>
      <c r="O1247" s="73">
        <v>0</v>
      </c>
      <c r="P1247" s="74">
        <v>1704</v>
      </c>
      <c r="Q1247" s="73">
        <v>123148.44636</v>
      </c>
      <c r="R1247" s="71" t="s">
        <v>625</v>
      </c>
      <c r="S1247" s="71">
        <v>7414000005</v>
      </c>
      <c r="AB1247"/>
      <c r="AC1247"/>
    </row>
    <row r="1248" spans="1:29" x14ac:dyDescent="0.25">
      <c r="A1248" t="str">
        <f t="shared" si="20"/>
        <v xml:space="preserve">2000942CETES 250403        </v>
      </c>
      <c r="B1248" s="71">
        <v>2000942</v>
      </c>
      <c r="C1248" s="71" t="s">
        <v>818</v>
      </c>
      <c r="D1248" s="71" t="s">
        <v>365</v>
      </c>
      <c r="E1248" s="71" t="s">
        <v>623</v>
      </c>
      <c r="F1248" s="71" t="s">
        <v>624</v>
      </c>
      <c r="G1248" s="74">
        <v>300</v>
      </c>
      <c r="H1248" s="72">
        <v>675.38</v>
      </c>
      <c r="I1248" s="73">
        <v>202614</v>
      </c>
      <c r="J1248" s="72">
        <v>104.20343333333334</v>
      </c>
      <c r="K1248" s="73">
        <v>373966.97</v>
      </c>
      <c r="L1248" s="74">
        <v>-300</v>
      </c>
      <c r="M1248" s="73">
        <v>-203781</v>
      </c>
      <c r="N1248" s="74">
        <v>0</v>
      </c>
      <c r="O1248" s="73">
        <v>0</v>
      </c>
      <c r="P1248" s="74">
        <v>0</v>
      </c>
      <c r="Q1248" s="73">
        <v>-1167</v>
      </c>
      <c r="R1248" s="71" t="s">
        <v>625</v>
      </c>
      <c r="S1248" s="71">
        <v>7414000005</v>
      </c>
      <c r="AB1248"/>
      <c r="AC1248"/>
    </row>
    <row r="1249" spans="1:29" x14ac:dyDescent="0.25">
      <c r="A1249" t="str">
        <f t="shared" si="20"/>
        <v xml:space="preserve">2000942CHIACB 07           </v>
      </c>
      <c r="B1249" s="71">
        <v>2000942</v>
      </c>
      <c r="C1249" s="71" t="s">
        <v>818</v>
      </c>
      <c r="D1249" s="71" t="s">
        <v>367</v>
      </c>
      <c r="E1249" s="71" t="s">
        <v>623</v>
      </c>
      <c r="F1249" s="71" t="s">
        <v>624</v>
      </c>
      <c r="G1249" s="74">
        <v>68</v>
      </c>
      <c r="H1249" s="72">
        <v>700.65</v>
      </c>
      <c r="I1249" s="73">
        <v>47644.2</v>
      </c>
      <c r="J1249" s="72">
        <v>146.34470588235294</v>
      </c>
      <c r="K1249" s="73">
        <v>85336.960000000006</v>
      </c>
      <c r="L1249" s="74">
        <v>-68</v>
      </c>
      <c r="M1249" s="73">
        <v>-47644.2</v>
      </c>
      <c r="N1249" s="74">
        <v>0</v>
      </c>
      <c r="O1249" s="73">
        <v>0</v>
      </c>
      <c r="P1249" s="74">
        <v>0</v>
      </c>
      <c r="Q1249" s="73">
        <v>0</v>
      </c>
      <c r="R1249" s="71" t="s">
        <v>625</v>
      </c>
      <c r="S1249" s="71">
        <v>7414000005</v>
      </c>
      <c r="AB1249"/>
      <c r="AC1249"/>
    </row>
    <row r="1250" spans="1:29" x14ac:dyDescent="0.25">
      <c r="A1250" t="str">
        <f t="shared" si="20"/>
        <v xml:space="preserve">2000942EEM *               </v>
      </c>
      <c r="B1250" s="71">
        <v>2000942</v>
      </c>
      <c r="C1250" s="71" t="s">
        <v>818</v>
      </c>
      <c r="D1250" s="71" t="s">
        <v>368</v>
      </c>
      <c r="E1250" s="71" t="s">
        <v>623</v>
      </c>
      <c r="F1250" s="71" t="s">
        <v>624</v>
      </c>
      <c r="G1250" s="74">
        <v>120</v>
      </c>
      <c r="H1250" s="72">
        <v>1151</v>
      </c>
      <c r="I1250" s="73">
        <v>138120</v>
      </c>
      <c r="J1250" s="72">
        <v>138.97916666666666</v>
      </c>
      <c r="K1250" s="73">
        <v>292917.5</v>
      </c>
      <c r="L1250" s="74">
        <v>-120</v>
      </c>
      <c r="M1250" s="73">
        <v>-139130.4</v>
      </c>
      <c r="N1250" s="74">
        <v>0</v>
      </c>
      <c r="O1250" s="73">
        <v>0</v>
      </c>
      <c r="P1250" s="74">
        <v>0</v>
      </c>
      <c r="Q1250" s="73">
        <v>-1010.4</v>
      </c>
      <c r="R1250" s="71" t="s">
        <v>625</v>
      </c>
      <c r="S1250" s="71">
        <v>7414000005</v>
      </c>
      <c r="AB1250"/>
      <c r="AC1250"/>
    </row>
    <row r="1251" spans="1:29" x14ac:dyDescent="0.25">
      <c r="A1251" t="str">
        <f t="shared" si="20"/>
        <v xml:space="preserve">2000942EPP *               </v>
      </c>
      <c r="B1251" s="71">
        <v>2000942</v>
      </c>
      <c r="C1251" s="71" t="s">
        <v>818</v>
      </c>
      <c r="D1251" s="71" t="s">
        <v>369</v>
      </c>
      <c r="E1251" s="71" t="s">
        <v>623</v>
      </c>
      <c r="F1251" s="71" t="s">
        <v>624</v>
      </c>
      <c r="G1251" s="74">
        <v>4400</v>
      </c>
      <c r="H1251" s="72">
        <v>207.81</v>
      </c>
      <c r="I1251" s="73">
        <v>914364</v>
      </c>
      <c r="J1251" s="72">
        <v>37.16596818181818</v>
      </c>
      <c r="K1251" s="73">
        <v>1992258.26</v>
      </c>
      <c r="L1251" s="74">
        <v>-4400</v>
      </c>
      <c r="M1251" s="73">
        <v>-915045.88</v>
      </c>
      <c r="N1251" s="74">
        <v>0</v>
      </c>
      <c r="O1251" s="73">
        <v>0</v>
      </c>
      <c r="P1251" s="74">
        <v>0</v>
      </c>
      <c r="Q1251" s="73">
        <v>-681.88</v>
      </c>
      <c r="R1251" s="71" t="s">
        <v>625</v>
      </c>
      <c r="S1251" s="71">
        <v>7414000005</v>
      </c>
      <c r="AB1251"/>
      <c r="AC1251"/>
    </row>
    <row r="1252" spans="1:29" x14ac:dyDescent="0.25">
      <c r="A1252" t="str">
        <f t="shared" si="20"/>
        <v xml:space="preserve">2000942EWJ *               </v>
      </c>
      <c r="B1252" s="71">
        <v>2000942</v>
      </c>
      <c r="C1252" s="71" t="s">
        <v>818</v>
      </c>
      <c r="D1252" s="71" t="s">
        <v>576</v>
      </c>
      <c r="E1252" s="71" t="s">
        <v>623</v>
      </c>
      <c r="F1252" s="71" t="s">
        <v>624</v>
      </c>
      <c r="G1252" s="74">
        <v>1885</v>
      </c>
      <c r="H1252" s="72">
        <v>30.9</v>
      </c>
      <c r="I1252" s="73">
        <v>58246.5</v>
      </c>
      <c r="J1252" s="72">
        <v>0.77649469496021217</v>
      </c>
      <c r="K1252" s="73">
        <v>115029.3075</v>
      </c>
      <c r="L1252" s="74">
        <v>-1885</v>
      </c>
      <c r="M1252" s="73">
        <v>-58310.29</v>
      </c>
      <c r="N1252" s="74">
        <v>0</v>
      </c>
      <c r="O1252" s="73">
        <v>0</v>
      </c>
      <c r="P1252" s="74">
        <v>0</v>
      </c>
      <c r="Q1252" s="73">
        <v>-63.79</v>
      </c>
      <c r="R1252" s="71" t="s">
        <v>625</v>
      </c>
      <c r="S1252" s="71">
        <v>7414000005</v>
      </c>
      <c r="AB1252"/>
      <c r="AC1252"/>
    </row>
    <row r="1253" spans="1:29" x14ac:dyDescent="0.25">
      <c r="A1253" t="str">
        <f t="shared" si="20"/>
        <v xml:space="preserve">2000942FEMSA UBD           </v>
      </c>
      <c r="B1253" s="71">
        <v>2000942</v>
      </c>
      <c r="C1253" s="71" t="s">
        <v>818</v>
      </c>
      <c r="D1253" s="71" t="s">
        <v>577</v>
      </c>
      <c r="E1253" s="71" t="s">
        <v>623</v>
      </c>
      <c r="F1253" s="71" t="s">
        <v>624</v>
      </c>
      <c r="G1253" s="74">
        <v>819</v>
      </c>
      <c r="H1253" s="72">
        <v>68.83</v>
      </c>
      <c r="I1253" s="73">
        <v>56371.77</v>
      </c>
      <c r="J1253" s="72">
        <v>6.2951002442002446</v>
      </c>
      <c r="K1253" s="73">
        <v>117761.5671</v>
      </c>
      <c r="L1253" s="74">
        <v>-817</v>
      </c>
      <c r="M1253" s="73">
        <v>-56150.61</v>
      </c>
      <c r="N1253" s="74">
        <v>0</v>
      </c>
      <c r="O1253" s="73">
        <v>0</v>
      </c>
      <c r="P1253" s="74">
        <v>2</v>
      </c>
      <c r="Q1253" s="73">
        <v>221.16</v>
      </c>
      <c r="R1253" s="71" t="s">
        <v>625</v>
      </c>
      <c r="S1253" s="71">
        <v>7414000005</v>
      </c>
      <c r="AB1253"/>
      <c r="AC1253"/>
    </row>
    <row r="1254" spans="1:29" x14ac:dyDescent="0.25">
      <c r="A1254" t="str">
        <f t="shared" si="20"/>
        <v xml:space="preserve">2000942FIBRAMQ 12          </v>
      </c>
      <c r="B1254" s="71">
        <v>2000942</v>
      </c>
      <c r="C1254" s="71" t="s">
        <v>818</v>
      </c>
      <c r="D1254" s="71" t="s">
        <v>370</v>
      </c>
      <c r="E1254" s="71" t="s">
        <v>623</v>
      </c>
      <c r="F1254" s="71" t="s">
        <v>624</v>
      </c>
      <c r="G1254" s="74">
        <v>700</v>
      </c>
      <c r="H1254" s="72">
        <v>271.94</v>
      </c>
      <c r="I1254" s="73">
        <v>190358</v>
      </c>
      <c r="J1254" s="72">
        <v>29.676600000000001</v>
      </c>
      <c r="K1254" s="73">
        <v>359942.38</v>
      </c>
      <c r="L1254" s="74">
        <v>-700</v>
      </c>
      <c r="M1254" s="73">
        <v>-190380.51</v>
      </c>
      <c r="N1254" s="74">
        <v>0</v>
      </c>
      <c r="O1254" s="73">
        <v>0</v>
      </c>
      <c r="P1254" s="74">
        <v>0</v>
      </c>
      <c r="Q1254" s="73">
        <v>-22.51</v>
      </c>
      <c r="R1254" s="71" t="s">
        <v>625</v>
      </c>
      <c r="S1254" s="71">
        <v>7414000005</v>
      </c>
      <c r="AB1254"/>
      <c r="AC1254"/>
    </row>
    <row r="1255" spans="1:29" x14ac:dyDescent="0.25">
      <c r="A1255" t="str">
        <f t="shared" si="20"/>
        <v xml:space="preserve">2000942FIBRAPL 14          </v>
      </c>
      <c r="B1255" s="71">
        <v>2000942</v>
      </c>
      <c r="C1255" s="71" t="s">
        <v>818</v>
      </c>
      <c r="D1255" s="71" t="s">
        <v>371</v>
      </c>
      <c r="E1255" s="71" t="s">
        <v>623</v>
      </c>
      <c r="F1255" s="71" t="s">
        <v>624</v>
      </c>
      <c r="G1255" s="74">
        <v>800</v>
      </c>
      <c r="H1255" s="72">
        <v>193.15</v>
      </c>
      <c r="I1255" s="73">
        <v>154520</v>
      </c>
      <c r="J1255" s="72">
        <v>44.399075000000003</v>
      </c>
      <c r="K1255" s="73">
        <v>344559.26</v>
      </c>
      <c r="L1255" s="74">
        <v>-800</v>
      </c>
      <c r="M1255" s="73">
        <v>-153232.23000000001</v>
      </c>
      <c r="N1255" s="74">
        <v>0</v>
      </c>
      <c r="O1255" s="73">
        <v>0</v>
      </c>
      <c r="P1255" s="74">
        <v>0</v>
      </c>
      <c r="Q1255" s="73">
        <v>1287.77</v>
      </c>
      <c r="R1255" s="71" t="s">
        <v>625</v>
      </c>
      <c r="S1255" s="71">
        <v>7414000005</v>
      </c>
      <c r="AB1255"/>
      <c r="AC1255"/>
    </row>
    <row r="1256" spans="1:29" x14ac:dyDescent="0.25">
      <c r="A1256" t="str">
        <f t="shared" si="20"/>
        <v xml:space="preserve">2000942GAP B               </v>
      </c>
      <c r="B1256" s="71">
        <v>2000942</v>
      </c>
      <c r="C1256" s="71" t="s">
        <v>818</v>
      </c>
      <c r="D1256" s="71" t="s">
        <v>372</v>
      </c>
      <c r="E1256" s="71" t="s">
        <v>623</v>
      </c>
      <c r="F1256" s="71" t="s">
        <v>624</v>
      </c>
      <c r="G1256" s="74">
        <v>5300</v>
      </c>
      <c r="H1256" s="72">
        <v>27.12</v>
      </c>
      <c r="I1256" s="73">
        <v>143736</v>
      </c>
      <c r="J1256" s="72">
        <v>7.5047886792452827</v>
      </c>
      <c r="K1256" s="73">
        <v>327247.38</v>
      </c>
      <c r="L1256" s="74">
        <v>-5300</v>
      </c>
      <c r="M1256" s="73">
        <v>-144956.94</v>
      </c>
      <c r="N1256" s="74">
        <v>0</v>
      </c>
      <c r="O1256" s="73">
        <v>0</v>
      </c>
      <c r="P1256" s="74">
        <v>0</v>
      </c>
      <c r="Q1256" s="73">
        <v>-1220.94</v>
      </c>
      <c r="R1256" s="71" t="s">
        <v>625</v>
      </c>
      <c r="S1256" s="71">
        <v>7414000005</v>
      </c>
      <c r="AB1256"/>
      <c r="AC1256"/>
    </row>
    <row r="1257" spans="1:29" x14ac:dyDescent="0.25">
      <c r="A1257" t="str">
        <f t="shared" si="20"/>
        <v xml:space="preserve">2000942GCC *               </v>
      </c>
      <c r="B1257" s="71">
        <v>2000942</v>
      </c>
      <c r="C1257" s="71" t="s">
        <v>818</v>
      </c>
      <c r="D1257" s="71" t="s">
        <v>583</v>
      </c>
      <c r="E1257" s="71" t="s">
        <v>623</v>
      </c>
      <c r="F1257" s="71" t="s">
        <v>624</v>
      </c>
      <c r="G1257" s="74">
        <v>1000</v>
      </c>
      <c r="H1257" s="72">
        <v>50.75</v>
      </c>
      <c r="I1257" s="73">
        <v>50750</v>
      </c>
      <c r="J1257" s="72">
        <v>14.14744</v>
      </c>
      <c r="K1257" s="73">
        <v>115647.44</v>
      </c>
      <c r="L1257" s="74">
        <v>-1000</v>
      </c>
      <c r="M1257" s="73">
        <v>-50587.67</v>
      </c>
      <c r="N1257" s="74">
        <v>0</v>
      </c>
      <c r="O1257" s="73">
        <v>0</v>
      </c>
      <c r="P1257" s="74">
        <v>0</v>
      </c>
      <c r="Q1257" s="73">
        <v>162.33000000000001</v>
      </c>
      <c r="R1257" s="71" t="s">
        <v>625</v>
      </c>
      <c r="S1257" s="71">
        <v>7414000005</v>
      </c>
      <c r="AB1257"/>
      <c r="AC1257"/>
    </row>
    <row r="1258" spans="1:29" x14ac:dyDescent="0.25">
      <c r="A1258" t="str">
        <f t="shared" si="20"/>
        <v xml:space="preserve">2000942GENTERA *           </v>
      </c>
      <c r="B1258" s="71">
        <v>2000942</v>
      </c>
      <c r="C1258" s="71" t="s">
        <v>818</v>
      </c>
      <c r="D1258" s="71" t="s">
        <v>373</v>
      </c>
      <c r="E1258" s="71" t="s">
        <v>623</v>
      </c>
      <c r="F1258" s="71" t="s">
        <v>624</v>
      </c>
      <c r="G1258" s="74">
        <v>5900</v>
      </c>
      <c r="H1258" s="72">
        <v>176.44</v>
      </c>
      <c r="I1258" s="73">
        <v>1040996</v>
      </c>
      <c r="J1258" s="72">
        <v>34.882522033898304</v>
      </c>
      <c r="K1258" s="73">
        <v>2287798.88</v>
      </c>
      <c r="L1258" s="74">
        <v>-5900</v>
      </c>
      <c r="M1258" s="73">
        <v>-1040230.97</v>
      </c>
      <c r="N1258" s="74">
        <v>0</v>
      </c>
      <c r="O1258" s="73">
        <v>0</v>
      </c>
      <c r="P1258" s="74">
        <v>0</v>
      </c>
      <c r="Q1258" s="73">
        <v>765.03</v>
      </c>
      <c r="R1258" s="71" t="s">
        <v>625</v>
      </c>
      <c r="S1258" s="71">
        <v>7414000005</v>
      </c>
      <c r="AB1258"/>
      <c r="AC1258"/>
    </row>
    <row r="1259" spans="1:29" x14ac:dyDescent="0.25">
      <c r="A1259" t="str">
        <f t="shared" si="20"/>
        <v xml:space="preserve">2000942GFINBUR O           </v>
      </c>
      <c r="B1259" s="71">
        <v>2000942</v>
      </c>
      <c r="C1259" s="71" t="s">
        <v>818</v>
      </c>
      <c r="D1259" s="71" t="s">
        <v>374</v>
      </c>
      <c r="E1259" s="71" t="s">
        <v>623</v>
      </c>
      <c r="F1259" s="71" t="s">
        <v>624</v>
      </c>
      <c r="G1259" s="74">
        <v>7100</v>
      </c>
      <c r="H1259" s="72">
        <v>104.12</v>
      </c>
      <c r="I1259" s="73">
        <v>739252</v>
      </c>
      <c r="J1259" s="72">
        <v>4.7644338028169013</v>
      </c>
      <c r="K1259" s="73">
        <v>1388949.28</v>
      </c>
      <c r="L1259" s="74">
        <v>-5915</v>
      </c>
      <c r="M1259" s="73">
        <v>-618810.71</v>
      </c>
      <c r="N1259" s="74">
        <v>0</v>
      </c>
      <c r="O1259" s="73">
        <v>0</v>
      </c>
      <c r="P1259" s="74">
        <v>1185</v>
      </c>
      <c r="Q1259" s="73">
        <v>120441.29</v>
      </c>
      <c r="R1259" s="71" t="s">
        <v>625</v>
      </c>
      <c r="S1259" s="71">
        <v>7414000005</v>
      </c>
      <c r="AB1259"/>
      <c r="AC1259"/>
    </row>
    <row r="1260" spans="1:29" x14ac:dyDescent="0.25">
      <c r="A1260" t="str">
        <f t="shared" si="20"/>
        <v xml:space="preserve">2000942GFNORTE O           </v>
      </c>
      <c r="B1260" s="71">
        <v>2000942</v>
      </c>
      <c r="C1260" s="71" t="s">
        <v>818</v>
      </c>
      <c r="D1260" s="71" t="s">
        <v>380</v>
      </c>
      <c r="E1260" s="71" t="s">
        <v>623</v>
      </c>
      <c r="F1260" s="71" t="s">
        <v>624</v>
      </c>
      <c r="G1260" s="74">
        <v>0</v>
      </c>
      <c r="H1260" s="72">
        <v>0</v>
      </c>
      <c r="I1260" s="73">
        <v>0</v>
      </c>
      <c r="J1260" s="72">
        <v>0</v>
      </c>
      <c r="K1260" s="73">
        <v>-2753.4892500000001</v>
      </c>
      <c r="L1260" s="74">
        <v>25000</v>
      </c>
      <c r="M1260" s="73">
        <v>2403837.46</v>
      </c>
      <c r="N1260" s="74">
        <v>0</v>
      </c>
      <c r="O1260" s="73">
        <v>0</v>
      </c>
      <c r="P1260" s="74">
        <v>25000</v>
      </c>
      <c r="Q1260" s="73">
        <v>2403837.46</v>
      </c>
      <c r="R1260" s="71" t="s">
        <v>625</v>
      </c>
      <c r="S1260" s="71">
        <v>7414000005</v>
      </c>
      <c r="AB1260"/>
      <c r="AC1260"/>
    </row>
    <row r="1261" spans="1:29" x14ac:dyDescent="0.25">
      <c r="A1261" t="str">
        <f t="shared" si="20"/>
        <v xml:space="preserve">2000942GMEXICO B           </v>
      </c>
      <c r="B1261" s="71">
        <v>2000942</v>
      </c>
      <c r="C1261" s="71" t="s">
        <v>818</v>
      </c>
      <c r="D1261" s="71" t="s">
        <v>381</v>
      </c>
      <c r="E1261" s="71" t="s">
        <v>623</v>
      </c>
      <c r="F1261" s="71" t="s">
        <v>624</v>
      </c>
      <c r="G1261" s="74">
        <v>2190</v>
      </c>
      <c r="H1261" s="72">
        <v>94.870157000000006</v>
      </c>
      <c r="I1261" s="73">
        <v>207765.64382999999</v>
      </c>
      <c r="J1261" s="72">
        <v>1.9151646909589042</v>
      </c>
      <c r="K1261" s="73">
        <v>411337.07698680001</v>
      </c>
      <c r="L1261" s="74">
        <v>-2190</v>
      </c>
      <c r="M1261" s="73">
        <v>-214517.54</v>
      </c>
      <c r="N1261" s="74">
        <v>0</v>
      </c>
      <c r="O1261" s="73">
        <v>0</v>
      </c>
      <c r="P1261" s="74">
        <v>0</v>
      </c>
      <c r="Q1261" s="73">
        <v>-6751.89617</v>
      </c>
      <c r="R1261" s="71" t="s">
        <v>625</v>
      </c>
      <c r="S1261" s="71">
        <v>7414000005</v>
      </c>
      <c r="AB1261"/>
      <c r="AC1261"/>
    </row>
    <row r="1262" spans="1:29" x14ac:dyDescent="0.25">
      <c r="A1262" t="str">
        <f t="shared" si="20"/>
        <v xml:space="preserve">2000942GOBFED 270603       </v>
      </c>
      <c r="B1262" s="71">
        <v>2000942</v>
      </c>
      <c r="C1262" s="71" t="s">
        <v>818</v>
      </c>
      <c r="D1262" s="71" t="s">
        <v>382</v>
      </c>
      <c r="E1262" s="71" t="s">
        <v>623</v>
      </c>
      <c r="F1262" s="71" t="s">
        <v>624</v>
      </c>
      <c r="G1262" s="74">
        <v>843</v>
      </c>
      <c r="H1262" s="72">
        <v>89.489464999999996</v>
      </c>
      <c r="I1262" s="73">
        <v>75439.618994999997</v>
      </c>
      <c r="J1262" s="72">
        <v>2752.6651877773429</v>
      </c>
      <c r="K1262" s="73">
        <v>-7820.5093012999996</v>
      </c>
      <c r="L1262" s="74">
        <v>25000</v>
      </c>
      <c r="M1262" s="73">
        <v>2312792.0499999998</v>
      </c>
      <c r="N1262" s="74">
        <v>0</v>
      </c>
      <c r="O1262" s="73">
        <v>0</v>
      </c>
      <c r="P1262" s="74">
        <v>25843</v>
      </c>
      <c r="Q1262" s="73">
        <v>2388231.668995</v>
      </c>
      <c r="R1262" s="71" t="s">
        <v>625</v>
      </c>
      <c r="S1262" s="71">
        <v>7414000005</v>
      </c>
      <c r="AB1262"/>
      <c r="AC1262"/>
    </row>
    <row r="1263" spans="1:29" x14ac:dyDescent="0.25">
      <c r="A1263" t="str">
        <f t="shared" si="20"/>
        <v xml:space="preserve">2000942GOBFED 290531       </v>
      </c>
      <c r="B1263" s="71">
        <v>2000942</v>
      </c>
      <c r="C1263" s="71" t="s">
        <v>818</v>
      </c>
      <c r="D1263" s="71" t="s">
        <v>383</v>
      </c>
      <c r="E1263" s="71" t="s">
        <v>623</v>
      </c>
      <c r="F1263" s="71" t="s">
        <v>624</v>
      </c>
      <c r="G1263" s="74">
        <v>450</v>
      </c>
      <c r="H1263" s="72">
        <v>86.197128000000006</v>
      </c>
      <c r="I1263" s="73">
        <v>38788.707600000002</v>
      </c>
      <c r="J1263" s="72">
        <v>2.3665609500000002</v>
      </c>
      <c r="K1263" s="73">
        <v>76512.462772500003</v>
      </c>
      <c r="L1263" s="74">
        <v>-450</v>
      </c>
      <c r="M1263" s="73">
        <v>-40070.83</v>
      </c>
      <c r="N1263" s="74">
        <v>0</v>
      </c>
      <c r="O1263" s="73">
        <v>0</v>
      </c>
      <c r="P1263" s="74">
        <v>0</v>
      </c>
      <c r="Q1263" s="73">
        <v>-1282.1224</v>
      </c>
      <c r="R1263" s="71" t="s">
        <v>625</v>
      </c>
      <c r="S1263" s="71">
        <v>7414000005</v>
      </c>
      <c r="AB1263"/>
      <c r="AC1263"/>
    </row>
    <row r="1264" spans="1:29" x14ac:dyDescent="0.25">
      <c r="A1264" t="str">
        <f t="shared" si="20"/>
        <v xml:space="preserve">2000942GOBFED 310529       </v>
      </c>
      <c r="B1264" s="71">
        <v>2000942</v>
      </c>
      <c r="C1264" s="71" t="s">
        <v>818</v>
      </c>
      <c r="D1264" s="71" t="s">
        <v>427</v>
      </c>
      <c r="E1264" s="71" t="s">
        <v>623</v>
      </c>
      <c r="F1264" s="71" t="s">
        <v>624</v>
      </c>
      <c r="G1264" s="74">
        <v>1660</v>
      </c>
      <c r="H1264" s="72">
        <v>86.469353999999996</v>
      </c>
      <c r="I1264" s="73">
        <v>143539.12763999999</v>
      </c>
      <c r="J1264" s="72">
        <v>89.3357706610241</v>
      </c>
      <c r="K1264" s="73">
        <v>-4758.2516573000003</v>
      </c>
      <c r="L1264" s="74">
        <v>0</v>
      </c>
      <c r="M1264" s="73">
        <v>0</v>
      </c>
      <c r="N1264" s="74">
        <v>0</v>
      </c>
      <c r="O1264" s="73">
        <v>0</v>
      </c>
      <c r="P1264" s="74">
        <v>1660</v>
      </c>
      <c r="Q1264" s="73">
        <v>143539.12763999999</v>
      </c>
      <c r="R1264" s="71" t="s">
        <v>625</v>
      </c>
      <c r="S1264" s="71">
        <v>7414000005</v>
      </c>
      <c r="AB1264"/>
      <c r="AC1264"/>
    </row>
    <row r="1265" spans="1:29" x14ac:dyDescent="0.25">
      <c r="A1265" t="str">
        <f t="shared" si="20"/>
        <v xml:space="preserve">2000942GOBFED 330526       </v>
      </c>
      <c r="B1265" s="71">
        <v>2000942</v>
      </c>
      <c r="C1265" s="71" t="s">
        <v>818</v>
      </c>
      <c r="D1265" s="71" t="s">
        <v>408</v>
      </c>
      <c r="E1265" s="71" t="s">
        <v>623</v>
      </c>
      <c r="F1265" s="71" t="s">
        <v>624</v>
      </c>
      <c r="G1265" s="74">
        <v>0</v>
      </c>
      <c r="H1265" s="72">
        <v>0</v>
      </c>
      <c r="I1265" s="73">
        <v>0</v>
      </c>
      <c r="J1265" s="72">
        <v>0</v>
      </c>
      <c r="K1265" s="73">
        <v>-12631.7335</v>
      </c>
      <c r="L1265" s="74">
        <v>25000</v>
      </c>
      <c r="M1265" s="73">
        <v>2331037.42</v>
      </c>
      <c r="N1265" s="74">
        <v>0</v>
      </c>
      <c r="O1265" s="73">
        <v>0</v>
      </c>
      <c r="P1265" s="74">
        <v>25000</v>
      </c>
      <c r="Q1265" s="73">
        <v>2331037.42</v>
      </c>
      <c r="R1265" s="71" t="s">
        <v>625</v>
      </c>
      <c r="S1265" s="71">
        <v>7414000005</v>
      </c>
      <c r="AB1265"/>
      <c r="AC1265"/>
    </row>
    <row r="1266" spans="1:29" x14ac:dyDescent="0.25">
      <c r="A1266" t="str">
        <f t="shared" si="20"/>
        <v xml:space="preserve">2000942GOBFED 341123       </v>
      </c>
      <c r="B1266" s="71">
        <v>2000942</v>
      </c>
      <c r="C1266" s="71" t="s">
        <v>818</v>
      </c>
      <c r="D1266" s="71" t="s">
        <v>384</v>
      </c>
      <c r="E1266" s="71" t="s">
        <v>623</v>
      </c>
      <c r="F1266" s="71" t="s">
        <v>624</v>
      </c>
      <c r="G1266" s="74">
        <v>398</v>
      </c>
      <c r="H1266" s="72">
        <v>81.738860000000003</v>
      </c>
      <c r="I1266" s="73">
        <v>32532.066279999999</v>
      </c>
      <c r="J1266" s="72">
        <v>5.5232792699999997</v>
      </c>
      <c r="K1266" s="73">
        <v>62865.867410539999</v>
      </c>
      <c r="L1266" s="74">
        <v>-398</v>
      </c>
      <c r="M1266" s="73">
        <v>-33728.65</v>
      </c>
      <c r="N1266" s="74">
        <v>0</v>
      </c>
      <c r="O1266" s="73">
        <v>0</v>
      </c>
      <c r="P1266" s="74">
        <v>0</v>
      </c>
      <c r="Q1266" s="73">
        <v>-1196.5837200000001</v>
      </c>
      <c r="R1266" s="71" t="s">
        <v>625</v>
      </c>
      <c r="S1266" s="71">
        <v>7414000005</v>
      </c>
      <c r="AB1266"/>
      <c r="AC1266"/>
    </row>
    <row r="1267" spans="1:29" x14ac:dyDescent="0.25">
      <c r="A1267" t="str">
        <f t="shared" si="20"/>
        <v xml:space="preserve">2000942GOBFED 381118       </v>
      </c>
      <c r="B1267" s="71">
        <v>2000942</v>
      </c>
      <c r="C1267" s="71" t="s">
        <v>818</v>
      </c>
      <c r="D1267" s="71" t="s">
        <v>385</v>
      </c>
      <c r="E1267" s="71" t="s">
        <v>623</v>
      </c>
      <c r="F1267" s="71" t="s">
        <v>624</v>
      </c>
      <c r="G1267" s="74">
        <v>912</v>
      </c>
      <c r="H1267" s="72">
        <v>83.200761</v>
      </c>
      <c r="I1267" s="73">
        <v>75879.094031999994</v>
      </c>
      <c r="J1267" s="72">
        <v>6.0626566799999999</v>
      </c>
      <c r="K1267" s="73">
        <v>146229.04517184</v>
      </c>
      <c r="L1267" s="74">
        <v>-912</v>
      </c>
      <c r="M1267" s="73">
        <v>-78572.56</v>
      </c>
      <c r="N1267" s="74">
        <v>0</v>
      </c>
      <c r="O1267" s="73">
        <v>0</v>
      </c>
      <c r="P1267" s="74">
        <v>0</v>
      </c>
      <c r="Q1267" s="73">
        <v>-2693.465968</v>
      </c>
      <c r="R1267" s="71" t="s">
        <v>625</v>
      </c>
      <c r="S1267" s="71">
        <v>7414000005</v>
      </c>
      <c r="AB1267"/>
      <c r="AC1267"/>
    </row>
    <row r="1268" spans="1:29" x14ac:dyDescent="0.25">
      <c r="A1268" t="str">
        <f t="shared" si="20"/>
        <v xml:space="preserve">2000942GOBFED 421113       </v>
      </c>
      <c r="B1268" s="71">
        <v>2000942</v>
      </c>
      <c r="C1268" s="71" t="s">
        <v>818</v>
      </c>
      <c r="D1268" s="71" t="s">
        <v>386</v>
      </c>
      <c r="E1268" s="71" t="s">
        <v>623</v>
      </c>
      <c r="F1268" s="71" t="s">
        <v>624</v>
      </c>
      <c r="G1268" s="74">
        <v>584</v>
      </c>
      <c r="H1268" s="72">
        <v>82.159907000000004</v>
      </c>
      <c r="I1268" s="73">
        <v>47981.385688000002</v>
      </c>
      <c r="J1268" s="72">
        <v>6.2834505600000004</v>
      </c>
      <c r="K1268" s="73">
        <v>92293.236248960005</v>
      </c>
      <c r="L1268" s="74">
        <v>-584</v>
      </c>
      <c r="M1268" s="73">
        <v>-48665.64</v>
      </c>
      <c r="N1268" s="74">
        <v>0</v>
      </c>
      <c r="O1268" s="73">
        <v>0</v>
      </c>
      <c r="P1268" s="74">
        <v>0</v>
      </c>
      <c r="Q1268" s="73">
        <v>-684.25431200000003</v>
      </c>
      <c r="R1268" s="71" t="s">
        <v>625</v>
      </c>
      <c r="S1268" s="71">
        <v>7414000005</v>
      </c>
      <c r="AB1268"/>
      <c r="AC1268"/>
    </row>
    <row r="1269" spans="1:29" x14ac:dyDescent="0.25">
      <c r="A1269" t="str">
        <f t="shared" si="20"/>
        <v xml:space="preserve">2000942GOBFED 471107       </v>
      </c>
      <c r="B1269" s="71">
        <v>2000942</v>
      </c>
      <c r="C1269" s="71" t="s">
        <v>818</v>
      </c>
      <c r="D1269" s="71" t="s">
        <v>387</v>
      </c>
      <c r="E1269" s="71" t="s">
        <v>623</v>
      </c>
      <c r="F1269" s="71" t="s">
        <v>624</v>
      </c>
      <c r="G1269" s="74">
        <v>700</v>
      </c>
      <c r="H1269" s="72">
        <v>314.42</v>
      </c>
      <c r="I1269" s="73">
        <v>220094</v>
      </c>
      <c r="J1269" s="72">
        <v>55.431371428571431</v>
      </c>
      <c r="K1269" s="73">
        <v>478989.96</v>
      </c>
      <c r="L1269" s="74">
        <v>-700</v>
      </c>
      <c r="M1269" s="73">
        <v>-222571.02</v>
      </c>
      <c r="N1269" s="74">
        <v>0</v>
      </c>
      <c r="O1269" s="73">
        <v>0</v>
      </c>
      <c r="P1269" s="74">
        <v>0</v>
      </c>
      <c r="Q1269" s="73">
        <v>-2477.02</v>
      </c>
      <c r="R1269" s="71" t="s">
        <v>625</v>
      </c>
      <c r="S1269" s="71">
        <v>7414000005</v>
      </c>
      <c r="AB1269"/>
      <c r="AC1269"/>
    </row>
    <row r="1270" spans="1:29" x14ac:dyDescent="0.25">
      <c r="A1270" t="str">
        <f t="shared" si="20"/>
        <v xml:space="preserve">2000942GOBFED 530731       </v>
      </c>
      <c r="B1270" s="71">
        <v>2000942</v>
      </c>
      <c r="C1270" s="71" t="s">
        <v>818</v>
      </c>
      <c r="D1270" s="71" t="s">
        <v>419</v>
      </c>
      <c r="E1270" s="71" t="s">
        <v>623</v>
      </c>
      <c r="F1270" s="71" t="s">
        <v>624</v>
      </c>
      <c r="G1270" s="74">
        <v>0</v>
      </c>
      <c r="H1270" s="72">
        <v>0</v>
      </c>
      <c r="I1270" s="73">
        <v>0</v>
      </c>
      <c r="J1270" s="72">
        <v>0</v>
      </c>
      <c r="K1270" s="73">
        <v>0</v>
      </c>
      <c r="L1270" s="74">
        <v>0</v>
      </c>
      <c r="M1270" s="73">
        <v>0</v>
      </c>
      <c r="N1270" s="74">
        <v>0</v>
      </c>
      <c r="O1270" s="73">
        <v>0</v>
      </c>
      <c r="P1270" s="74">
        <v>0</v>
      </c>
      <c r="Q1270" s="73">
        <v>0</v>
      </c>
      <c r="R1270" s="71" t="s">
        <v>625</v>
      </c>
      <c r="S1270" s="71">
        <v>7414000005</v>
      </c>
      <c r="AB1270"/>
      <c r="AC1270"/>
    </row>
    <row r="1271" spans="1:29" x14ac:dyDescent="0.25">
      <c r="A1271" t="str">
        <f t="shared" si="20"/>
        <v xml:space="preserve">2000942GRUMA B             </v>
      </c>
      <c r="B1271" s="71">
        <v>2000942</v>
      </c>
      <c r="C1271" s="71" t="s">
        <v>818</v>
      </c>
      <c r="D1271" s="71" t="s">
        <v>388</v>
      </c>
      <c r="E1271" s="71" t="s">
        <v>623</v>
      </c>
      <c r="F1271" s="71" t="s">
        <v>624</v>
      </c>
      <c r="G1271" s="74">
        <v>106</v>
      </c>
      <c r="H1271" s="72">
        <v>8532.5</v>
      </c>
      <c r="I1271" s="73">
        <v>904445</v>
      </c>
      <c r="J1271" s="72">
        <v>3270.1701886792453</v>
      </c>
      <c r="K1271" s="73">
        <v>2155528.04</v>
      </c>
      <c r="L1271" s="74">
        <v>-106</v>
      </c>
      <c r="M1271" s="73">
        <v>-914758.8</v>
      </c>
      <c r="N1271" s="74">
        <v>0</v>
      </c>
      <c r="O1271" s="73">
        <v>0</v>
      </c>
      <c r="P1271" s="74">
        <v>0</v>
      </c>
      <c r="Q1271" s="73">
        <v>-10313.799999999999</v>
      </c>
      <c r="R1271" s="71" t="s">
        <v>625</v>
      </c>
      <c r="S1271" s="71">
        <v>7414000005</v>
      </c>
      <c r="AB1271"/>
      <c r="AC1271"/>
    </row>
    <row r="1272" spans="1:29" x14ac:dyDescent="0.25">
      <c r="A1272" t="str">
        <f t="shared" si="20"/>
        <v xml:space="preserve">2000942IENOVA *            </v>
      </c>
      <c r="B1272" s="71">
        <v>2000942</v>
      </c>
      <c r="C1272" s="71" t="s">
        <v>818</v>
      </c>
      <c r="D1272" s="71" t="s">
        <v>580</v>
      </c>
      <c r="E1272" s="71" t="s">
        <v>623</v>
      </c>
      <c r="F1272" s="71" t="s">
        <v>624</v>
      </c>
      <c r="G1272" s="74">
        <v>5000</v>
      </c>
      <c r="H1272" s="72">
        <v>38.369999999999997</v>
      </c>
      <c r="I1272" s="73">
        <v>191850</v>
      </c>
      <c r="J1272" s="72">
        <v>4.390682</v>
      </c>
      <c r="K1272" s="73">
        <v>405653.41</v>
      </c>
      <c r="L1272" s="74">
        <v>-5000</v>
      </c>
      <c r="M1272" s="73">
        <v>-191681.14</v>
      </c>
      <c r="N1272" s="74">
        <v>0</v>
      </c>
      <c r="O1272" s="73">
        <v>0</v>
      </c>
      <c r="P1272" s="74">
        <v>0</v>
      </c>
      <c r="Q1272" s="73">
        <v>168.86</v>
      </c>
      <c r="R1272" s="71" t="s">
        <v>625</v>
      </c>
      <c r="S1272" s="71">
        <v>7414000005</v>
      </c>
      <c r="AB1272"/>
      <c r="AC1272"/>
    </row>
    <row r="1273" spans="1:29" x14ac:dyDescent="0.25">
      <c r="A1273" t="str">
        <f t="shared" si="20"/>
        <v xml:space="preserve">2000942IVV *               </v>
      </c>
      <c r="B1273" s="71">
        <v>2000942</v>
      </c>
      <c r="C1273" s="71" t="s">
        <v>818</v>
      </c>
      <c r="D1273" s="71" t="s">
        <v>539</v>
      </c>
      <c r="E1273" s="71" t="s">
        <v>623</v>
      </c>
      <c r="F1273" s="71" t="s">
        <v>624</v>
      </c>
      <c r="G1273" s="74">
        <v>1020</v>
      </c>
      <c r="H1273" s="72">
        <v>158.63</v>
      </c>
      <c r="I1273" s="73">
        <v>161802.6</v>
      </c>
      <c r="J1273" s="72">
        <v>25.272147058823528</v>
      </c>
      <c r="K1273" s="73">
        <v>349382.79</v>
      </c>
      <c r="L1273" s="74">
        <v>-1020</v>
      </c>
      <c r="M1273" s="73">
        <v>-163642.03</v>
      </c>
      <c r="N1273" s="74">
        <v>0</v>
      </c>
      <c r="O1273" s="73">
        <v>0</v>
      </c>
      <c r="P1273" s="74">
        <v>0</v>
      </c>
      <c r="Q1273" s="73">
        <v>-1839.43</v>
      </c>
      <c r="R1273" s="71" t="s">
        <v>625</v>
      </c>
      <c r="S1273" s="71">
        <v>7414000005</v>
      </c>
      <c r="AB1273"/>
      <c r="AC1273"/>
    </row>
    <row r="1274" spans="1:29" x14ac:dyDescent="0.25">
      <c r="A1274" t="str">
        <f t="shared" si="20"/>
        <v xml:space="preserve">2000942KIMBER A            </v>
      </c>
      <c r="B1274" s="71">
        <v>2000942</v>
      </c>
      <c r="C1274" s="71" t="s">
        <v>818</v>
      </c>
      <c r="D1274" s="71" t="s">
        <v>541</v>
      </c>
      <c r="E1274" s="71" t="s">
        <v>623</v>
      </c>
      <c r="F1274" s="71" t="s">
        <v>624</v>
      </c>
      <c r="G1274" s="74">
        <v>900</v>
      </c>
      <c r="H1274" s="72">
        <v>156</v>
      </c>
      <c r="I1274" s="73">
        <v>140400</v>
      </c>
      <c r="J1274" s="72">
        <v>20.82157777777778</v>
      </c>
      <c r="K1274" s="73">
        <v>299539.42</v>
      </c>
      <c r="L1274" s="74">
        <v>-900</v>
      </c>
      <c r="M1274" s="73">
        <v>-140539.99</v>
      </c>
      <c r="N1274" s="74">
        <v>0</v>
      </c>
      <c r="O1274" s="73">
        <v>0</v>
      </c>
      <c r="P1274" s="74">
        <v>0</v>
      </c>
      <c r="Q1274" s="73">
        <v>-139.99</v>
      </c>
      <c r="R1274" s="71" t="s">
        <v>625</v>
      </c>
      <c r="S1274" s="71">
        <v>7414000005</v>
      </c>
      <c r="AB1274"/>
      <c r="AC1274"/>
    </row>
    <row r="1275" spans="1:29" x14ac:dyDescent="0.25">
      <c r="A1275" t="str">
        <f t="shared" si="20"/>
        <v xml:space="preserve">2000942KOF UBL             </v>
      </c>
      <c r="B1275" s="71">
        <v>2000942</v>
      </c>
      <c r="C1275" s="71" t="s">
        <v>818</v>
      </c>
      <c r="D1275" s="71" t="s">
        <v>501</v>
      </c>
      <c r="E1275" s="71" t="s">
        <v>623</v>
      </c>
      <c r="F1275" s="71" t="s">
        <v>624</v>
      </c>
      <c r="G1275" s="74">
        <v>558</v>
      </c>
      <c r="H1275" s="72">
        <v>682.55</v>
      </c>
      <c r="I1275" s="73">
        <v>380862.9</v>
      </c>
      <c r="J1275" s="72">
        <v>90.805448028673837</v>
      </c>
      <c r="K1275" s="73">
        <v>711056.36</v>
      </c>
      <c r="L1275" s="74">
        <v>-558</v>
      </c>
      <c r="M1275" s="73">
        <v>-380862.9</v>
      </c>
      <c r="N1275" s="74">
        <v>0</v>
      </c>
      <c r="O1275" s="73">
        <v>0</v>
      </c>
      <c r="P1275" s="74">
        <v>0</v>
      </c>
      <c r="Q1275" s="73">
        <v>0</v>
      </c>
      <c r="R1275" s="71" t="s">
        <v>625</v>
      </c>
      <c r="S1275" s="71">
        <v>7414000005</v>
      </c>
      <c r="AB1275"/>
      <c r="AC1275"/>
    </row>
    <row r="1276" spans="1:29" x14ac:dyDescent="0.25">
      <c r="A1276" t="str">
        <f t="shared" si="20"/>
        <v xml:space="preserve">2000942R A                 </v>
      </c>
      <c r="B1276" s="71">
        <v>2000942</v>
      </c>
      <c r="C1276" s="71" t="s">
        <v>818</v>
      </c>
      <c r="D1276" s="71" t="s">
        <v>568</v>
      </c>
      <c r="E1276" s="71" t="s">
        <v>623</v>
      </c>
      <c r="F1276" s="71" t="s">
        <v>624</v>
      </c>
      <c r="G1276" s="74">
        <v>52794</v>
      </c>
      <c r="H1276" s="72">
        <v>48.559412999999999</v>
      </c>
      <c r="I1276" s="73">
        <v>2563645.6499219998</v>
      </c>
      <c r="J1276" s="72">
        <v>17.163661969163162</v>
      </c>
      <c r="K1276" s="73">
        <v>6033429.6698439997</v>
      </c>
      <c r="L1276" s="74">
        <v>-52794</v>
      </c>
      <c r="M1276" s="73">
        <v>-2563645.65</v>
      </c>
      <c r="N1276" s="74">
        <v>0</v>
      </c>
      <c r="O1276" s="73">
        <v>0</v>
      </c>
      <c r="P1276" s="74">
        <v>0</v>
      </c>
      <c r="Q1276" s="73">
        <v>-7.7999999999999999E-5</v>
      </c>
      <c r="R1276" s="71" t="s">
        <v>625</v>
      </c>
      <c r="S1276" s="71">
        <v>7414000005</v>
      </c>
      <c r="AB1276"/>
      <c r="AC1276"/>
    </row>
    <row r="1277" spans="1:29" x14ac:dyDescent="0.25">
      <c r="A1277" t="str">
        <f t="shared" si="20"/>
        <v xml:space="preserve">2000942SPSM *              </v>
      </c>
      <c r="B1277" s="71">
        <v>2000942</v>
      </c>
      <c r="C1277" s="71" t="s">
        <v>818</v>
      </c>
      <c r="D1277" s="71" t="s">
        <v>569</v>
      </c>
      <c r="E1277" s="71" t="s">
        <v>623</v>
      </c>
      <c r="F1277" s="71" t="s">
        <v>624</v>
      </c>
      <c r="G1277" s="74">
        <v>785136</v>
      </c>
      <c r="H1277" s="72">
        <v>3.5281129999999998</v>
      </c>
      <c r="I1277" s="73">
        <v>2770048.5283679999</v>
      </c>
      <c r="J1277" s="72">
        <v>1.374879995312914</v>
      </c>
      <c r="K1277" s="73">
        <v>6619564.8367360001</v>
      </c>
      <c r="L1277" s="74">
        <v>-785136</v>
      </c>
      <c r="M1277" s="73">
        <v>-2770048.53</v>
      </c>
      <c r="N1277" s="74">
        <v>0</v>
      </c>
      <c r="O1277" s="73">
        <v>0</v>
      </c>
      <c r="P1277" s="74">
        <v>0</v>
      </c>
      <c r="Q1277" s="73">
        <v>-1.632E-3</v>
      </c>
      <c r="R1277" s="71" t="s">
        <v>625</v>
      </c>
      <c r="S1277" s="71">
        <v>7414000005</v>
      </c>
      <c r="AB1277"/>
      <c r="AC1277"/>
    </row>
    <row r="1278" spans="1:29" x14ac:dyDescent="0.25">
      <c r="A1278" t="str">
        <f t="shared" si="20"/>
        <v xml:space="preserve">2000942ST&amp;ER-7 ED          </v>
      </c>
      <c r="B1278" s="71">
        <v>2000942</v>
      </c>
      <c r="C1278" s="71" t="s">
        <v>818</v>
      </c>
      <c r="D1278" s="71" t="s">
        <v>389</v>
      </c>
      <c r="E1278" s="71" t="s">
        <v>623</v>
      </c>
      <c r="F1278" s="71" t="s">
        <v>624</v>
      </c>
      <c r="G1278" s="74">
        <v>889529</v>
      </c>
      <c r="H1278" s="72">
        <v>3.3967719999999999</v>
      </c>
      <c r="I1278" s="73">
        <v>3021527.2003879999</v>
      </c>
      <c r="J1278" s="72">
        <v>3.1867618930917372</v>
      </c>
      <c r="K1278" s="73">
        <v>186810.080388</v>
      </c>
      <c r="L1278" s="74">
        <v>0</v>
      </c>
      <c r="M1278" s="73">
        <v>0</v>
      </c>
      <c r="N1278" s="74">
        <v>0</v>
      </c>
      <c r="O1278" s="73">
        <v>0</v>
      </c>
      <c r="P1278" s="74">
        <v>889529</v>
      </c>
      <c r="Q1278" s="73">
        <v>3021527.2003879999</v>
      </c>
      <c r="R1278" s="71" t="s">
        <v>625</v>
      </c>
      <c r="S1278" s="71">
        <v>7414000005</v>
      </c>
      <c r="AB1278"/>
      <c r="AC1278"/>
    </row>
    <row r="1279" spans="1:29" x14ac:dyDescent="0.25">
      <c r="A1279" t="str">
        <f t="shared" si="20"/>
        <v xml:space="preserve">2000942STEREAL ED          </v>
      </c>
      <c r="B1279" s="71">
        <v>2000942</v>
      </c>
      <c r="C1279" s="71" t="s">
        <v>818</v>
      </c>
      <c r="D1279" s="71" t="s">
        <v>582</v>
      </c>
      <c r="E1279" s="71" t="s">
        <v>623</v>
      </c>
      <c r="F1279" s="71" t="s">
        <v>624</v>
      </c>
      <c r="G1279" s="74">
        <v>1700</v>
      </c>
      <c r="H1279" s="72">
        <v>42.3</v>
      </c>
      <c r="I1279" s="73">
        <v>71910</v>
      </c>
      <c r="J1279" s="72">
        <v>10.395082352941177</v>
      </c>
      <c r="K1279" s="73">
        <v>161491.64000000001</v>
      </c>
      <c r="L1279" s="74">
        <v>-1700</v>
      </c>
      <c r="M1279" s="73">
        <v>-72044.45</v>
      </c>
      <c r="N1279" s="74">
        <v>0</v>
      </c>
      <c r="O1279" s="73">
        <v>0</v>
      </c>
      <c r="P1279" s="74">
        <v>0</v>
      </c>
      <c r="Q1279" s="73">
        <v>-134.44999999999999</v>
      </c>
      <c r="R1279" s="71" t="s">
        <v>625</v>
      </c>
      <c r="S1279" s="71">
        <v>7414000005</v>
      </c>
      <c r="AB1279"/>
      <c r="AC1279"/>
    </row>
    <row r="1280" spans="1:29" x14ac:dyDescent="0.25">
      <c r="A1280" t="str">
        <f t="shared" si="20"/>
        <v xml:space="preserve">2000942STERGOB ED          </v>
      </c>
      <c r="B1280" s="71">
        <v>2000942</v>
      </c>
      <c r="C1280" s="71" t="s">
        <v>818</v>
      </c>
      <c r="D1280" s="71" t="s">
        <v>395</v>
      </c>
      <c r="E1280" s="71" t="s">
        <v>623</v>
      </c>
      <c r="F1280" s="71" t="s">
        <v>624</v>
      </c>
      <c r="G1280" s="74">
        <v>290</v>
      </c>
      <c r="H1280" s="72">
        <v>772.926965</v>
      </c>
      <c r="I1280" s="73">
        <v>224148.81985</v>
      </c>
      <c r="J1280" s="72">
        <v>31.998697119999999</v>
      </c>
      <c r="K1280" s="73">
        <v>439018.01753519999</v>
      </c>
      <c r="L1280" s="74">
        <v>-290</v>
      </c>
      <c r="M1280" s="73">
        <v>-227599.27</v>
      </c>
      <c r="N1280" s="74">
        <v>0</v>
      </c>
      <c r="O1280" s="73">
        <v>0</v>
      </c>
      <c r="P1280" s="74">
        <v>0</v>
      </c>
      <c r="Q1280" s="73">
        <v>-3450.4501500000001</v>
      </c>
      <c r="R1280" s="71" t="s">
        <v>625</v>
      </c>
      <c r="S1280" s="71">
        <v>7414000005</v>
      </c>
      <c r="AB1280"/>
      <c r="AC1280"/>
    </row>
    <row r="1281" spans="1:29" x14ac:dyDescent="0.25">
      <c r="A1281" t="str">
        <f t="shared" si="20"/>
        <v xml:space="preserve">2000942TERRA 13            </v>
      </c>
      <c r="B1281" s="71">
        <v>2000942</v>
      </c>
      <c r="C1281" s="71" t="s">
        <v>818</v>
      </c>
      <c r="D1281" s="71" t="s">
        <v>396</v>
      </c>
      <c r="E1281" s="71" t="s">
        <v>623</v>
      </c>
      <c r="F1281" s="71" t="s">
        <v>624</v>
      </c>
      <c r="G1281" s="74">
        <v>233</v>
      </c>
      <c r="H1281" s="72">
        <v>721.59464000000003</v>
      </c>
      <c r="I1281" s="73">
        <v>168131.55111999999</v>
      </c>
      <c r="J1281" s="72">
        <v>35.7096655</v>
      </c>
      <c r="K1281" s="73">
        <v>327942.75017850002</v>
      </c>
      <c r="L1281" s="74">
        <v>-233</v>
      </c>
      <c r="M1281" s="73">
        <v>-170587.95</v>
      </c>
      <c r="N1281" s="74">
        <v>0</v>
      </c>
      <c r="O1281" s="73">
        <v>0</v>
      </c>
      <c r="P1281" s="74">
        <v>0</v>
      </c>
      <c r="Q1281" s="73">
        <v>-2456.3988800000002</v>
      </c>
      <c r="R1281" s="71" t="s">
        <v>625</v>
      </c>
      <c r="S1281" s="71">
        <v>7414000005</v>
      </c>
      <c r="AB1281"/>
      <c r="AC1281"/>
    </row>
    <row r="1282" spans="1:29" x14ac:dyDescent="0.25">
      <c r="A1282" t="str">
        <f t="shared" si="20"/>
        <v xml:space="preserve">2000942UDIBONO 351122      </v>
      </c>
      <c r="B1282" s="71">
        <v>2000942</v>
      </c>
      <c r="C1282" s="71" t="s">
        <v>818</v>
      </c>
      <c r="D1282" s="71" t="s">
        <v>397</v>
      </c>
      <c r="E1282" s="71" t="s">
        <v>623</v>
      </c>
      <c r="F1282" s="71" t="s">
        <v>624</v>
      </c>
      <c r="G1282" s="74">
        <v>45</v>
      </c>
      <c r="H1282" s="72">
        <v>635.96311900000001</v>
      </c>
      <c r="I1282" s="73">
        <v>28618.340355</v>
      </c>
      <c r="J1282" s="72">
        <v>38.160738819999999</v>
      </c>
      <c r="K1282" s="73">
        <v>55519.447463099998</v>
      </c>
      <c r="L1282" s="74">
        <v>-45</v>
      </c>
      <c r="M1282" s="73">
        <v>-29012.400000000001</v>
      </c>
      <c r="N1282" s="74">
        <v>0</v>
      </c>
      <c r="O1282" s="73">
        <v>0</v>
      </c>
      <c r="P1282" s="74">
        <v>0</v>
      </c>
      <c r="Q1282" s="73">
        <v>-394.05964499999999</v>
      </c>
      <c r="R1282" s="71" t="s">
        <v>625</v>
      </c>
      <c r="S1282" s="71">
        <v>7414000005</v>
      </c>
      <c r="AB1282"/>
      <c r="AC1282"/>
    </row>
    <row r="1283" spans="1:29" x14ac:dyDescent="0.25">
      <c r="A1283" t="str">
        <f t="shared" si="20"/>
        <v xml:space="preserve">2000942UDIBONO 401115      </v>
      </c>
      <c r="B1283" s="71">
        <v>2000942</v>
      </c>
      <c r="C1283" s="71" t="s">
        <v>818</v>
      </c>
      <c r="D1283" s="71" t="s">
        <v>398</v>
      </c>
      <c r="E1283" s="71" t="s">
        <v>623</v>
      </c>
      <c r="F1283" s="71" t="s">
        <v>624</v>
      </c>
      <c r="G1283" s="74">
        <v>232</v>
      </c>
      <c r="H1283" s="72">
        <v>709.36974099999998</v>
      </c>
      <c r="I1283" s="73">
        <v>164573.779912</v>
      </c>
      <c r="J1283" s="72">
        <v>58.809078419999999</v>
      </c>
      <c r="K1283" s="73">
        <v>315503.85363055998</v>
      </c>
      <c r="L1283" s="74">
        <v>-232</v>
      </c>
      <c r="M1283" s="73">
        <v>-167195.85</v>
      </c>
      <c r="N1283" s="74">
        <v>0</v>
      </c>
      <c r="O1283" s="73">
        <v>0</v>
      </c>
      <c r="P1283" s="74">
        <v>0</v>
      </c>
      <c r="Q1283" s="73">
        <v>-2622.0700879999999</v>
      </c>
      <c r="R1283" s="71" t="s">
        <v>625</v>
      </c>
      <c r="S1283" s="71">
        <v>7414000005</v>
      </c>
      <c r="AB1283"/>
      <c r="AC1283"/>
    </row>
    <row r="1284" spans="1:29" x14ac:dyDescent="0.25">
      <c r="A1284" t="str">
        <f t="shared" si="20"/>
        <v xml:space="preserve">2000942UDIBONO 431112      </v>
      </c>
      <c r="B1284" s="71">
        <v>2000942</v>
      </c>
      <c r="C1284" s="71" t="s">
        <v>818</v>
      </c>
      <c r="D1284" s="71" t="s">
        <v>399</v>
      </c>
      <c r="E1284" s="71" t="s">
        <v>623</v>
      </c>
      <c r="F1284" s="71" t="s">
        <v>624</v>
      </c>
      <c r="G1284" s="74">
        <v>405</v>
      </c>
      <c r="H1284" s="72">
        <v>694.41118700000004</v>
      </c>
      <c r="I1284" s="73">
        <v>281236.53073499998</v>
      </c>
      <c r="J1284" s="72">
        <v>57.274829279999999</v>
      </c>
      <c r="K1284" s="73">
        <v>539276.75561160001</v>
      </c>
      <c r="L1284" s="74">
        <v>-405</v>
      </c>
      <c r="M1284" s="73">
        <v>-286887.57</v>
      </c>
      <c r="N1284" s="74">
        <v>0</v>
      </c>
      <c r="O1284" s="73">
        <v>0</v>
      </c>
      <c r="P1284" s="74">
        <v>0</v>
      </c>
      <c r="Q1284" s="73">
        <v>-5651.0392650000003</v>
      </c>
      <c r="R1284" s="71" t="s">
        <v>625</v>
      </c>
      <c r="S1284" s="71">
        <v>7414000005</v>
      </c>
      <c r="AB1284"/>
      <c r="AC1284"/>
    </row>
    <row r="1285" spans="1:29" x14ac:dyDescent="0.25">
      <c r="A1285" t="str">
        <f t="shared" si="20"/>
        <v xml:space="preserve">2000942UDIBONO 461108      </v>
      </c>
      <c r="B1285" s="71">
        <v>2000942</v>
      </c>
      <c r="C1285" s="71" t="s">
        <v>818</v>
      </c>
      <c r="D1285" s="71" t="s">
        <v>400</v>
      </c>
      <c r="E1285" s="71" t="s">
        <v>623</v>
      </c>
      <c r="F1285" s="71" t="s">
        <v>624</v>
      </c>
      <c r="G1285" s="74">
        <v>3100</v>
      </c>
      <c r="H1285" s="72">
        <v>58.67</v>
      </c>
      <c r="I1285" s="73">
        <v>181877</v>
      </c>
      <c r="J1285" s="72">
        <v>9.4700709677419361</v>
      </c>
      <c r="K1285" s="73">
        <v>253256.17</v>
      </c>
      <c r="L1285" s="74">
        <v>-1717</v>
      </c>
      <c r="M1285" s="73">
        <v>-103307.1</v>
      </c>
      <c r="N1285" s="74">
        <v>0</v>
      </c>
      <c r="O1285" s="73">
        <v>0</v>
      </c>
      <c r="P1285" s="74">
        <v>1383</v>
      </c>
      <c r="Q1285" s="73">
        <v>78569.899999999994</v>
      </c>
      <c r="R1285" s="71" t="s">
        <v>625</v>
      </c>
      <c r="S1285" s="71">
        <v>7414000005</v>
      </c>
      <c r="AB1285"/>
      <c r="AC1285"/>
    </row>
    <row r="1286" spans="1:29" x14ac:dyDescent="0.25">
      <c r="A1286" t="str">
        <f t="shared" si="20"/>
        <v xml:space="preserve">2000942UDIBONO 501103      </v>
      </c>
      <c r="B1286" s="71">
        <v>2000942</v>
      </c>
      <c r="C1286" s="71" t="s">
        <v>818</v>
      </c>
      <c r="D1286" s="71" t="s">
        <v>401</v>
      </c>
      <c r="E1286" s="71" t="s">
        <v>623</v>
      </c>
      <c r="F1286" s="71" t="s">
        <v>624</v>
      </c>
      <c r="G1286" s="74">
        <v>260</v>
      </c>
      <c r="H1286" s="72">
        <v>1090</v>
      </c>
      <c r="I1286" s="73">
        <v>283400</v>
      </c>
      <c r="J1286" s="72">
        <v>6.2521538461538464</v>
      </c>
      <c r="K1286" s="73">
        <v>568425.56000000006</v>
      </c>
      <c r="L1286" s="74">
        <v>-260</v>
      </c>
      <c r="M1286" s="73">
        <v>-284468.59999999998</v>
      </c>
      <c r="N1286" s="74">
        <v>0</v>
      </c>
      <c r="O1286" s="73">
        <v>0</v>
      </c>
      <c r="P1286" s="74">
        <v>0</v>
      </c>
      <c r="Q1286" s="73">
        <v>-1068.5999999999999</v>
      </c>
      <c r="R1286" s="71" t="s">
        <v>625</v>
      </c>
      <c r="S1286" s="71">
        <v>7414000005</v>
      </c>
      <c r="AB1286"/>
      <c r="AC1286"/>
    </row>
    <row r="1287" spans="1:29" x14ac:dyDescent="0.25">
      <c r="A1287" t="str">
        <f t="shared" ref="A1287:A1350" si="21">B1285&amp;D1285</f>
        <v xml:space="preserve">2000942VESTA *             </v>
      </c>
      <c r="B1287" s="71">
        <v>2000942</v>
      </c>
      <c r="C1287" s="71" t="s">
        <v>818</v>
      </c>
      <c r="D1287" s="71" t="s">
        <v>403</v>
      </c>
      <c r="E1287" s="71" t="s">
        <v>623</v>
      </c>
      <c r="F1287" s="71" t="s">
        <v>624</v>
      </c>
      <c r="G1287" s="74">
        <v>9900</v>
      </c>
      <c r="H1287" s="72">
        <v>65.260000000000005</v>
      </c>
      <c r="I1287" s="73">
        <v>646074</v>
      </c>
      <c r="J1287" s="72">
        <v>4.5554383838383838</v>
      </c>
      <c r="K1287" s="73">
        <v>1247049.1599999999</v>
      </c>
      <c r="L1287" s="74">
        <v>-9900</v>
      </c>
      <c r="M1287" s="73">
        <v>-645466.18000000005</v>
      </c>
      <c r="N1287" s="74">
        <v>0</v>
      </c>
      <c r="O1287" s="73">
        <v>0</v>
      </c>
      <c r="P1287" s="74">
        <v>0</v>
      </c>
      <c r="Q1287" s="73">
        <v>607.82000000000005</v>
      </c>
      <c r="R1287" s="71" t="s">
        <v>625</v>
      </c>
      <c r="S1287" s="71">
        <v>7414000005</v>
      </c>
      <c r="AB1287"/>
      <c r="AC1287"/>
    </row>
    <row r="1288" spans="1:29" x14ac:dyDescent="0.25">
      <c r="A1288" t="str">
        <f t="shared" si="21"/>
        <v xml:space="preserve">2000942VGK *               </v>
      </c>
      <c r="B1288" s="71">
        <v>2000947</v>
      </c>
      <c r="C1288" s="71" t="s">
        <v>819</v>
      </c>
      <c r="D1288" s="71" t="s">
        <v>389</v>
      </c>
      <c r="E1288" s="71" t="s">
        <v>623</v>
      </c>
      <c r="F1288" s="71" t="s">
        <v>624</v>
      </c>
      <c r="G1288" s="74">
        <v>3886</v>
      </c>
      <c r="H1288" s="72">
        <v>3.3967719999999999</v>
      </c>
      <c r="I1288" s="73">
        <v>13199.855992000001</v>
      </c>
      <c r="J1288" s="72">
        <v>3.3601878538342769</v>
      </c>
      <c r="K1288" s="73">
        <v>142.16599199999999</v>
      </c>
      <c r="L1288" s="74">
        <v>0</v>
      </c>
      <c r="M1288" s="73">
        <v>0</v>
      </c>
      <c r="N1288" s="74">
        <v>0</v>
      </c>
      <c r="O1288" s="73">
        <v>0</v>
      </c>
      <c r="P1288" s="74">
        <v>3886</v>
      </c>
      <c r="Q1288" s="73">
        <v>13199.855992000001</v>
      </c>
      <c r="R1288" s="71" t="s">
        <v>625</v>
      </c>
      <c r="S1288" s="71">
        <v>7414000005</v>
      </c>
      <c r="AB1288"/>
      <c r="AC1288"/>
    </row>
    <row r="1289" spans="1:29" x14ac:dyDescent="0.25">
      <c r="A1289" t="str">
        <f t="shared" si="21"/>
        <v xml:space="preserve">2000942WALMEX *            </v>
      </c>
      <c r="B1289" s="71">
        <v>2000947</v>
      </c>
      <c r="C1289" s="71" t="s">
        <v>819</v>
      </c>
      <c r="D1289" s="71" t="s">
        <v>407</v>
      </c>
      <c r="E1289" s="71" t="s">
        <v>623</v>
      </c>
      <c r="F1289" s="71" t="s">
        <v>624</v>
      </c>
      <c r="G1289" s="74">
        <v>8000411</v>
      </c>
      <c r="H1289" s="72">
        <v>2.7668819999999998</v>
      </c>
      <c r="I1289" s="73">
        <v>22136193.188501999</v>
      </c>
      <c r="J1289" s="72">
        <v>1.8965170014390511</v>
      </c>
      <c r="K1289" s="73">
        <v>6963277.7085020002</v>
      </c>
      <c r="L1289" s="74">
        <v>0</v>
      </c>
      <c r="M1289" s="73">
        <v>0</v>
      </c>
      <c r="N1289" s="74">
        <v>0</v>
      </c>
      <c r="O1289" s="73">
        <v>0</v>
      </c>
      <c r="P1289" s="74">
        <v>8000411</v>
      </c>
      <c r="Q1289" s="73">
        <v>22136193.188501999</v>
      </c>
      <c r="R1289" s="71" t="s">
        <v>625</v>
      </c>
      <c r="S1289" s="71">
        <v>7414000005</v>
      </c>
      <c r="AB1289"/>
      <c r="AC1289"/>
    </row>
    <row r="1290" spans="1:29" x14ac:dyDescent="0.25">
      <c r="A1290" t="str">
        <f t="shared" si="21"/>
        <v xml:space="preserve">2000947STERGOB ED          </v>
      </c>
      <c r="B1290" s="71">
        <v>2001046</v>
      </c>
      <c r="C1290" s="71" t="s">
        <v>820</v>
      </c>
      <c r="D1290" s="71" t="s">
        <v>480</v>
      </c>
      <c r="E1290" s="71" t="s">
        <v>623</v>
      </c>
      <c r="F1290" s="71" t="s">
        <v>624</v>
      </c>
      <c r="G1290" s="74">
        <v>27192</v>
      </c>
      <c r="H1290" s="72">
        <v>3.612981</v>
      </c>
      <c r="I1290" s="73">
        <v>98244.179352000006</v>
      </c>
      <c r="J1290" s="72">
        <v>3.6023749632244777</v>
      </c>
      <c r="K1290" s="73">
        <v>288.39935200000002</v>
      </c>
      <c r="L1290" s="74">
        <v>0</v>
      </c>
      <c r="M1290" s="73">
        <v>0</v>
      </c>
      <c r="N1290" s="74">
        <v>0</v>
      </c>
      <c r="O1290" s="73">
        <v>0</v>
      </c>
      <c r="P1290" s="74">
        <v>27192</v>
      </c>
      <c r="Q1290" s="73">
        <v>98244.179352000006</v>
      </c>
      <c r="R1290" s="71" t="s">
        <v>625</v>
      </c>
      <c r="S1290" s="71">
        <v>7414000005</v>
      </c>
      <c r="AB1290"/>
      <c r="AC1290"/>
    </row>
    <row r="1291" spans="1:29" x14ac:dyDescent="0.25">
      <c r="A1291" t="str">
        <f t="shared" si="21"/>
        <v xml:space="preserve">2000947SVIVE60 ED          </v>
      </c>
      <c r="B1291" s="71">
        <v>2001046</v>
      </c>
      <c r="C1291" s="71" t="s">
        <v>820</v>
      </c>
      <c r="D1291" s="71" t="s">
        <v>413</v>
      </c>
      <c r="E1291" s="71" t="s">
        <v>623</v>
      </c>
      <c r="F1291" s="71" t="s">
        <v>624</v>
      </c>
      <c r="G1291" s="74">
        <v>16219</v>
      </c>
      <c r="H1291" s="72">
        <v>137.04691399999999</v>
      </c>
      <c r="I1291" s="73">
        <v>2222763.8981659999</v>
      </c>
      <c r="J1291" s="72">
        <v>119.13608483876935</v>
      </c>
      <c r="K1291" s="73">
        <v>290495.738166</v>
      </c>
      <c r="L1291" s="74">
        <v>0</v>
      </c>
      <c r="M1291" s="73">
        <v>0</v>
      </c>
      <c r="N1291" s="74">
        <v>0</v>
      </c>
      <c r="O1291" s="73">
        <v>0</v>
      </c>
      <c r="P1291" s="74">
        <v>16219</v>
      </c>
      <c r="Q1291" s="73">
        <v>2222763.8981659999</v>
      </c>
      <c r="R1291" s="71" t="s">
        <v>625</v>
      </c>
      <c r="S1291" s="71">
        <v>7414000005</v>
      </c>
      <c r="AB1291"/>
      <c r="AC1291"/>
    </row>
    <row r="1292" spans="1:29" x14ac:dyDescent="0.25">
      <c r="A1292" t="str">
        <f t="shared" si="21"/>
        <v xml:space="preserve">2001046STERGOB B4          </v>
      </c>
      <c r="B1292" s="71">
        <v>2001046</v>
      </c>
      <c r="C1292" s="71" t="s">
        <v>820</v>
      </c>
      <c r="D1292" s="71" t="s">
        <v>414</v>
      </c>
      <c r="E1292" s="71" t="s">
        <v>623</v>
      </c>
      <c r="F1292" s="71" t="s">
        <v>624</v>
      </c>
      <c r="G1292" s="74">
        <v>2466349</v>
      </c>
      <c r="H1292" s="72">
        <v>3.6364960000000002</v>
      </c>
      <c r="I1292" s="73">
        <v>8968868.2731040008</v>
      </c>
      <c r="J1292" s="72">
        <v>3.048425775468111</v>
      </c>
      <c r="K1292" s="73">
        <v>1450386.4102040001</v>
      </c>
      <c r="L1292" s="74">
        <v>0</v>
      </c>
      <c r="M1292" s="73">
        <v>0</v>
      </c>
      <c r="N1292" s="74">
        <v>0</v>
      </c>
      <c r="O1292" s="73">
        <v>0</v>
      </c>
      <c r="P1292" s="74">
        <v>2466349</v>
      </c>
      <c r="Q1292" s="73">
        <v>8968868.2731040008</v>
      </c>
      <c r="R1292" s="71" t="s">
        <v>625</v>
      </c>
      <c r="S1292" s="71">
        <v>7414000005</v>
      </c>
      <c r="AB1292"/>
      <c r="AC1292"/>
    </row>
    <row r="1293" spans="1:29" x14ac:dyDescent="0.25">
      <c r="A1293" t="str">
        <f t="shared" si="21"/>
        <v xml:space="preserve">2001046SVIVE20 S           </v>
      </c>
      <c r="B1293" s="71">
        <v>2001046</v>
      </c>
      <c r="C1293" s="71" t="s">
        <v>820</v>
      </c>
      <c r="D1293" s="71" t="s">
        <v>415</v>
      </c>
      <c r="E1293" s="71" t="s">
        <v>623</v>
      </c>
      <c r="F1293" s="71" t="s">
        <v>624</v>
      </c>
      <c r="G1293" s="74">
        <v>1218943</v>
      </c>
      <c r="H1293" s="72">
        <v>2.1315040000000001</v>
      </c>
      <c r="I1293" s="73">
        <v>2598181.8802720001</v>
      </c>
      <c r="J1293" s="72">
        <v>1.8717125371736003</v>
      </c>
      <c r="K1293" s="73">
        <v>316670.98507200001</v>
      </c>
      <c r="L1293" s="74">
        <v>0</v>
      </c>
      <c r="M1293" s="73">
        <v>0</v>
      </c>
      <c r="N1293" s="74">
        <v>0</v>
      </c>
      <c r="O1293" s="73">
        <v>0</v>
      </c>
      <c r="P1293" s="74">
        <v>1218943</v>
      </c>
      <c r="Q1293" s="73">
        <v>2598181.8802720001</v>
      </c>
      <c r="R1293" s="71" t="s">
        <v>625</v>
      </c>
      <c r="S1293" s="71">
        <v>7414000005</v>
      </c>
      <c r="AB1293"/>
      <c r="AC1293"/>
    </row>
    <row r="1294" spans="1:29" x14ac:dyDescent="0.25">
      <c r="A1294" t="str">
        <f t="shared" si="21"/>
        <v xml:space="preserve">2001046SVIVE35 S           </v>
      </c>
      <c r="B1294" s="71">
        <v>2001046</v>
      </c>
      <c r="C1294" s="71" t="s">
        <v>820</v>
      </c>
      <c r="D1294" s="71" t="s">
        <v>416</v>
      </c>
      <c r="E1294" s="71" t="s">
        <v>623</v>
      </c>
      <c r="F1294" s="71" t="s">
        <v>624</v>
      </c>
      <c r="G1294" s="74">
        <v>144619</v>
      </c>
      <c r="H1294" s="72">
        <v>2.8149250000000001</v>
      </c>
      <c r="I1294" s="73">
        <v>407091.63857499999</v>
      </c>
      <c r="J1294" s="72">
        <v>2.6742709464178289</v>
      </c>
      <c r="K1294" s="73">
        <v>20341.248575000001</v>
      </c>
      <c r="L1294" s="74">
        <v>0</v>
      </c>
      <c r="M1294" s="73">
        <v>0</v>
      </c>
      <c r="N1294" s="74">
        <v>0</v>
      </c>
      <c r="O1294" s="73">
        <v>0</v>
      </c>
      <c r="P1294" s="74">
        <v>144619</v>
      </c>
      <c r="Q1294" s="73">
        <v>407091.63857499999</v>
      </c>
      <c r="R1294" s="71" t="s">
        <v>625</v>
      </c>
      <c r="S1294" s="71">
        <v>7414000005</v>
      </c>
      <c r="AB1294"/>
      <c r="AC1294"/>
    </row>
    <row r="1295" spans="1:29" x14ac:dyDescent="0.25">
      <c r="A1295" t="str">
        <f t="shared" si="21"/>
        <v xml:space="preserve">2001046SVIVE50 S           </v>
      </c>
      <c r="B1295" s="71">
        <v>2001047</v>
      </c>
      <c r="C1295" s="71" t="s">
        <v>821</v>
      </c>
      <c r="D1295" s="71" t="s">
        <v>480</v>
      </c>
      <c r="E1295" s="71" t="s">
        <v>623</v>
      </c>
      <c r="F1295" s="71" t="s">
        <v>624</v>
      </c>
      <c r="G1295" s="74">
        <v>20826</v>
      </c>
      <c r="H1295" s="72">
        <v>3.612981</v>
      </c>
      <c r="I1295" s="73">
        <v>75243.942305999997</v>
      </c>
      <c r="J1295" s="72">
        <v>3.5988355901277251</v>
      </c>
      <c r="K1295" s="73">
        <v>294.59230600000001</v>
      </c>
      <c r="L1295" s="74">
        <v>0</v>
      </c>
      <c r="M1295" s="73">
        <v>0</v>
      </c>
      <c r="N1295" s="74">
        <v>0</v>
      </c>
      <c r="O1295" s="73">
        <v>0</v>
      </c>
      <c r="P1295" s="74">
        <v>20826</v>
      </c>
      <c r="Q1295" s="73">
        <v>75243.942305999997</v>
      </c>
      <c r="R1295" s="71" t="s">
        <v>625</v>
      </c>
      <c r="S1295" s="71">
        <v>7414000005</v>
      </c>
      <c r="AB1295"/>
      <c r="AC1295"/>
    </row>
    <row r="1296" spans="1:29" x14ac:dyDescent="0.25">
      <c r="A1296" t="str">
        <f t="shared" si="21"/>
        <v xml:space="preserve">2001046SVIVE60 S           </v>
      </c>
      <c r="B1296" s="71">
        <v>2001047</v>
      </c>
      <c r="C1296" s="71" t="s">
        <v>821</v>
      </c>
      <c r="D1296" s="71" t="s">
        <v>413</v>
      </c>
      <c r="E1296" s="71" t="s">
        <v>623</v>
      </c>
      <c r="F1296" s="71" t="s">
        <v>624</v>
      </c>
      <c r="G1296" s="74">
        <v>7122</v>
      </c>
      <c r="H1296" s="72">
        <v>137.04691399999999</v>
      </c>
      <c r="I1296" s="73">
        <v>976048.12150799995</v>
      </c>
      <c r="J1296" s="72">
        <v>123.00674108396518</v>
      </c>
      <c r="K1296" s="73">
        <v>99994.111508000002</v>
      </c>
      <c r="L1296" s="74">
        <v>0</v>
      </c>
      <c r="M1296" s="73">
        <v>0</v>
      </c>
      <c r="N1296" s="74">
        <v>0</v>
      </c>
      <c r="O1296" s="73">
        <v>0</v>
      </c>
      <c r="P1296" s="74">
        <v>7122</v>
      </c>
      <c r="Q1296" s="73">
        <v>976048.12150799995</v>
      </c>
      <c r="R1296" s="71" t="s">
        <v>625</v>
      </c>
      <c r="S1296" s="71">
        <v>7414000005</v>
      </c>
      <c r="AB1296"/>
      <c r="AC1296"/>
    </row>
    <row r="1297" spans="1:29" x14ac:dyDescent="0.25">
      <c r="A1297" t="str">
        <f t="shared" si="21"/>
        <v xml:space="preserve">2001047STERGOB B4          </v>
      </c>
      <c r="B1297" s="71">
        <v>2001047</v>
      </c>
      <c r="C1297" s="71" t="s">
        <v>821</v>
      </c>
      <c r="D1297" s="71" t="s">
        <v>414</v>
      </c>
      <c r="E1297" s="71" t="s">
        <v>623</v>
      </c>
      <c r="F1297" s="71" t="s">
        <v>624</v>
      </c>
      <c r="G1297" s="74">
        <v>1027729</v>
      </c>
      <c r="H1297" s="72">
        <v>3.6364960000000002</v>
      </c>
      <c r="I1297" s="73">
        <v>3737332.3975840001</v>
      </c>
      <c r="J1297" s="72">
        <v>3.2098839694121701</v>
      </c>
      <c r="K1297" s="73">
        <v>438441.55558400002</v>
      </c>
      <c r="L1297" s="74">
        <v>0</v>
      </c>
      <c r="M1297" s="73">
        <v>0</v>
      </c>
      <c r="N1297" s="74">
        <v>0</v>
      </c>
      <c r="O1297" s="73">
        <v>0</v>
      </c>
      <c r="P1297" s="74">
        <v>1027729</v>
      </c>
      <c r="Q1297" s="73">
        <v>3737332.3975840001</v>
      </c>
      <c r="R1297" s="71" t="s">
        <v>625</v>
      </c>
      <c r="S1297" s="71">
        <v>7414000005</v>
      </c>
      <c r="AB1297"/>
      <c r="AC1297"/>
    </row>
    <row r="1298" spans="1:29" x14ac:dyDescent="0.25">
      <c r="A1298" t="str">
        <f t="shared" si="21"/>
        <v xml:space="preserve">2001047SVIVE20 S           </v>
      </c>
      <c r="B1298" s="71">
        <v>2001047</v>
      </c>
      <c r="C1298" s="71" t="s">
        <v>821</v>
      </c>
      <c r="D1298" s="71" t="s">
        <v>415</v>
      </c>
      <c r="E1298" s="71" t="s">
        <v>623</v>
      </c>
      <c r="F1298" s="71" t="s">
        <v>624</v>
      </c>
      <c r="G1298" s="74">
        <v>565222</v>
      </c>
      <c r="H1298" s="72">
        <v>2.1315040000000001</v>
      </c>
      <c r="I1298" s="73">
        <v>1204772.953888</v>
      </c>
      <c r="J1298" s="72">
        <v>1.8977766435135222</v>
      </c>
      <c r="K1298" s="73">
        <v>132107.843888</v>
      </c>
      <c r="L1298" s="74">
        <v>0</v>
      </c>
      <c r="M1298" s="73">
        <v>0</v>
      </c>
      <c r="N1298" s="74">
        <v>0</v>
      </c>
      <c r="O1298" s="73">
        <v>0</v>
      </c>
      <c r="P1298" s="74">
        <v>565222</v>
      </c>
      <c r="Q1298" s="73">
        <v>1204772.953888</v>
      </c>
      <c r="R1298" s="71" t="s">
        <v>625</v>
      </c>
      <c r="S1298" s="71">
        <v>7414000005</v>
      </c>
      <c r="AB1298"/>
      <c r="AC1298"/>
    </row>
    <row r="1299" spans="1:29" x14ac:dyDescent="0.25">
      <c r="A1299" t="str">
        <f t="shared" si="21"/>
        <v xml:space="preserve">2001047SVIVE35 S           </v>
      </c>
      <c r="B1299" s="71">
        <v>2001047</v>
      </c>
      <c r="C1299" s="71" t="s">
        <v>821</v>
      </c>
      <c r="D1299" s="71" t="s">
        <v>416</v>
      </c>
      <c r="E1299" s="71" t="s">
        <v>623</v>
      </c>
      <c r="F1299" s="71" t="s">
        <v>624</v>
      </c>
      <c r="G1299" s="74">
        <v>38749</v>
      </c>
      <c r="H1299" s="72">
        <v>2.8149250000000001</v>
      </c>
      <c r="I1299" s="73">
        <v>109075.528825</v>
      </c>
      <c r="J1299" s="72">
        <v>2.7363645513432604</v>
      </c>
      <c r="K1299" s="73">
        <v>3044.138825</v>
      </c>
      <c r="L1299" s="74">
        <v>0</v>
      </c>
      <c r="M1299" s="73">
        <v>0</v>
      </c>
      <c r="N1299" s="74">
        <v>0</v>
      </c>
      <c r="O1299" s="73">
        <v>0</v>
      </c>
      <c r="P1299" s="74">
        <v>38749</v>
      </c>
      <c r="Q1299" s="73">
        <v>109075.528825</v>
      </c>
      <c r="R1299" s="71" t="s">
        <v>625</v>
      </c>
      <c r="S1299" s="71">
        <v>7414000005</v>
      </c>
      <c r="AB1299"/>
      <c r="AC1299"/>
    </row>
    <row r="1300" spans="1:29" x14ac:dyDescent="0.25">
      <c r="A1300" t="str">
        <f t="shared" si="21"/>
        <v xml:space="preserve">2001047SVIVE50 S           </v>
      </c>
      <c r="B1300" s="71">
        <v>2001049</v>
      </c>
      <c r="C1300" s="71" t="s">
        <v>822</v>
      </c>
      <c r="D1300" s="71" t="s">
        <v>411</v>
      </c>
      <c r="E1300" s="71" t="s">
        <v>623</v>
      </c>
      <c r="F1300" s="71" t="s">
        <v>624</v>
      </c>
      <c r="G1300" s="74">
        <v>3072865</v>
      </c>
      <c r="H1300" s="72">
        <v>3.4985729999999999</v>
      </c>
      <c r="I1300" s="73">
        <v>10750642.521645</v>
      </c>
      <c r="J1300" s="72">
        <v>3.4482346735050191</v>
      </c>
      <c r="K1300" s="73">
        <v>154682.88164499999</v>
      </c>
      <c r="L1300" s="74">
        <v>0</v>
      </c>
      <c r="M1300" s="73">
        <v>0</v>
      </c>
      <c r="N1300" s="74">
        <v>0</v>
      </c>
      <c r="O1300" s="73">
        <v>0</v>
      </c>
      <c r="P1300" s="74">
        <v>3072865</v>
      </c>
      <c r="Q1300" s="73">
        <v>10750642.521645</v>
      </c>
      <c r="R1300" s="71" t="s">
        <v>625</v>
      </c>
      <c r="S1300" s="71">
        <v>7414000005</v>
      </c>
      <c r="AB1300"/>
      <c r="AC1300"/>
    </row>
    <row r="1301" spans="1:29" x14ac:dyDescent="0.25">
      <c r="A1301" t="str">
        <f t="shared" si="21"/>
        <v xml:space="preserve">2001047SVIVE60 S           </v>
      </c>
      <c r="B1301" s="71">
        <v>2001050</v>
      </c>
      <c r="C1301" s="71" t="s">
        <v>823</v>
      </c>
      <c r="D1301" s="71" t="s">
        <v>411</v>
      </c>
      <c r="E1301" s="71" t="s">
        <v>623</v>
      </c>
      <c r="F1301" s="71" t="s">
        <v>624</v>
      </c>
      <c r="G1301" s="74">
        <v>1131329</v>
      </c>
      <c r="H1301" s="72">
        <v>3.4985729999999999</v>
      </c>
      <c r="I1301" s="73">
        <v>3958037.0935169999</v>
      </c>
      <c r="J1301" s="72">
        <v>3.4663218303428978</v>
      </c>
      <c r="K1301" s="73">
        <v>36486.683516999998</v>
      </c>
      <c r="L1301" s="74">
        <v>0</v>
      </c>
      <c r="M1301" s="73">
        <v>0</v>
      </c>
      <c r="N1301" s="74">
        <v>0</v>
      </c>
      <c r="O1301" s="73">
        <v>0</v>
      </c>
      <c r="P1301" s="74">
        <v>1131329</v>
      </c>
      <c r="Q1301" s="73">
        <v>3958037.0935169999</v>
      </c>
      <c r="R1301" s="71" t="s">
        <v>625</v>
      </c>
      <c r="S1301" s="71">
        <v>7414000005</v>
      </c>
      <c r="AB1301"/>
      <c r="AC1301"/>
    </row>
    <row r="1302" spans="1:29" x14ac:dyDescent="0.25">
      <c r="A1302" t="str">
        <f t="shared" si="21"/>
        <v xml:space="preserve">2001049STERGOB B2          </v>
      </c>
      <c r="B1302" s="71">
        <v>2001140</v>
      </c>
      <c r="C1302" s="71" t="s">
        <v>824</v>
      </c>
      <c r="D1302" s="71" t="s">
        <v>584</v>
      </c>
      <c r="E1302" s="71" t="s">
        <v>623</v>
      </c>
      <c r="F1302" s="71" t="s">
        <v>624</v>
      </c>
      <c r="G1302" s="74">
        <v>0</v>
      </c>
      <c r="H1302" s="72">
        <v>0</v>
      </c>
      <c r="I1302" s="73">
        <v>0</v>
      </c>
      <c r="J1302" s="72">
        <v>0</v>
      </c>
      <c r="K1302" s="73">
        <v>0</v>
      </c>
      <c r="L1302" s="74">
        <v>0</v>
      </c>
      <c r="M1302" s="73">
        <v>0</v>
      </c>
      <c r="N1302" s="74">
        <v>0</v>
      </c>
      <c r="O1302" s="73">
        <v>0</v>
      </c>
      <c r="P1302" s="74">
        <v>0</v>
      </c>
      <c r="Q1302" s="73">
        <v>0</v>
      </c>
      <c r="R1302" s="71" t="s">
        <v>625</v>
      </c>
      <c r="S1302" s="71">
        <v>7414000005</v>
      </c>
      <c r="AB1302"/>
      <c r="AC1302"/>
    </row>
    <row r="1303" spans="1:29" x14ac:dyDescent="0.25">
      <c r="A1303" t="str">
        <f t="shared" si="21"/>
        <v xml:space="preserve">2001050STERGOB B2          </v>
      </c>
      <c r="B1303" s="71">
        <v>2001140</v>
      </c>
      <c r="C1303" s="71" t="s">
        <v>824</v>
      </c>
      <c r="D1303" s="71" t="s">
        <v>471</v>
      </c>
      <c r="E1303" s="71" t="s">
        <v>623</v>
      </c>
      <c r="F1303" s="71" t="s">
        <v>624</v>
      </c>
      <c r="G1303" s="74">
        <v>0</v>
      </c>
      <c r="H1303" s="72">
        <v>0</v>
      </c>
      <c r="I1303" s="73">
        <v>0</v>
      </c>
      <c r="J1303" s="72">
        <v>0</v>
      </c>
      <c r="K1303" s="73">
        <v>0</v>
      </c>
      <c r="L1303" s="74">
        <v>0</v>
      </c>
      <c r="M1303" s="73">
        <v>0</v>
      </c>
      <c r="N1303" s="74">
        <v>0</v>
      </c>
      <c r="O1303" s="73">
        <v>0</v>
      </c>
      <c r="P1303" s="74">
        <v>0</v>
      </c>
      <c r="Q1303" s="73">
        <v>0</v>
      </c>
      <c r="R1303" s="71" t="s">
        <v>625</v>
      </c>
      <c r="S1303" s="71">
        <v>7414000005</v>
      </c>
      <c r="AB1303"/>
      <c r="AC1303"/>
    </row>
    <row r="1304" spans="1:29" x14ac:dyDescent="0.25">
      <c r="A1304" t="str">
        <f t="shared" si="21"/>
        <v xml:space="preserve">2001140CETES 211118        </v>
      </c>
      <c r="B1304" s="71">
        <v>2001140</v>
      </c>
      <c r="C1304" s="71" t="s">
        <v>824</v>
      </c>
      <c r="D1304" s="71" t="s">
        <v>585</v>
      </c>
      <c r="E1304" s="71" t="s">
        <v>623</v>
      </c>
      <c r="F1304" s="71" t="s">
        <v>624</v>
      </c>
      <c r="G1304" s="74">
        <v>0</v>
      </c>
      <c r="H1304" s="72">
        <v>90.260495000000006</v>
      </c>
      <c r="I1304" s="73">
        <v>0</v>
      </c>
      <c r="J1304" s="72">
        <v>0</v>
      </c>
      <c r="K1304" s="73">
        <v>25508518.491950002</v>
      </c>
      <c r="L1304" s="74">
        <v>0</v>
      </c>
      <c r="M1304" s="73">
        <v>0</v>
      </c>
      <c r="N1304" s="74">
        <v>0</v>
      </c>
      <c r="O1304" s="73">
        <v>0</v>
      </c>
      <c r="P1304" s="74">
        <v>0</v>
      </c>
      <c r="Q1304" s="73">
        <v>0</v>
      </c>
      <c r="R1304" s="71" t="s">
        <v>625</v>
      </c>
      <c r="S1304" s="71">
        <v>7414000005</v>
      </c>
      <c r="AB1304"/>
      <c r="AC1304"/>
    </row>
    <row r="1305" spans="1:29" x14ac:dyDescent="0.25">
      <c r="A1305" t="str">
        <f t="shared" si="21"/>
        <v xml:space="preserve">2001140CETES 230601        </v>
      </c>
      <c r="B1305" s="71">
        <v>2001140</v>
      </c>
      <c r="C1305" s="71" t="s">
        <v>824</v>
      </c>
      <c r="D1305" s="71" t="s">
        <v>366</v>
      </c>
      <c r="E1305" s="71" t="s">
        <v>623</v>
      </c>
      <c r="F1305" s="71" t="s">
        <v>624</v>
      </c>
      <c r="G1305" s="74">
        <v>0</v>
      </c>
      <c r="H1305" s="72">
        <v>0</v>
      </c>
      <c r="I1305" s="73">
        <v>-0.02</v>
      </c>
      <c r="J1305" s="72">
        <v>0</v>
      </c>
      <c r="K1305" s="73">
        <v>0</v>
      </c>
      <c r="L1305" s="74">
        <v>0</v>
      </c>
      <c r="M1305" s="73">
        <v>0</v>
      </c>
      <c r="N1305" s="74">
        <v>0</v>
      </c>
      <c r="O1305" s="73">
        <v>0</v>
      </c>
      <c r="P1305" s="74">
        <v>0</v>
      </c>
      <c r="Q1305" s="73">
        <v>-0.02</v>
      </c>
      <c r="R1305" s="71" t="s">
        <v>625</v>
      </c>
      <c r="S1305" s="71">
        <v>7414000005</v>
      </c>
      <c r="AB1305"/>
      <c r="AC1305"/>
    </row>
    <row r="1306" spans="1:29" x14ac:dyDescent="0.25">
      <c r="A1306" t="str">
        <f t="shared" si="21"/>
        <v xml:space="preserve">2001140CFE 21-5            </v>
      </c>
      <c r="B1306" s="71">
        <v>2001140</v>
      </c>
      <c r="C1306" s="71" t="s">
        <v>824</v>
      </c>
      <c r="D1306" s="71" t="s">
        <v>426</v>
      </c>
      <c r="E1306" s="71" t="s">
        <v>623</v>
      </c>
      <c r="F1306" s="71" t="s">
        <v>624</v>
      </c>
      <c r="G1306" s="74">
        <v>0</v>
      </c>
      <c r="H1306" s="72">
        <v>0</v>
      </c>
      <c r="I1306" s="73">
        <v>0</v>
      </c>
      <c r="J1306" s="72">
        <v>0</v>
      </c>
      <c r="K1306" s="73">
        <v>124860.46386807</v>
      </c>
      <c r="L1306" s="74">
        <v>0</v>
      </c>
      <c r="M1306" s="73">
        <v>0</v>
      </c>
      <c r="N1306" s="74">
        <v>0</v>
      </c>
      <c r="O1306" s="73">
        <v>0</v>
      </c>
      <c r="P1306" s="74">
        <v>0</v>
      </c>
      <c r="Q1306" s="73">
        <v>0</v>
      </c>
      <c r="R1306" s="71" t="s">
        <v>625</v>
      </c>
      <c r="S1306" s="71">
        <v>7414000005</v>
      </c>
      <c r="AB1306"/>
      <c r="AC1306"/>
    </row>
    <row r="1307" spans="1:29" x14ac:dyDescent="0.25">
      <c r="A1307" t="str">
        <f t="shared" si="21"/>
        <v>2001140EFECTIVO</v>
      </c>
      <c r="B1307" s="71">
        <v>2001140</v>
      </c>
      <c r="C1307" s="71" t="s">
        <v>824</v>
      </c>
      <c r="D1307" s="71" t="s">
        <v>380</v>
      </c>
      <c r="E1307" s="71" t="s">
        <v>623</v>
      </c>
      <c r="F1307" s="71" t="s">
        <v>624</v>
      </c>
      <c r="G1307" s="74">
        <v>0</v>
      </c>
      <c r="H1307" s="72">
        <v>93.314192000000006</v>
      </c>
      <c r="I1307" s="73">
        <v>0</v>
      </c>
      <c r="J1307" s="72">
        <v>0</v>
      </c>
      <c r="K1307" s="73">
        <v>370532934.571024</v>
      </c>
      <c r="L1307" s="74">
        <v>0</v>
      </c>
      <c r="M1307" s="73">
        <v>0</v>
      </c>
      <c r="N1307" s="74">
        <v>0</v>
      </c>
      <c r="O1307" s="73">
        <v>0</v>
      </c>
      <c r="P1307" s="74">
        <v>0</v>
      </c>
      <c r="Q1307" s="73">
        <v>0</v>
      </c>
      <c r="R1307" s="71" t="s">
        <v>625</v>
      </c>
      <c r="S1307" s="71">
        <v>7414000005</v>
      </c>
      <c r="AB1307"/>
      <c r="AC1307"/>
    </row>
    <row r="1308" spans="1:29" x14ac:dyDescent="0.25">
      <c r="A1308" t="str">
        <f t="shared" si="21"/>
        <v xml:space="preserve">2001140GOBFED 231207       </v>
      </c>
      <c r="B1308" s="71">
        <v>2001140</v>
      </c>
      <c r="C1308" s="71" t="s">
        <v>824</v>
      </c>
      <c r="D1308" s="71" t="s">
        <v>383</v>
      </c>
      <c r="E1308" s="71" t="s">
        <v>623</v>
      </c>
      <c r="F1308" s="71" t="s">
        <v>624</v>
      </c>
      <c r="G1308" s="74">
        <v>0</v>
      </c>
      <c r="H1308" s="72">
        <v>86.197128000000006</v>
      </c>
      <c r="I1308" s="73">
        <v>0</v>
      </c>
      <c r="J1308" s="72">
        <v>0</v>
      </c>
      <c r="K1308" s="73">
        <v>482086576.81495911</v>
      </c>
      <c r="L1308" s="74">
        <v>0</v>
      </c>
      <c r="M1308" s="73">
        <v>0</v>
      </c>
      <c r="N1308" s="74">
        <v>0</v>
      </c>
      <c r="O1308" s="73">
        <v>0</v>
      </c>
      <c r="P1308" s="74">
        <v>0</v>
      </c>
      <c r="Q1308" s="73">
        <v>0</v>
      </c>
      <c r="R1308" s="71" t="s">
        <v>625</v>
      </c>
      <c r="S1308" s="71">
        <v>7414000005</v>
      </c>
      <c r="AB1308"/>
      <c r="AC1308"/>
    </row>
    <row r="1309" spans="1:29" x14ac:dyDescent="0.25">
      <c r="A1309" t="str">
        <f t="shared" si="21"/>
        <v xml:space="preserve">2001140GOBFED 270603       </v>
      </c>
      <c r="B1309" s="71">
        <v>2001140</v>
      </c>
      <c r="C1309" s="71" t="s">
        <v>824</v>
      </c>
      <c r="D1309" s="71" t="s">
        <v>427</v>
      </c>
      <c r="E1309" s="71" t="s">
        <v>623</v>
      </c>
      <c r="F1309" s="71" t="s">
        <v>624</v>
      </c>
      <c r="G1309" s="74">
        <v>0</v>
      </c>
      <c r="H1309" s="72">
        <v>86.469353999999996</v>
      </c>
      <c r="I1309" s="73">
        <v>0</v>
      </c>
      <c r="J1309" s="72">
        <v>0</v>
      </c>
      <c r="K1309" s="73">
        <v>599021123.7226541</v>
      </c>
      <c r="L1309" s="74">
        <v>0</v>
      </c>
      <c r="M1309" s="73">
        <v>0</v>
      </c>
      <c r="N1309" s="74">
        <v>0</v>
      </c>
      <c r="O1309" s="73">
        <v>0</v>
      </c>
      <c r="P1309" s="74">
        <v>0</v>
      </c>
      <c r="Q1309" s="73">
        <v>0</v>
      </c>
      <c r="R1309" s="71" t="s">
        <v>625</v>
      </c>
      <c r="S1309" s="71">
        <v>7414000005</v>
      </c>
      <c r="AB1309"/>
      <c r="AC1309"/>
    </row>
    <row r="1310" spans="1:29" x14ac:dyDescent="0.25">
      <c r="A1310" t="str">
        <f t="shared" si="21"/>
        <v xml:space="preserve">2001140GOBFED 330526       </v>
      </c>
      <c r="B1310" s="71">
        <v>2001140</v>
      </c>
      <c r="C1310" s="71" t="s">
        <v>824</v>
      </c>
      <c r="D1310" s="71" t="s">
        <v>384</v>
      </c>
      <c r="E1310" s="71" t="s">
        <v>623</v>
      </c>
      <c r="F1310" s="71" t="s">
        <v>624</v>
      </c>
      <c r="G1310" s="74">
        <v>0</v>
      </c>
      <c r="H1310" s="72">
        <v>81.738860000000003</v>
      </c>
      <c r="I1310" s="73">
        <v>0</v>
      </c>
      <c r="J1310" s="72">
        <v>0</v>
      </c>
      <c r="K1310" s="73">
        <v>86164394.783791006</v>
      </c>
      <c r="L1310" s="74">
        <v>0</v>
      </c>
      <c r="M1310" s="73">
        <v>0</v>
      </c>
      <c r="N1310" s="74">
        <v>0</v>
      </c>
      <c r="O1310" s="73">
        <v>0</v>
      </c>
      <c r="P1310" s="74">
        <v>0</v>
      </c>
      <c r="Q1310" s="73">
        <v>0</v>
      </c>
      <c r="R1310" s="71" t="s">
        <v>625</v>
      </c>
      <c r="S1310" s="71">
        <v>7414000005</v>
      </c>
      <c r="AB1310"/>
      <c r="AC1310"/>
    </row>
    <row r="1311" spans="1:29" x14ac:dyDescent="0.25">
      <c r="A1311" t="str">
        <f t="shared" si="21"/>
        <v xml:space="preserve">2001140GOBFED 341123       </v>
      </c>
      <c r="B1311" s="71">
        <v>2001140</v>
      </c>
      <c r="C1311" s="71" t="s">
        <v>824</v>
      </c>
      <c r="D1311" s="71" t="s">
        <v>385</v>
      </c>
      <c r="E1311" s="71" t="s">
        <v>623</v>
      </c>
      <c r="F1311" s="71" t="s">
        <v>624</v>
      </c>
      <c r="G1311" s="74">
        <v>0</v>
      </c>
      <c r="H1311" s="72">
        <v>83.200761</v>
      </c>
      <c r="I1311" s="73">
        <v>0</v>
      </c>
      <c r="J1311" s="72">
        <v>0</v>
      </c>
      <c r="K1311" s="73">
        <v>40485698.615999997</v>
      </c>
      <c r="L1311" s="74">
        <v>0</v>
      </c>
      <c r="M1311" s="73">
        <v>0</v>
      </c>
      <c r="N1311" s="74">
        <v>0</v>
      </c>
      <c r="O1311" s="73">
        <v>0</v>
      </c>
      <c r="P1311" s="74">
        <v>0</v>
      </c>
      <c r="Q1311" s="73">
        <v>0</v>
      </c>
      <c r="R1311" s="71" t="s">
        <v>625</v>
      </c>
      <c r="S1311" s="71">
        <v>7414000005</v>
      </c>
      <c r="AB1311"/>
      <c r="AC1311"/>
    </row>
    <row r="1312" spans="1:29" x14ac:dyDescent="0.25">
      <c r="A1312" t="str">
        <f t="shared" si="21"/>
        <v xml:space="preserve">2001140GOBFED 421113       </v>
      </c>
      <c r="B1312" s="71">
        <v>2001140</v>
      </c>
      <c r="C1312" s="71" t="s">
        <v>824</v>
      </c>
      <c r="D1312" s="71" t="s">
        <v>386</v>
      </c>
      <c r="E1312" s="71" t="s">
        <v>623</v>
      </c>
      <c r="F1312" s="71" t="s">
        <v>624</v>
      </c>
      <c r="G1312" s="74">
        <v>0</v>
      </c>
      <c r="H1312" s="72">
        <v>82.159907000000004</v>
      </c>
      <c r="I1312" s="73">
        <v>0</v>
      </c>
      <c r="J1312" s="72">
        <v>0</v>
      </c>
      <c r="K1312" s="73">
        <v>114909574.8617579</v>
      </c>
      <c r="L1312" s="74">
        <v>0</v>
      </c>
      <c r="M1312" s="73">
        <v>0</v>
      </c>
      <c r="N1312" s="74">
        <v>0</v>
      </c>
      <c r="O1312" s="73">
        <v>0</v>
      </c>
      <c r="P1312" s="74">
        <v>0</v>
      </c>
      <c r="Q1312" s="73">
        <v>0</v>
      </c>
      <c r="R1312" s="71" t="s">
        <v>625</v>
      </c>
      <c r="S1312" s="71">
        <v>7414000005</v>
      </c>
      <c r="AB1312"/>
      <c r="AC1312"/>
    </row>
    <row r="1313" spans="1:29" x14ac:dyDescent="0.25">
      <c r="A1313" t="str">
        <f t="shared" si="21"/>
        <v xml:space="preserve">2001140GOBFED 471107       </v>
      </c>
      <c r="B1313" s="71">
        <v>2001140</v>
      </c>
      <c r="C1313" s="71" t="s">
        <v>824</v>
      </c>
      <c r="D1313" s="71" t="s">
        <v>825</v>
      </c>
      <c r="E1313" s="71" t="s">
        <v>623</v>
      </c>
      <c r="F1313" s="71" t="s">
        <v>624</v>
      </c>
      <c r="G1313" s="74">
        <v>0</v>
      </c>
      <c r="H1313" s="72">
        <v>6.1107189999999996</v>
      </c>
      <c r="I1313" s="73">
        <v>0</v>
      </c>
      <c r="J1313" s="72">
        <v>0</v>
      </c>
      <c r="K1313" s="73">
        <v>382672399.21622199</v>
      </c>
      <c r="L1313" s="74">
        <v>0</v>
      </c>
      <c r="M1313" s="73">
        <v>0</v>
      </c>
      <c r="N1313" s="74">
        <v>0</v>
      </c>
      <c r="O1313" s="73">
        <v>0</v>
      </c>
      <c r="P1313" s="74">
        <v>0</v>
      </c>
      <c r="Q1313" s="73">
        <v>0</v>
      </c>
      <c r="R1313" s="71" t="s">
        <v>625</v>
      </c>
      <c r="S1313" s="71">
        <v>7414000005</v>
      </c>
      <c r="AB1313"/>
      <c r="AC1313"/>
    </row>
    <row r="1314" spans="1:29" x14ac:dyDescent="0.25">
      <c r="A1314" t="str">
        <f t="shared" si="21"/>
        <v xml:space="preserve">2001140GOBFED 530731       </v>
      </c>
      <c r="B1314" s="71">
        <v>2001140</v>
      </c>
      <c r="C1314" s="71" t="s">
        <v>824</v>
      </c>
      <c r="D1314" s="71" t="s">
        <v>826</v>
      </c>
      <c r="E1314" s="71" t="s">
        <v>623</v>
      </c>
      <c r="F1314" s="71" t="s">
        <v>624</v>
      </c>
      <c r="G1314" s="74">
        <v>0</v>
      </c>
      <c r="H1314" s="72">
        <v>0</v>
      </c>
      <c r="I1314" s="73">
        <v>0</v>
      </c>
      <c r="J1314" s="72">
        <v>0</v>
      </c>
      <c r="K1314" s="73">
        <v>-79887387.25</v>
      </c>
      <c r="L1314" s="74">
        <v>-21725</v>
      </c>
      <c r="M1314" s="73">
        <v>-39978562.25</v>
      </c>
      <c r="N1314" s="74">
        <v>0</v>
      </c>
      <c r="O1314" s="73">
        <v>0</v>
      </c>
      <c r="P1314" s="74">
        <v>-21725</v>
      </c>
      <c r="Q1314" s="73">
        <v>-39978562.25</v>
      </c>
      <c r="R1314" s="71" t="s">
        <v>625</v>
      </c>
      <c r="S1314" s="71">
        <v>7414000005</v>
      </c>
      <c r="AB1314"/>
      <c r="AC1314"/>
    </row>
    <row r="1315" spans="1:29" x14ac:dyDescent="0.25">
      <c r="A1315" t="str">
        <f t="shared" si="21"/>
        <v xml:space="preserve">2001140MPGOBFED 290531     </v>
      </c>
      <c r="B1315" s="71">
        <v>2001140</v>
      </c>
      <c r="C1315" s="71" t="s">
        <v>824</v>
      </c>
      <c r="D1315" s="71" t="s">
        <v>586</v>
      </c>
      <c r="E1315" s="71" t="s">
        <v>623</v>
      </c>
      <c r="F1315" s="71" t="s">
        <v>624</v>
      </c>
      <c r="G1315" s="74">
        <v>0</v>
      </c>
      <c r="H1315" s="72">
        <v>480.305093</v>
      </c>
      <c r="I1315" s="73">
        <v>0</v>
      </c>
      <c r="J1315" s="72">
        <v>0</v>
      </c>
      <c r="K1315" s="73">
        <v>44531967.001197264</v>
      </c>
      <c r="L1315" s="74">
        <v>0</v>
      </c>
      <c r="M1315" s="73">
        <v>0</v>
      </c>
      <c r="N1315" s="74">
        <v>0</v>
      </c>
      <c r="O1315" s="73">
        <v>0</v>
      </c>
      <c r="P1315" s="74">
        <v>0</v>
      </c>
      <c r="Q1315" s="73">
        <v>0</v>
      </c>
      <c r="R1315" s="71" t="s">
        <v>625</v>
      </c>
      <c r="S1315" s="71">
        <v>7414000005</v>
      </c>
      <c r="AB1315"/>
      <c r="AC1315"/>
    </row>
    <row r="1316" spans="1:29" x14ac:dyDescent="0.25">
      <c r="A1316" t="str">
        <f t="shared" si="21"/>
        <v xml:space="preserve">2001140SHV *               </v>
      </c>
      <c r="B1316" s="71">
        <v>2001140</v>
      </c>
      <c r="C1316" s="71" t="s">
        <v>824</v>
      </c>
      <c r="D1316" s="71" t="s">
        <v>392</v>
      </c>
      <c r="E1316" s="71" t="s">
        <v>623</v>
      </c>
      <c r="F1316" s="71" t="s">
        <v>624</v>
      </c>
      <c r="G1316" s="74">
        <v>0</v>
      </c>
      <c r="H1316" s="72">
        <v>0</v>
      </c>
      <c r="I1316" s="73">
        <v>0</v>
      </c>
      <c r="J1316" s="72">
        <v>0</v>
      </c>
      <c r="K1316" s="73">
        <v>0</v>
      </c>
      <c r="L1316" s="74">
        <v>0</v>
      </c>
      <c r="M1316" s="73">
        <v>0</v>
      </c>
      <c r="N1316" s="74">
        <v>0</v>
      </c>
      <c r="O1316" s="73">
        <v>0</v>
      </c>
      <c r="P1316" s="74">
        <v>0</v>
      </c>
      <c r="Q1316" s="73">
        <v>0</v>
      </c>
      <c r="R1316" s="71" t="s">
        <v>625</v>
      </c>
      <c r="S1316" s="71">
        <v>7414000005</v>
      </c>
      <c r="AB1316"/>
      <c r="AC1316"/>
    </row>
    <row r="1317" spans="1:29" x14ac:dyDescent="0.25">
      <c r="A1317" t="str">
        <f t="shared" si="21"/>
        <v xml:space="preserve">2001140TFOVICB 20U         </v>
      </c>
      <c r="B1317" s="71">
        <v>2001140</v>
      </c>
      <c r="C1317" s="71" t="s">
        <v>824</v>
      </c>
      <c r="D1317" s="71" t="s">
        <v>394</v>
      </c>
      <c r="E1317" s="71" t="s">
        <v>623</v>
      </c>
      <c r="F1317" s="71" t="s">
        <v>624</v>
      </c>
      <c r="G1317" s="74">
        <v>0</v>
      </c>
      <c r="H1317" s="72">
        <v>684.88915799999995</v>
      </c>
      <c r="I1317" s="73">
        <v>0</v>
      </c>
      <c r="J1317" s="72">
        <v>0</v>
      </c>
      <c r="K1317" s="73">
        <v>140734698.83358991</v>
      </c>
      <c r="L1317" s="74">
        <v>0</v>
      </c>
      <c r="M1317" s="73">
        <v>0</v>
      </c>
      <c r="N1317" s="74">
        <v>0</v>
      </c>
      <c r="O1317" s="73">
        <v>0</v>
      </c>
      <c r="P1317" s="74">
        <v>0</v>
      </c>
      <c r="Q1317" s="73">
        <v>0</v>
      </c>
      <c r="R1317" s="71" t="s">
        <v>625</v>
      </c>
      <c r="S1317" s="71">
        <v>7414000005</v>
      </c>
      <c r="AB1317"/>
      <c r="AC1317"/>
    </row>
    <row r="1318" spans="1:29" x14ac:dyDescent="0.25">
      <c r="A1318" t="str">
        <f t="shared" si="21"/>
        <v xml:space="preserve">2001140UDIBONO 261203      </v>
      </c>
      <c r="B1318" s="71">
        <v>2001140</v>
      </c>
      <c r="C1318" s="71" t="s">
        <v>824</v>
      </c>
      <c r="D1318" s="71" t="s">
        <v>618</v>
      </c>
      <c r="E1318" s="71" t="s">
        <v>623</v>
      </c>
      <c r="F1318" s="71" t="s">
        <v>624</v>
      </c>
      <c r="G1318" s="74">
        <v>0</v>
      </c>
      <c r="H1318" s="72">
        <v>736.86316999999997</v>
      </c>
      <c r="I1318" s="73">
        <v>0</v>
      </c>
      <c r="J1318" s="72">
        <v>0</v>
      </c>
      <c r="K1318" s="73">
        <v>42769408.587140001</v>
      </c>
      <c r="L1318" s="74">
        <v>0</v>
      </c>
      <c r="M1318" s="73">
        <v>0</v>
      </c>
      <c r="N1318" s="74">
        <v>0</v>
      </c>
      <c r="O1318" s="73">
        <v>0</v>
      </c>
      <c r="P1318" s="74">
        <v>0</v>
      </c>
      <c r="Q1318" s="73">
        <v>0</v>
      </c>
      <c r="R1318" s="71" t="s">
        <v>625</v>
      </c>
      <c r="S1318" s="71">
        <v>7414000005</v>
      </c>
      <c r="AB1318"/>
      <c r="AC1318"/>
    </row>
    <row r="1319" spans="1:29" x14ac:dyDescent="0.25">
      <c r="A1319" t="str">
        <f t="shared" si="21"/>
        <v xml:space="preserve">2001140UDIBONO 311127      </v>
      </c>
      <c r="B1319" s="71">
        <v>2001140</v>
      </c>
      <c r="C1319" s="71" t="s">
        <v>824</v>
      </c>
      <c r="D1319" s="71" t="s">
        <v>395</v>
      </c>
      <c r="E1319" s="71" t="s">
        <v>623</v>
      </c>
      <c r="F1319" s="71" t="s">
        <v>624</v>
      </c>
      <c r="G1319" s="74">
        <v>0</v>
      </c>
      <c r="H1319" s="72">
        <v>772.926965</v>
      </c>
      <c r="I1319" s="73">
        <v>0</v>
      </c>
      <c r="J1319" s="72">
        <v>0</v>
      </c>
      <c r="K1319" s="73">
        <v>95904004.761646956</v>
      </c>
      <c r="L1319" s="74">
        <v>0</v>
      </c>
      <c r="M1319" s="73">
        <v>0</v>
      </c>
      <c r="N1319" s="74">
        <v>0</v>
      </c>
      <c r="O1319" s="73">
        <v>0</v>
      </c>
      <c r="P1319" s="74">
        <v>0</v>
      </c>
      <c r="Q1319" s="73">
        <v>0</v>
      </c>
      <c r="R1319" s="71" t="s">
        <v>625</v>
      </c>
      <c r="S1319" s="71">
        <v>7414000005</v>
      </c>
      <c r="AB1319"/>
      <c r="AC1319"/>
    </row>
    <row r="1320" spans="1:29" x14ac:dyDescent="0.25">
      <c r="A1320" t="str">
        <f t="shared" si="21"/>
        <v xml:space="preserve">2001140UDIBONO 340824      </v>
      </c>
      <c r="B1320" s="71">
        <v>2001140</v>
      </c>
      <c r="C1320" s="71" t="s">
        <v>824</v>
      </c>
      <c r="D1320" s="71" t="s">
        <v>397</v>
      </c>
      <c r="E1320" s="71" t="s">
        <v>623</v>
      </c>
      <c r="F1320" s="71" t="s">
        <v>624</v>
      </c>
      <c r="G1320" s="74">
        <v>0</v>
      </c>
      <c r="H1320" s="72">
        <v>635.96311900000001</v>
      </c>
      <c r="I1320" s="73">
        <v>0</v>
      </c>
      <c r="J1320" s="72">
        <v>0</v>
      </c>
      <c r="K1320" s="73">
        <v>118682537.21480565</v>
      </c>
      <c r="L1320" s="74">
        <v>0</v>
      </c>
      <c r="M1320" s="73">
        <v>0</v>
      </c>
      <c r="N1320" s="74">
        <v>0</v>
      </c>
      <c r="O1320" s="73">
        <v>0</v>
      </c>
      <c r="P1320" s="74">
        <v>0</v>
      </c>
      <c r="Q1320" s="73">
        <v>0</v>
      </c>
      <c r="R1320" s="71" t="s">
        <v>625</v>
      </c>
      <c r="S1320" s="71">
        <v>7414000005</v>
      </c>
      <c r="AB1320"/>
      <c r="AC1320"/>
    </row>
    <row r="1321" spans="1:29" x14ac:dyDescent="0.25">
      <c r="A1321" t="str">
        <f t="shared" si="21"/>
        <v xml:space="preserve">2001140UDIBONO 351122      </v>
      </c>
      <c r="B1321" s="71">
        <v>2001141</v>
      </c>
      <c r="C1321" s="71" t="s">
        <v>827</v>
      </c>
      <c r="D1321" s="71" t="s">
        <v>366</v>
      </c>
      <c r="E1321" s="71" t="s">
        <v>623</v>
      </c>
      <c r="F1321" s="71" t="s">
        <v>624</v>
      </c>
      <c r="G1321" s="74">
        <v>0</v>
      </c>
      <c r="H1321" s="72">
        <v>0</v>
      </c>
      <c r="I1321" s="73">
        <v>0</v>
      </c>
      <c r="J1321" s="72">
        <v>0</v>
      </c>
      <c r="K1321" s="73">
        <v>0</v>
      </c>
      <c r="L1321" s="74">
        <v>0</v>
      </c>
      <c r="M1321" s="73">
        <v>0</v>
      </c>
      <c r="N1321" s="74">
        <v>0</v>
      </c>
      <c r="O1321" s="73">
        <v>0</v>
      </c>
      <c r="P1321" s="74">
        <v>0</v>
      </c>
      <c r="Q1321" s="73">
        <v>0</v>
      </c>
      <c r="R1321" s="71" t="s">
        <v>625</v>
      </c>
      <c r="S1321" s="71">
        <v>7414000005</v>
      </c>
      <c r="AB1321"/>
      <c r="AC1321"/>
    </row>
    <row r="1322" spans="1:29" x14ac:dyDescent="0.25">
      <c r="A1322" t="str">
        <f t="shared" si="21"/>
        <v xml:space="preserve">2001140UDIBONO 431112      </v>
      </c>
      <c r="B1322" s="71">
        <v>2001141</v>
      </c>
      <c r="C1322" s="71" t="s">
        <v>827</v>
      </c>
      <c r="D1322" s="71" t="s">
        <v>383</v>
      </c>
      <c r="E1322" s="71" t="s">
        <v>623</v>
      </c>
      <c r="F1322" s="71" t="s">
        <v>624</v>
      </c>
      <c r="G1322" s="74">
        <v>0</v>
      </c>
      <c r="H1322" s="72">
        <v>0</v>
      </c>
      <c r="I1322" s="73">
        <v>0</v>
      </c>
      <c r="J1322" s="72">
        <v>0</v>
      </c>
      <c r="K1322" s="73">
        <v>0</v>
      </c>
      <c r="L1322" s="74">
        <v>0</v>
      </c>
      <c r="M1322" s="73">
        <v>0</v>
      </c>
      <c r="N1322" s="74">
        <v>0</v>
      </c>
      <c r="O1322" s="73">
        <v>0</v>
      </c>
      <c r="P1322" s="74">
        <v>0</v>
      </c>
      <c r="Q1322" s="73">
        <v>0</v>
      </c>
      <c r="R1322" s="71" t="s">
        <v>625</v>
      </c>
      <c r="S1322" s="71">
        <v>7414000005</v>
      </c>
      <c r="AB1322"/>
      <c r="AC1322"/>
    </row>
    <row r="1323" spans="1:29" x14ac:dyDescent="0.25">
      <c r="A1323" t="str">
        <f t="shared" si="21"/>
        <v>2001141EFECTIVO</v>
      </c>
      <c r="B1323" s="71">
        <v>2001141</v>
      </c>
      <c r="C1323" s="71" t="s">
        <v>827</v>
      </c>
      <c r="D1323" s="71" t="s">
        <v>427</v>
      </c>
      <c r="E1323" s="71" t="s">
        <v>623</v>
      </c>
      <c r="F1323" s="71" t="s">
        <v>624</v>
      </c>
      <c r="G1323" s="74">
        <v>0</v>
      </c>
      <c r="H1323" s="72">
        <v>86.469353999999996</v>
      </c>
      <c r="I1323" s="73">
        <v>0</v>
      </c>
      <c r="J1323" s="72">
        <v>0</v>
      </c>
      <c r="K1323" s="73">
        <v>35403369.963564783</v>
      </c>
      <c r="L1323" s="74">
        <v>0</v>
      </c>
      <c r="M1323" s="73">
        <v>0</v>
      </c>
      <c r="N1323" s="74">
        <v>0</v>
      </c>
      <c r="O1323" s="73">
        <v>0</v>
      </c>
      <c r="P1323" s="74">
        <v>0</v>
      </c>
      <c r="Q1323" s="73">
        <v>0</v>
      </c>
      <c r="R1323" s="71" t="s">
        <v>625</v>
      </c>
      <c r="S1323" s="71">
        <v>7414000005</v>
      </c>
      <c r="AB1323"/>
      <c r="AC1323"/>
    </row>
    <row r="1324" spans="1:29" x14ac:dyDescent="0.25">
      <c r="A1324" t="str">
        <f t="shared" si="21"/>
        <v xml:space="preserve">2001141GOBFED 330526       </v>
      </c>
      <c r="B1324" s="71">
        <v>2001141</v>
      </c>
      <c r="C1324" s="71" t="s">
        <v>827</v>
      </c>
      <c r="D1324" s="71" t="s">
        <v>418</v>
      </c>
      <c r="E1324" s="71" t="s">
        <v>623</v>
      </c>
      <c r="F1324" s="71" t="s">
        <v>624</v>
      </c>
      <c r="G1324" s="74">
        <v>0</v>
      </c>
      <c r="H1324" s="72">
        <v>0</v>
      </c>
      <c r="I1324" s="73">
        <v>0</v>
      </c>
      <c r="J1324" s="72">
        <v>0</v>
      </c>
      <c r="K1324" s="73">
        <v>0</v>
      </c>
      <c r="L1324" s="74">
        <v>0</v>
      </c>
      <c r="M1324" s="73">
        <v>0</v>
      </c>
      <c r="N1324" s="74">
        <v>0</v>
      </c>
      <c r="O1324" s="73">
        <v>0</v>
      </c>
      <c r="P1324" s="74">
        <v>0</v>
      </c>
      <c r="Q1324" s="73">
        <v>0</v>
      </c>
      <c r="R1324" s="71" t="s">
        <v>625</v>
      </c>
      <c r="S1324" s="71">
        <v>7414000005</v>
      </c>
      <c r="AB1324"/>
      <c r="AC1324"/>
    </row>
    <row r="1325" spans="1:29" x14ac:dyDescent="0.25">
      <c r="A1325" t="str">
        <f t="shared" si="21"/>
        <v xml:space="preserve">2001141GOBFED 341123       </v>
      </c>
      <c r="B1325" s="71">
        <v>2001141</v>
      </c>
      <c r="C1325" s="71" t="s">
        <v>827</v>
      </c>
      <c r="D1325" s="71" t="s">
        <v>384</v>
      </c>
      <c r="E1325" s="71" t="s">
        <v>623</v>
      </c>
      <c r="F1325" s="71" t="s">
        <v>624</v>
      </c>
      <c r="G1325" s="74">
        <v>0</v>
      </c>
      <c r="H1325" s="72">
        <v>81.738860000000003</v>
      </c>
      <c r="I1325" s="73">
        <v>0</v>
      </c>
      <c r="J1325" s="72">
        <v>0</v>
      </c>
      <c r="K1325" s="73">
        <v>8812406.5590076204</v>
      </c>
      <c r="L1325" s="74">
        <v>0</v>
      </c>
      <c r="M1325" s="73">
        <v>0</v>
      </c>
      <c r="N1325" s="74">
        <v>0</v>
      </c>
      <c r="O1325" s="73">
        <v>0</v>
      </c>
      <c r="P1325" s="74">
        <v>0</v>
      </c>
      <c r="Q1325" s="73">
        <v>0</v>
      </c>
      <c r="R1325" s="71" t="s">
        <v>625</v>
      </c>
      <c r="S1325" s="71">
        <v>7414000005</v>
      </c>
      <c r="AB1325"/>
      <c r="AC1325"/>
    </row>
    <row r="1326" spans="1:29" x14ac:dyDescent="0.25">
      <c r="A1326" t="str">
        <f t="shared" si="21"/>
        <v xml:space="preserve">2001141GOBFED 361120       </v>
      </c>
      <c r="B1326" s="71">
        <v>2001141</v>
      </c>
      <c r="C1326" s="71" t="s">
        <v>827</v>
      </c>
      <c r="D1326" s="71" t="s">
        <v>385</v>
      </c>
      <c r="E1326" s="71" t="s">
        <v>623</v>
      </c>
      <c r="F1326" s="71" t="s">
        <v>624</v>
      </c>
      <c r="G1326" s="74">
        <v>0</v>
      </c>
      <c r="H1326" s="72">
        <v>83.200761</v>
      </c>
      <c r="I1326" s="73">
        <v>0</v>
      </c>
      <c r="J1326" s="72">
        <v>0</v>
      </c>
      <c r="K1326" s="73">
        <v>3205117.80748</v>
      </c>
      <c r="L1326" s="74">
        <v>0</v>
      </c>
      <c r="M1326" s="73">
        <v>0</v>
      </c>
      <c r="N1326" s="74">
        <v>0</v>
      </c>
      <c r="O1326" s="73">
        <v>0</v>
      </c>
      <c r="P1326" s="74">
        <v>0</v>
      </c>
      <c r="Q1326" s="73">
        <v>0</v>
      </c>
      <c r="R1326" s="71" t="s">
        <v>625</v>
      </c>
      <c r="S1326" s="71">
        <v>7414000005</v>
      </c>
      <c r="AB1326"/>
      <c r="AC1326"/>
    </row>
    <row r="1327" spans="1:29" x14ac:dyDescent="0.25">
      <c r="A1327" t="str">
        <f t="shared" si="21"/>
        <v xml:space="preserve">2001141GOBFED 421113       </v>
      </c>
      <c r="B1327" s="71">
        <v>2001141</v>
      </c>
      <c r="C1327" s="71" t="s">
        <v>827</v>
      </c>
      <c r="D1327" s="71" t="s">
        <v>386</v>
      </c>
      <c r="E1327" s="71" t="s">
        <v>623</v>
      </c>
      <c r="F1327" s="71" t="s">
        <v>624</v>
      </c>
      <c r="G1327" s="74">
        <v>0</v>
      </c>
      <c r="H1327" s="72">
        <v>82.159907000000004</v>
      </c>
      <c r="I1327" s="73">
        <v>0</v>
      </c>
      <c r="J1327" s="72">
        <v>0</v>
      </c>
      <c r="K1327" s="73">
        <v>30233516.465893801</v>
      </c>
      <c r="L1327" s="74">
        <v>0</v>
      </c>
      <c r="M1327" s="73">
        <v>0</v>
      </c>
      <c r="N1327" s="74">
        <v>0</v>
      </c>
      <c r="O1327" s="73">
        <v>0</v>
      </c>
      <c r="P1327" s="74">
        <v>0</v>
      </c>
      <c r="Q1327" s="73">
        <v>0</v>
      </c>
      <c r="R1327" s="71" t="s">
        <v>625</v>
      </c>
      <c r="S1327" s="71">
        <v>7414000005</v>
      </c>
      <c r="AB1327"/>
      <c r="AC1327"/>
    </row>
    <row r="1328" spans="1:29" x14ac:dyDescent="0.25">
      <c r="A1328" t="str">
        <f t="shared" si="21"/>
        <v xml:space="preserve">2001141GOBFED 471107       </v>
      </c>
      <c r="B1328" s="71">
        <v>2001141</v>
      </c>
      <c r="C1328" s="71" t="s">
        <v>827</v>
      </c>
      <c r="D1328" s="71" t="s">
        <v>392</v>
      </c>
      <c r="E1328" s="71" t="s">
        <v>623</v>
      </c>
      <c r="F1328" s="71" t="s">
        <v>624</v>
      </c>
      <c r="G1328" s="74">
        <v>0</v>
      </c>
      <c r="H1328" s="72">
        <v>0</v>
      </c>
      <c r="I1328" s="73">
        <v>0</v>
      </c>
      <c r="J1328" s="72">
        <v>0</v>
      </c>
      <c r="K1328" s="73">
        <v>0</v>
      </c>
      <c r="L1328" s="74">
        <v>0</v>
      </c>
      <c r="M1328" s="73">
        <v>0</v>
      </c>
      <c r="N1328" s="74">
        <v>0</v>
      </c>
      <c r="O1328" s="73">
        <v>0</v>
      </c>
      <c r="P1328" s="74">
        <v>0</v>
      </c>
      <c r="Q1328" s="73">
        <v>0</v>
      </c>
      <c r="R1328" s="71" t="s">
        <v>625</v>
      </c>
      <c r="S1328" s="71">
        <v>7414000005</v>
      </c>
      <c r="AB1328"/>
      <c r="AC1328"/>
    </row>
    <row r="1329" spans="1:29" x14ac:dyDescent="0.25">
      <c r="A1329" t="str">
        <f t="shared" si="21"/>
        <v xml:space="preserve">2001141GOBFED 530731       </v>
      </c>
      <c r="B1329" s="71">
        <v>2001141</v>
      </c>
      <c r="C1329" s="71" t="s">
        <v>827</v>
      </c>
      <c r="D1329" s="71" t="s">
        <v>396</v>
      </c>
      <c r="E1329" s="71" t="s">
        <v>623</v>
      </c>
      <c r="F1329" s="71" t="s">
        <v>624</v>
      </c>
      <c r="G1329" s="74">
        <v>0</v>
      </c>
      <c r="H1329" s="72">
        <v>721.59464000000003</v>
      </c>
      <c r="I1329" s="73">
        <v>0</v>
      </c>
      <c r="J1329" s="72">
        <v>0</v>
      </c>
      <c r="K1329" s="73">
        <v>9858148.6092660502</v>
      </c>
      <c r="L1329" s="74">
        <v>0</v>
      </c>
      <c r="M1329" s="73">
        <v>0</v>
      </c>
      <c r="N1329" s="74">
        <v>0</v>
      </c>
      <c r="O1329" s="73">
        <v>0</v>
      </c>
      <c r="P1329" s="74">
        <v>0</v>
      </c>
      <c r="Q1329" s="73">
        <v>0</v>
      </c>
      <c r="R1329" s="71" t="s">
        <v>625</v>
      </c>
      <c r="S1329" s="71">
        <v>7414000005</v>
      </c>
      <c r="AB1329"/>
      <c r="AC1329"/>
    </row>
    <row r="1330" spans="1:29" x14ac:dyDescent="0.25">
      <c r="A1330" t="str">
        <f t="shared" si="21"/>
        <v xml:space="preserve">2001141UDIBONO 261203      </v>
      </c>
      <c r="B1330" s="71">
        <v>2001141</v>
      </c>
      <c r="C1330" s="71" t="s">
        <v>827</v>
      </c>
      <c r="D1330" s="71" t="s">
        <v>397</v>
      </c>
      <c r="E1330" s="71" t="s">
        <v>623</v>
      </c>
      <c r="F1330" s="71" t="s">
        <v>624</v>
      </c>
      <c r="G1330" s="74">
        <v>0</v>
      </c>
      <c r="H1330" s="72">
        <v>635.96311900000001</v>
      </c>
      <c r="I1330" s="73">
        <v>0</v>
      </c>
      <c r="J1330" s="72">
        <v>0</v>
      </c>
      <c r="K1330" s="73">
        <v>24215283.877147201</v>
      </c>
      <c r="L1330" s="74">
        <v>0</v>
      </c>
      <c r="M1330" s="73">
        <v>0</v>
      </c>
      <c r="N1330" s="74">
        <v>0</v>
      </c>
      <c r="O1330" s="73">
        <v>0</v>
      </c>
      <c r="P1330" s="74">
        <v>0</v>
      </c>
      <c r="Q1330" s="73">
        <v>0</v>
      </c>
      <c r="R1330" s="71" t="s">
        <v>625</v>
      </c>
      <c r="S1330" s="71">
        <v>7414000005</v>
      </c>
      <c r="AB1330"/>
      <c r="AC1330"/>
    </row>
    <row r="1331" spans="1:29" x14ac:dyDescent="0.25">
      <c r="A1331" t="str">
        <f t="shared" si="21"/>
        <v xml:space="preserve">2001141UDIBONO 401115      </v>
      </c>
      <c r="B1331" s="71">
        <v>2001141</v>
      </c>
      <c r="C1331" s="71" t="s">
        <v>827</v>
      </c>
      <c r="D1331" s="71" t="s">
        <v>398</v>
      </c>
      <c r="E1331" s="71" t="s">
        <v>623</v>
      </c>
      <c r="F1331" s="71" t="s">
        <v>624</v>
      </c>
      <c r="G1331" s="74">
        <v>0</v>
      </c>
      <c r="H1331" s="72">
        <v>709.36974099999998</v>
      </c>
      <c r="I1331" s="73">
        <v>0</v>
      </c>
      <c r="J1331" s="72">
        <v>0</v>
      </c>
      <c r="K1331" s="73">
        <v>1717382.53867348</v>
      </c>
      <c r="L1331" s="74">
        <v>0</v>
      </c>
      <c r="M1331" s="73">
        <v>0</v>
      </c>
      <c r="N1331" s="74">
        <v>0</v>
      </c>
      <c r="O1331" s="73">
        <v>0</v>
      </c>
      <c r="P1331" s="74">
        <v>0</v>
      </c>
      <c r="Q1331" s="73">
        <v>0</v>
      </c>
      <c r="R1331" s="71" t="s">
        <v>625</v>
      </c>
      <c r="S1331" s="71">
        <v>7414000005</v>
      </c>
      <c r="AB1331"/>
      <c r="AC1331"/>
    </row>
    <row r="1332" spans="1:29" x14ac:dyDescent="0.25">
      <c r="A1332" t="str">
        <f t="shared" si="21"/>
        <v xml:space="preserve">2001141UDIBONO 431112      </v>
      </c>
      <c r="B1332" s="71">
        <v>2001142</v>
      </c>
      <c r="C1332" s="71" t="s">
        <v>828</v>
      </c>
      <c r="D1332" s="71" t="s">
        <v>366</v>
      </c>
      <c r="E1332" s="71" t="s">
        <v>623</v>
      </c>
      <c r="F1332" s="71" t="s">
        <v>624</v>
      </c>
      <c r="G1332" s="74">
        <v>0</v>
      </c>
      <c r="H1332" s="72">
        <v>0</v>
      </c>
      <c r="I1332" s="73">
        <v>0</v>
      </c>
      <c r="J1332" s="72">
        <v>0</v>
      </c>
      <c r="K1332" s="73">
        <v>0</v>
      </c>
      <c r="L1332" s="74">
        <v>0</v>
      </c>
      <c r="M1332" s="73">
        <v>0</v>
      </c>
      <c r="N1332" s="74">
        <v>0</v>
      </c>
      <c r="O1332" s="73">
        <v>0</v>
      </c>
      <c r="P1332" s="74">
        <v>0</v>
      </c>
      <c r="Q1332" s="73">
        <v>0</v>
      </c>
      <c r="R1332" s="71" t="s">
        <v>625</v>
      </c>
      <c r="S1332" s="71">
        <v>7414000005</v>
      </c>
      <c r="AB1332"/>
      <c r="AC1332"/>
    </row>
    <row r="1333" spans="1:29" x14ac:dyDescent="0.25">
      <c r="A1333" t="str">
        <f t="shared" si="21"/>
        <v xml:space="preserve">2001141UDIBONO 461108      </v>
      </c>
      <c r="B1333" s="71">
        <v>2001142</v>
      </c>
      <c r="C1333" s="71" t="s">
        <v>828</v>
      </c>
      <c r="D1333" s="71" t="s">
        <v>418</v>
      </c>
      <c r="E1333" s="71" t="s">
        <v>623</v>
      </c>
      <c r="F1333" s="71" t="s">
        <v>624</v>
      </c>
      <c r="G1333" s="74">
        <v>0</v>
      </c>
      <c r="H1333" s="72">
        <v>0</v>
      </c>
      <c r="I1333" s="73">
        <v>0</v>
      </c>
      <c r="J1333" s="72">
        <v>0</v>
      </c>
      <c r="K1333" s="73">
        <v>0</v>
      </c>
      <c r="L1333" s="74">
        <v>0</v>
      </c>
      <c r="M1333" s="73">
        <v>0</v>
      </c>
      <c r="N1333" s="74">
        <v>0</v>
      </c>
      <c r="O1333" s="73">
        <v>0</v>
      </c>
      <c r="P1333" s="74">
        <v>0</v>
      </c>
      <c r="Q1333" s="73">
        <v>0</v>
      </c>
      <c r="R1333" s="71" t="s">
        <v>625</v>
      </c>
      <c r="S1333" s="71">
        <v>7414000005</v>
      </c>
      <c r="AB1333"/>
      <c r="AC1333"/>
    </row>
    <row r="1334" spans="1:29" x14ac:dyDescent="0.25">
      <c r="A1334" t="str">
        <f t="shared" si="21"/>
        <v>2001142EFECTIVO</v>
      </c>
      <c r="B1334" s="71">
        <v>2001142</v>
      </c>
      <c r="C1334" s="71" t="s">
        <v>828</v>
      </c>
      <c r="D1334" s="71" t="s">
        <v>384</v>
      </c>
      <c r="E1334" s="71" t="s">
        <v>623</v>
      </c>
      <c r="F1334" s="71" t="s">
        <v>624</v>
      </c>
      <c r="G1334" s="74">
        <v>0</v>
      </c>
      <c r="H1334" s="72">
        <v>81.738860000000003</v>
      </c>
      <c r="I1334" s="73">
        <v>0</v>
      </c>
      <c r="J1334" s="72">
        <v>0</v>
      </c>
      <c r="K1334" s="73">
        <v>3131648.4189956998</v>
      </c>
      <c r="L1334" s="74">
        <v>0</v>
      </c>
      <c r="M1334" s="73">
        <v>0</v>
      </c>
      <c r="N1334" s="74">
        <v>0</v>
      </c>
      <c r="O1334" s="73">
        <v>0</v>
      </c>
      <c r="P1334" s="74">
        <v>0</v>
      </c>
      <c r="Q1334" s="73">
        <v>0</v>
      </c>
      <c r="R1334" s="71" t="s">
        <v>625</v>
      </c>
      <c r="S1334" s="71">
        <v>7414000005</v>
      </c>
      <c r="AB1334"/>
      <c r="AC1334"/>
    </row>
    <row r="1335" spans="1:29" x14ac:dyDescent="0.25">
      <c r="A1335" t="str">
        <f t="shared" si="21"/>
        <v xml:space="preserve">2001142GOBFED 361120       </v>
      </c>
      <c r="B1335" s="71">
        <v>2001142</v>
      </c>
      <c r="C1335" s="71" t="s">
        <v>828</v>
      </c>
      <c r="D1335" s="71" t="s">
        <v>392</v>
      </c>
      <c r="E1335" s="71" t="s">
        <v>623</v>
      </c>
      <c r="F1335" s="71" t="s">
        <v>624</v>
      </c>
      <c r="G1335" s="74">
        <v>0</v>
      </c>
      <c r="H1335" s="72">
        <v>0</v>
      </c>
      <c r="I1335" s="73">
        <v>0</v>
      </c>
      <c r="J1335" s="72">
        <v>0</v>
      </c>
      <c r="K1335" s="73">
        <v>0</v>
      </c>
      <c r="L1335" s="74">
        <v>0</v>
      </c>
      <c r="M1335" s="73">
        <v>0</v>
      </c>
      <c r="N1335" s="74">
        <v>0</v>
      </c>
      <c r="O1335" s="73">
        <v>0</v>
      </c>
      <c r="P1335" s="74">
        <v>0</v>
      </c>
      <c r="Q1335" s="73">
        <v>0</v>
      </c>
      <c r="R1335" s="71" t="s">
        <v>625</v>
      </c>
      <c r="S1335" s="71">
        <v>7414000005</v>
      </c>
      <c r="AB1335"/>
      <c r="AC1335"/>
    </row>
    <row r="1336" spans="1:29" x14ac:dyDescent="0.25">
      <c r="A1336" t="str">
        <f t="shared" si="21"/>
        <v xml:space="preserve">2001142GOBFED 421113       </v>
      </c>
      <c r="B1336" s="71">
        <v>2111039</v>
      </c>
      <c r="C1336" s="71" t="s">
        <v>829</v>
      </c>
      <c r="D1336" s="71" t="s">
        <v>422</v>
      </c>
      <c r="E1336" s="71" t="s">
        <v>623</v>
      </c>
      <c r="F1336" s="71" t="s">
        <v>624</v>
      </c>
      <c r="G1336" s="74">
        <v>274</v>
      </c>
      <c r="H1336" s="72">
        <v>97.654420999999999</v>
      </c>
      <c r="I1336" s="73">
        <v>26757.311354000001</v>
      </c>
      <c r="J1336" s="72">
        <v>98.224185000000006</v>
      </c>
      <c r="K1336" s="73">
        <v>-156.11533600000001</v>
      </c>
      <c r="L1336" s="74">
        <v>0</v>
      </c>
      <c r="M1336" s="73">
        <v>0</v>
      </c>
      <c r="N1336" s="74">
        <v>0</v>
      </c>
      <c r="O1336" s="73">
        <v>0</v>
      </c>
      <c r="P1336" s="74">
        <v>274</v>
      </c>
      <c r="Q1336" s="73">
        <v>26757.311354000001</v>
      </c>
      <c r="R1336" s="71" t="s">
        <v>625</v>
      </c>
      <c r="S1336" s="71">
        <v>7414000005</v>
      </c>
      <c r="AB1336"/>
      <c r="AC1336"/>
    </row>
    <row r="1337" spans="1:29" x14ac:dyDescent="0.25">
      <c r="A1337" t="str">
        <f t="shared" si="21"/>
        <v xml:space="preserve">2001142UDIBONO 261203      </v>
      </c>
      <c r="B1337" s="71">
        <v>2111039</v>
      </c>
      <c r="C1337" s="71" t="s">
        <v>829</v>
      </c>
      <c r="D1337" s="71" t="s">
        <v>365</v>
      </c>
      <c r="E1337" s="71" t="s">
        <v>623</v>
      </c>
      <c r="F1337" s="71" t="s">
        <v>624</v>
      </c>
      <c r="G1337" s="74">
        <v>198</v>
      </c>
      <c r="H1337" s="72">
        <v>675.38</v>
      </c>
      <c r="I1337" s="73">
        <v>133725.24</v>
      </c>
      <c r="J1337" s="72">
        <v>855.79191919191919</v>
      </c>
      <c r="K1337" s="73">
        <v>-35721.56</v>
      </c>
      <c r="L1337" s="74">
        <v>0</v>
      </c>
      <c r="M1337" s="73">
        <v>0</v>
      </c>
      <c r="N1337" s="74">
        <v>0</v>
      </c>
      <c r="O1337" s="73">
        <v>0</v>
      </c>
      <c r="P1337" s="74">
        <v>198</v>
      </c>
      <c r="Q1337" s="73">
        <v>133725.24</v>
      </c>
      <c r="R1337" s="71" t="s">
        <v>625</v>
      </c>
      <c r="S1337" s="71">
        <v>7414000005</v>
      </c>
      <c r="AB1337"/>
      <c r="AC1337"/>
    </row>
    <row r="1338" spans="1:29" x14ac:dyDescent="0.25">
      <c r="A1338" t="str">
        <f t="shared" si="21"/>
        <v xml:space="preserve">2111039CETELEM 22          </v>
      </c>
      <c r="B1338" s="71">
        <v>2111039</v>
      </c>
      <c r="C1338" s="71" t="s">
        <v>829</v>
      </c>
      <c r="D1338" s="71" t="s">
        <v>367</v>
      </c>
      <c r="E1338" s="71" t="s">
        <v>623</v>
      </c>
      <c r="F1338" s="71" t="s">
        <v>624</v>
      </c>
      <c r="G1338" s="74">
        <v>46</v>
      </c>
      <c r="H1338" s="72">
        <v>700.65</v>
      </c>
      <c r="I1338" s="73">
        <v>32229.9</v>
      </c>
      <c r="J1338" s="72">
        <v>964.98043478260865</v>
      </c>
      <c r="K1338" s="73">
        <v>-12159.2</v>
      </c>
      <c r="L1338" s="74">
        <v>0</v>
      </c>
      <c r="M1338" s="73">
        <v>0</v>
      </c>
      <c r="N1338" s="74">
        <v>0</v>
      </c>
      <c r="O1338" s="73">
        <v>0</v>
      </c>
      <c r="P1338" s="74">
        <v>46</v>
      </c>
      <c r="Q1338" s="73">
        <v>32229.9</v>
      </c>
      <c r="R1338" s="71" t="s">
        <v>625</v>
      </c>
      <c r="S1338" s="71">
        <v>7414000005</v>
      </c>
      <c r="AB1338"/>
      <c r="AC1338"/>
    </row>
    <row r="1339" spans="1:29" x14ac:dyDescent="0.25">
      <c r="A1339" t="str">
        <f t="shared" si="21"/>
        <v xml:space="preserve">2111039EEM *               </v>
      </c>
      <c r="B1339" s="71">
        <v>2111039</v>
      </c>
      <c r="C1339" s="71" t="s">
        <v>829</v>
      </c>
      <c r="D1339" s="71" t="s">
        <v>368</v>
      </c>
      <c r="E1339" s="71" t="s">
        <v>623</v>
      </c>
      <c r="F1339" s="71" t="s">
        <v>624</v>
      </c>
      <c r="G1339" s="74">
        <v>76</v>
      </c>
      <c r="H1339" s="72">
        <v>1151</v>
      </c>
      <c r="I1339" s="73">
        <v>87476</v>
      </c>
      <c r="J1339" s="72">
        <v>1103.3875</v>
      </c>
      <c r="K1339" s="73">
        <v>3618.55</v>
      </c>
      <c r="L1339" s="74">
        <v>0</v>
      </c>
      <c r="M1339" s="73">
        <v>0</v>
      </c>
      <c r="N1339" s="74">
        <v>0</v>
      </c>
      <c r="O1339" s="73">
        <v>0</v>
      </c>
      <c r="P1339" s="74">
        <v>76</v>
      </c>
      <c r="Q1339" s="73">
        <v>87476</v>
      </c>
      <c r="R1339" s="71" t="s">
        <v>625</v>
      </c>
      <c r="S1339" s="71">
        <v>7414000005</v>
      </c>
      <c r="AB1339"/>
      <c r="AC1339"/>
    </row>
    <row r="1340" spans="1:29" x14ac:dyDescent="0.25">
      <c r="A1340" t="str">
        <f t="shared" si="21"/>
        <v xml:space="preserve">2111039EPP *               </v>
      </c>
      <c r="B1340" s="71">
        <v>2111039</v>
      </c>
      <c r="C1340" s="71" t="s">
        <v>829</v>
      </c>
      <c r="D1340" s="71" t="s">
        <v>375</v>
      </c>
      <c r="E1340" s="71" t="s">
        <v>623</v>
      </c>
      <c r="F1340" s="71" t="s">
        <v>624</v>
      </c>
      <c r="G1340" s="74">
        <v>714</v>
      </c>
      <c r="H1340" s="72">
        <v>98.730349000000004</v>
      </c>
      <c r="I1340" s="73">
        <v>70493.469186000002</v>
      </c>
      <c r="J1340" s="72">
        <v>104.81191507</v>
      </c>
      <c r="K1340" s="73">
        <v>-4342.2381739800003</v>
      </c>
      <c r="L1340" s="74">
        <v>0</v>
      </c>
      <c r="M1340" s="73">
        <v>0</v>
      </c>
      <c r="N1340" s="74">
        <v>0</v>
      </c>
      <c r="O1340" s="73">
        <v>0</v>
      </c>
      <c r="P1340" s="74">
        <v>714</v>
      </c>
      <c r="Q1340" s="73">
        <v>70493.469186000002</v>
      </c>
      <c r="R1340" s="71" t="s">
        <v>625</v>
      </c>
      <c r="S1340" s="71">
        <v>7414000005</v>
      </c>
      <c r="AB1340"/>
      <c r="AC1340"/>
    </row>
    <row r="1341" spans="1:29" x14ac:dyDescent="0.25">
      <c r="A1341" t="str">
        <f t="shared" si="21"/>
        <v xml:space="preserve">2111039EWJ *               </v>
      </c>
      <c r="B1341" s="71">
        <v>2111039</v>
      </c>
      <c r="C1341" s="71" t="s">
        <v>829</v>
      </c>
      <c r="D1341" s="71" t="s">
        <v>376</v>
      </c>
      <c r="E1341" s="71" t="s">
        <v>623</v>
      </c>
      <c r="F1341" s="71" t="s">
        <v>624</v>
      </c>
      <c r="G1341" s="74">
        <v>38</v>
      </c>
      <c r="H1341" s="72">
        <v>99.247497999999993</v>
      </c>
      <c r="I1341" s="73">
        <v>3771.4049239999999</v>
      </c>
      <c r="J1341" s="72">
        <v>101.04285588</v>
      </c>
      <c r="K1341" s="73">
        <v>-68.223599440000001</v>
      </c>
      <c r="L1341" s="74">
        <v>0</v>
      </c>
      <c r="M1341" s="73">
        <v>0</v>
      </c>
      <c r="N1341" s="74">
        <v>0</v>
      </c>
      <c r="O1341" s="73">
        <v>0</v>
      </c>
      <c r="P1341" s="74">
        <v>38</v>
      </c>
      <c r="Q1341" s="73">
        <v>3771.4049239999999</v>
      </c>
      <c r="R1341" s="71" t="s">
        <v>625</v>
      </c>
      <c r="S1341" s="71">
        <v>7414000005</v>
      </c>
      <c r="AB1341"/>
      <c r="AC1341"/>
    </row>
    <row r="1342" spans="1:29" x14ac:dyDescent="0.25">
      <c r="A1342" t="str">
        <f t="shared" si="21"/>
        <v xml:space="preserve">2111039GOBFED 240905       </v>
      </c>
      <c r="B1342" s="71">
        <v>2111039</v>
      </c>
      <c r="C1342" s="71" t="s">
        <v>829</v>
      </c>
      <c r="D1342" s="71" t="s">
        <v>377</v>
      </c>
      <c r="E1342" s="71" t="s">
        <v>623</v>
      </c>
      <c r="F1342" s="71" t="s">
        <v>624</v>
      </c>
      <c r="G1342" s="74">
        <v>250</v>
      </c>
      <c r="H1342" s="72">
        <v>94.973146999999997</v>
      </c>
      <c r="I1342" s="73">
        <v>23743.286749999999</v>
      </c>
      <c r="J1342" s="72">
        <v>89.632459409999996</v>
      </c>
      <c r="K1342" s="73">
        <v>1335.1718974999999</v>
      </c>
      <c r="L1342" s="74">
        <v>0</v>
      </c>
      <c r="M1342" s="73">
        <v>0</v>
      </c>
      <c r="N1342" s="74">
        <v>0</v>
      </c>
      <c r="O1342" s="73">
        <v>0</v>
      </c>
      <c r="P1342" s="74">
        <v>250</v>
      </c>
      <c r="Q1342" s="73">
        <v>23743.286749999999</v>
      </c>
      <c r="R1342" s="71" t="s">
        <v>625</v>
      </c>
      <c r="S1342" s="71">
        <v>7414000005</v>
      </c>
      <c r="AB1342"/>
      <c r="AC1342"/>
    </row>
    <row r="1343" spans="1:29" x14ac:dyDescent="0.25">
      <c r="A1343" t="str">
        <f t="shared" si="21"/>
        <v xml:space="preserve">2111039GOBFED 241205       </v>
      </c>
      <c r="B1343" s="71">
        <v>2111039</v>
      </c>
      <c r="C1343" s="71" t="s">
        <v>829</v>
      </c>
      <c r="D1343" s="71" t="s">
        <v>378</v>
      </c>
      <c r="E1343" s="71" t="s">
        <v>623</v>
      </c>
      <c r="F1343" s="71" t="s">
        <v>624</v>
      </c>
      <c r="G1343" s="74">
        <v>519</v>
      </c>
      <c r="H1343" s="72">
        <v>91.911821000000003</v>
      </c>
      <c r="I1343" s="73">
        <v>47702.235098999998</v>
      </c>
      <c r="J1343" s="72">
        <v>93.2088459</v>
      </c>
      <c r="K1343" s="73">
        <v>-673.1559231</v>
      </c>
      <c r="L1343" s="74">
        <v>0</v>
      </c>
      <c r="M1343" s="73">
        <v>0</v>
      </c>
      <c r="N1343" s="74">
        <v>0</v>
      </c>
      <c r="O1343" s="73">
        <v>0</v>
      </c>
      <c r="P1343" s="74">
        <v>519</v>
      </c>
      <c r="Q1343" s="73">
        <v>47702.235098999998</v>
      </c>
      <c r="R1343" s="71" t="s">
        <v>625</v>
      </c>
      <c r="S1343" s="71">
        <v>7414000005</v>
      </c>
      <c r="AB1343"/>
      <c r="AC1343"/>
    </row>
    <row r="1344" spans="1:29" x14ac:dyDescent="0.25">
      <c r="A1344" t="str">
        <f t="shared" si="21"/>
        <v xml:space="preserve">2111039GOBFED 250306       </v>
      </c>
      <c r="B1344" s="71">
        <v>2111039</v>
      </c>
      <c r="C1344" s="71" t="s">
        <v>829</v>
      </c>
      <c r="D1344" s="71" t="s">
        <v>499</v>
      </c>
      <c r="E1344" s="71" t="s">
        <v>623</v>
      </c>
      <c r="F1344" s="71" t="s">
        <v>624</v>
      </c>
      <c r="G1344" s="74">
        <v>430</v>
      </c>
      <c r="H1344" s="72">
        <v>92.954503000000003</v>
      </c>
      <c r="I1344" s="73">
        <v>39970.436289999998</v>
      </c>
      <c r="J1344" s="72">
        <v>93.158888947906973</v>
      </c>
      <c r="K1344" s="73">
        <v>-87.885957599999998</v>
      </c>
      <c r="L1344" s="74">
        <v>0</v>
      </c>
      <c r="M1344" s="73">
        <v>0</v>
      </c>
      <c r="N1344" s="74">
        <v>0</v>
      </c>
      <c r="O1344" s="73">
        <v>0</v>
      </c>
      <c r="P1344" s="74">
        <v>430</v>
      </c>
      <c r="Q1344" s="73">
        <v>39970.436289999998</v>
      </c>
      <c r="R1344" s="71" t="s">
        <v>625</v>
      </c>
      <c r="S1344" s="71">
        <v>7414000005</v>
      </c>
      <c r="AB1344"/>
      <c r="AC1344"/>
    </row>
    <row r="1345" spans="1:29" x14ac:dyDescent="0.25">
      <c r="A1345" t="str">
        <f t="shared" si="21"/>
        <v xml:space="preserve">2111039GOBFED 260305       </v>
      </c>
      <c r="B1345" s="71">
        <v>2111039</v>
      </c>
      <c r="C1345" s="71" t="s">
        <v>829</v>
      </c>
      <c r="D1345" s="71" t="s">
        <v>379</v>
      </c>
      <c r="E1345" s="71" t="s">
        <v>623</v>
      </c>
      <c r="F1345" s="71" t="s">
        <v>624</v>
      </c>
      <c r="G1345" s="74">
        <v>1088</v>
      </c>
      <c r="H1345" s="72">
        <v>88.698122999999995</v>
      </c>
      <c r="I1345" s="73">
        <v>96503.557824000003</v>
      </c>
      <c r="J1345" s="72">
        <v>85.318791529999999</v>
      </c>
      <c r="K1345" s="73">
        <v>3676.7126393600001</v>
      </c>
      <c r="L1345" s="74">
        <v>0</v>
      </c>
      <c r="M1345" s="73">
        <v>0</v>
      </c>
      <c r="N1345" s="74">
        <v>0</v>
      </c>
      <c r="O1345" s="73">
        <v>0</v>
      </c>
      <c r="P1345" s="74">
        <v>1088</v>
      </c>
      <c r="Q1345" s="73">
        <v>96503.557824000003</v>
      </c>
      <c r="R1345" s="71" t="s">
        <v>625</v>
      </c>
      <c r="S1345" s="71">
        <v>7414000005</v>
      </c>
      <c r="AB1345"/>
      <c r="AC1345"/>
    </row>
    <row r="1346" spans="1:29" x14ac:dyDescent="0.25">
      <c r="A1346" t="str">
        <f t="shared" si="21"/>
        <v xml:space="preserve">2111039GOBFED 260903       </v>
      </c>
      <c r="B1346" s="71">
        <v>2111039</v>
      </c>
      <c r="C1346" s="71" t="s">
        <v>829</v>
      </c>
      <c r="D1346" s="71" t="s">
        <v>380</v>
      </c>
      <c r="E1346" s="71" t="s">
        <v>623</v>
      </c>
      <c r="F1346" s="71" t="s">
        <v>624</v>
      </c>
      <c r="G1346" s="74">
        <v>470</v>
      </c>
      <c r="H1346" s="72">
        <v>93.314192000000006</v>
      </c>
      <c r="I1346" s="73">
        <v>43857.670239999999</v>
      </c>
      <c r="J1346" s="72">
        <v>93.409382949999994</v>
      </c>
      <c r="K1346" s="73">
        <v>-44.739746500000003</v>
      </c>
      <c r="L1346" s="74">
        <v>0</v>
      </c>
      <c r="M1346" s="73">
        <v>0</v>
      </c>
      <c r="N1346" s="74">
        <v>0</v>
      </c>
      <c r="O1346" s="73">
        <v>0</v>
      </c>
      <c r="P1346" s="74">
        <v>470</v>
      </c>
      <c r="Q1346" s="73">
        <v>43857.670239999999</v>
      </c>
      <c r="R1346" s="71" t="s">
        <v>625</v>
      </c>
      <c r="S1346" s="71">
        <v>7414000005</v>
      </c>
      <c r="AB1346"/>
      <c r="AC1346"/>
    </row>
    <row r="1347" spans="1:29" x14ac:dyDescent="0.25">
      <c r="A1347" t="str">
        <f t="shared" si="21"/>
        <v xml:space="preserve">2111039GOBFED 270304       </v>
      </c>
      <c r="B1347" s="71">
        <v>2111039</v>
      </c>
      <c r="C1347" s="71" t="s">
        <v>829</v>
      </c>
      <c r="D1347" s="71" t="s">
        <v>507</v>
      </c>
      <c r="E1347" s="71" t="s">
        <v>623</v>
      </c>
      <c r="F1347" s="71" t="s">
        <v>624</v>
      </c>
      <c r="G1347" s="74">
        <v>1980</v>
      </c>
      <c r="H1347" s="72">
        <v>94.864168000000006</v>
      </c>
      <c r="I1347" s="73">
        <v>187831.05264000001</v>
      </c>
      <c r="J1347" s="72">
        <v>96.33213069449495</v>
      </c>
      <c r="K1347" s="73">
        <v>-2906.5661350999999</v>
      </c>
      <c r="L1347" s="74">
        <v>0</v>
      </c>
      <c r="M1347" s="73">
        <v>0</v>
      </c>
      <c r="N1347" s="74">
        <v>0</v>
      </c>
      <c r="O1347" s="73">
        <v>0</v>
      </c>
      <c r="P1347" s="74">
        <v>1980</v>
      </c>
      <c r="Q1347" s="73">
        <v>187831.05264000001</v>
      </c>
      <c r="R1347" s="71" t="s">
        <v>625</v>
      </c>
      <c r="S1347" s="71">
        <v>7414000005</v>
      </c>
      <c r="AB1347"/>
      <c r="AC1347"/>
    </row>
    <row r="1348" spans="1:29" x14ac:dyDescent="0.25">
      <c r="A1348" t="str">
        <f t="shared" si="21"/>
        <v xml:space="preserve">2111039GOBFED 270603       </v>
      </c>
      <c r="B1348" s="71">
        <v>2111039</v>
      </c>
      <c r="C1348" s="71" t="s">
        <v>829</v>
      </c>
      <c r="D1348" s="71" t="s">
        <v>382</v>
      </c>
      <c r="E1348" s="71" t="s">
        <v>623</v>
      </c>
      <c r="F1348" s="71" t="s">
        <v>624</v>
      </c>
      <c r="G1348" s="74">
        <v>273</v>
      </c>
      <c r="H1348" s="72">
        <v>89.489464999999996</v>
      </c>
      <c r="I1348" s="73">
        <v>24430.623944999999</v>
      </c>
      <c r="J1348" s="72">
        <v>92.049600470000001</v>
      </c>
      <c r="K1348" s="73">
        <v>-698.91698330999998</v>
      </c>
      <c r="L1348" s="74">
        <v>0</v>
      </c>
      <c r="M1348" s="73">
        <v>0</v>
      </c>
      <c r="N1348" s="74">
        <v>0</v>
      </c>
      <c r="O1348" s="73">
        <v>0</v>
      </c>
      <c r="P1348" s="74">
        <v>273</v>
      </c>
      <c r="Q1348" s="73">
        <v>24430.623944999999</v>
      </c>
      <c r="R1348" s="71" t="s">
        <v>625</v>
      </c>
      <c r="S1348" s="71">
        <v>7414000005</v>
      </c>
      <c r="AB1348"/>
      <c r="AC1348"/>
    </row>
    <row r="1349" spans="1:29" x14ac:dyDescent="0.25">
      <c r="A1349" t="str">
        <f t="shared" si="21"/>
        <v xml:space="preserve">2111039GOBFED 290301       </v>
      </c>
      <c r="B1349" s="71">
        <v>2111039</v>
      </c>
      <c r="C1349" s="71" t="s">
        <v>829</v>
      </c>
      <c r="D1349" s="71" t="s">
        <v>383</v>
      </c>
      <c r="E1349" s="71" t="s">
        <v>623</v>
      </c>
      <c r="F1349" s="71" t="s">
        <v>624</v>
      </c>
      <c r="G1349" s="74">
        <v>591</v>
      </c>
      <c r="H1349" s="72">
        <v>86.197128000000006</v>
      </c>
      <c r="I1349" s="73">
        <v>50942.502648000001</v>
      </c>
      <c r="J1349" s="72">
        <v>88.982927140000001</v>
      </c>
      <c r="K1349" s="73">
        <v>-1646.4072917399999</v>
      </c>
      <c r="L1349" s="74">
        <v>0</v>
      </c>
      <c r="M1349" s="73">
        <v>0</v>
      </c>
      <c r="N1349" s="74">
        <v>0</v>
      </c>
      <c r="O1349" s="73">
        <v>0</v>
      </c>
      <c r="P1349" s="74">
        <v>591</v>
      </c>
      <c r="Q1349" s="73">
        <v>50942.502648000001</v>
      </c>
      <c r="R1349" s="71" t="s">
        <v>625</v>
      </c>
      <c r="S1349" s="71">
        <v>7414000005</v>
      </c>
      <c r="AB1349"/>
      <c r="AC1349"/>
    </row>
    <row r="1350" spans="1:29" x14ac:dyDescent="0.25">
      <c r="A1350" t="str">
        <f t="shared" si="21"/>
        <v xml:space="preserve">2111039GOBFED 310529       </v>
      </c>
      <c r="B1350" s="71">
        <v>2111039</v>
      </c>
      <c r="C1350" s="71" t="s">
        <v>829</v>
      </c>
      <c r="D1350" s="71" t="s">
        <v>427</v>
      </c>
      <c r="E1350" s="71" t="s">
        <v>623</v>
      </c>
      <c r="F1350" s="71" t="s">
        <v>624</v>
      </c>
      <c r="G1350" s="74">
        <v>1890</v>
      </c>
      <c r="H1350" s="72">
        <v>86.469353999999996</v>
      </c>
      <c r="I1350" s="73">
        <v>163427.07905999999</v>
      </c>
      <c r="J1350" s="72">
        <v>101.00812326962964</v>
      </c>
      <c r="K1350" s="73">
        <v>-27478.2739196</v>
      </c>
      <c r="L1350" s="74">
        <v>0</v>
      </c>
      <c r="M1350" s="73">
        <v>0</v>
      </c>
      <c r="N1350" s="74">
        <v>0</v>
      </c>
      <c r="O1350" s="73">
        <v>0</v>
      </c>
      <c r="P1350" s="74">
        <v>1890</v>
      </c>
      <c r="Q1350" s="73">
        <v>163427.07905999999</v>
      </c>
      <c r="R1350" s="71" t="s">
        <v>625</v>
      </c>
      <c r="S1350" s="71">
        <v>7414000005</v>
      </c>
      <c r="AB1350"/>
      <c r="AC1350"/>
    </row>
    <row r="1351" spans="1:29" x14ac:dyDescent="0.25">
      <c r="A1351" t="str">
        <f t="shared" ref="A1351:A1414" si="22">B1349&amp;D1349</f>
        <v xml:space="preserve">2111039GOBFED 330526       </v>
      </c>
      <c r="B1351" s="71">
        <v>2111039</v>
      </c>
      <c r="C1351" s="71" t="s">
        <v>829</v>
      </c>
      <c r="D1351" s="71" t="s">
        <v>418</v>
      </c>
      <c r="E1351" s="71" t="s">
        <v>623</v>
      </c>
      <c r="F1351" s="71" t="s">
        <v>624</v>
      </c>
      <c r="G1351" s="74">
        <v>450</v>
      </c>
      <c r="H1351" s="72">
        <v>101.45096599999999</v>
      </c>
      <c r="I1351" s="73">
        <v>45652.934699999998</v>
      </c>
      <c r="J1351" s="72">
        <v>114.11447106</v>
      </c>
      <c r="K1351" s="73">
        <v>-5698.5772770000003</v>
      </c>
      <c r="L1351" s="74">
        <v>0</v>
      </c>
      <c r="M1351" s="73">
        <v>0</v>
      </c>
      <c r="N1351" s="74">
        <v>0</v>
      </c>
      <c r="O1351" s="73">
        <v>0</v>
      </c>
      <c r="P1351" s="74">
        <v>450</v>
      </c>
      <c r="Q1351" s="73">
        <v>45652.934699999998</v>
      </c>
      <c r="R1351" s="71" t="s">
        <v>625</v>
      </c>
      <c r="S1351" s="71">
        <v>7414000005</v>
      </c>
      <c r="AB1351"/>
      <c r="AC1351"/>
    </row>
    <row r="1352" spans="1:29" x14ac:dyDescent="0.25">
      <c r="A1352" t="str">
        <f t="shared" si="22"/>
        <v xml:space="preserve">2111039GOBFED 341123       </v>
      </c>
      <c r="B1352" s="71">
        <v>2111039</v>
      </c>
      <c r="C1352" s="71" t="s">
        <v>829</v>
      </c>
      <c r="D1352" s="71" t="s">
        <v>408</v>
      </c>
      <c r="E1352" s="71" t="s">
        <v>623</v>
      </c>
      <c r="F1352" s="71" t="s">
        <v>624</v>
      </c>
      <c r="G1352" s="74">
        <v>985</v>
      </c>
      <c r="H1352" s="72">
        <v>89.643172000000007</v>
      </c>
      <c r="I1352" s="73">
        <v>88298.524420000002</v>
      </c>
      <c r="J1352" s="72">
        <v>108.47711812999999</v>
      </c>
      <c r="K1352" s="73">
        <v>-18551.436938049999</v>
      </c>
      <c r="L1352" s="74">
        <v>0</v>
      </c>
      <c r="M1352" s="73">
        <v>0</v>
      </c>
      <c r="N1352" s="74">
        <v>0</v>
      </c>
      <c r="O1352" s="73">
        <v>0</v>
      </c>
      <c r="P1352" s="74">
        <v>985</v>
      </c>
      <c r="Q1352" s="73">
        <v>88298.524420000002</v>
      </c>
      <c r="R1352" s="71" t="s">
        <v>625</v>
      </c>
      <c r="S1352" s="71">
        <v>7414000005</v>
      </c>
      <c r="AB1352"/>
      <c r="AC1352"/>
    </row>
    <row r="1353" spans="1:29" x14ac:dyDescent="0.25">
      <c r="A1353" t="str">
        <f t="shared" si="22"/>
        <v xml:space="preserve">2111039GOBFED 361120       </v>
      </c>
      <c r="B1353" s="71">
        <v>2111039</v>
      </c>
      <c r="C1353" s="71" t="s">
        <v>829</v>
      </c>
      <c r="D1353" s="71" t="s">
        <v>384</v>
      </c>
      <c r="E1353" s="71" t="s">
        <v>623</v>
      </c>
      <c r="F1353" s="71" t="s">
        <v>624</v>
      </c>
      <c r="G1353" s="74">
        <v>1049</v>
      </c>
      <c r="H1353" s="72">
        <v>81.738860000000003</v>
      </c>
      <c r="I1353" s="73">
        <v>85744.064140000002</v>
      </c>
      <c r="J1353" s="72">
        <v>86.108971888846526</v>
      </c>
      <c r="K1353" s="73">
        <v>-4584.2473713999998</v>
      </c>
      <c r="L1353" s="74">
        <v>0</v>
      </c>
      <c r="M1353" s="73">
        <v>0</v>
      </c>
      <c r="N1353" s="74">
        <v>0</v>
      </c>
      <c r="O1353" s="73">
        <v>0</v>
      </c>
      <c r="P1353" s="74">
        <v>1049</v>
      </c>
      <c r="Q1353" s="73">
        <v>85744.064140000002</v>
      </c>
      <c r="R1353" s="71" t="s">
        <v>625</v>
      </c>
      <c r="S1353" s="71">
        <v>7414000005</v>
      </c>
      <c r="AB1353"/>
      <c r="AC1353"/>
    </row>
    <row r="1354" spans="1:29" x14ac:dyDescent="0.25">
      <c r="A1354" t="str">
        <f t="shared" si="22"/>
        <v xml:space="preserve">2111039GOBFED 381118       </v>
      </c>
      <c r="B1354" s="71">
        <v>2111039</v>
      </c>
      <c r="C1354" s="71" t="s">
        <v>829</v>
      </c>
      <c r="D1354" s="71" t="s">
        <v>386</v>
      </c>
      <c r="E1354" s="71" t="s">
        <v>623</v>
      </c>
      <c r="F1354" s="71" t="s">
        <v>624</v>
      </c>
      <c r="G1354" s="74">
        <v>1636</v>
      </c>
      <c r="H1354" s="72">
        <v>82.159907000000004</v>
      </c>
      <c r="I1354" s="73">
        <v>134413.60785199999</v>
      </c>
      <c r="J1354" s="72">
        <v>86.196740725611249</v>
      </c>
      <c r="K1354" s="73">
        <v>-6604.2599750999998</v>
      </c>
      <c r="L1354" s="74">
        <v>0</v>
      </c>
      <c r="M1354" s="73">
        <v>0</v>
      </c>
      <c r="N1354" s="74">
        <v>0</v>
      </c>
      <c r="O1354" s="73">
        <v>0</v>
      </c>
      <c r="P1354" s="74">
        <v>1636</v>
      </c>
      <c r="Q1354" s="73">
        <v>134413.60785199999</v>
      </c>
      <c r="R1354" s="71" t="s">
        <v>625</v>
      </c>
      <c r="S1354" s="71">
        <v>7414000005</v>
      </c>
      <c r="AB1354"/>
      <c r="AC1354"/>
    </row>
    <row r="1355" spans="1:29" x14ac:dyDescent="0.25">
      <c r="A1355" t="str">
        <f t="shared" si="22"/>
        <v xml:space="preserve">2111039GOBFED 421113       </v>
      </c>
      <c r="B1355" s="71">
        <v>2111039</v>
      </c>
      <c r="C1355" s="71" t="s">
        <v>829</v>
      </c>
      <c r="D1355" s="71" t="s">
        <v>388</v>
      </c>
      <c r="E1355" s="71" t="s">
        <v>623</v>
      </c>
      <c r="F1355" s="71" t="s">
        <v>624</v>
      </c>
      <c r="G1355" s="74">
        <v>80</v>
      </c>
      <c r="H1355" s="72">
        <v>8532.5</v>
      </c>
      <c r="I1355" s="73">
        <v>682600</v>
      </c>
      <c r="J1355" s="72">
        <v>5867.5510000000004</v>
      </c>
      <c r="K1355" s="73">
        <v>213195.92</v>
      </c>
      <c r="L1355" s="74">
        <v>0</v>
      </c>
      <c r="M1355" s="73">
        <v>0</v>
      </c>
      <c r="N1355" s="74">
        <v>0</v>
      </c>
      <c r="O1355" s="73">
        <v>0</v>
      </c>
      <c r="P1355" s="74">
        <v>80</v>
      </c>
      <c r="Q1355" s="73">
        <v>682600</v>
      </c>
      <c r="R1355" s="71" t="s">
        <v>625</v>
      </c>
      <c r="S1355" s="71">
        <v>7414000005</v>
      </c>
      <c r="AB1355"/>
      <c r="AC1355"/>
    </row>
    <row r="1356" spans="1:29" x14ac:dyDescent="0.25">
      <c r="A1356" t="str">
        <f t="shared" si="22"/>
        <v xml:space="preserve">2111039GOBFED 530731       </v>
      </c>
      <c r="B1356" s="71">
        <v>2111039</v>
      </c>
      <c r="C1356" s="71" t="s">
        <v>829</v>
      </c>
      <c r="D1356" s="71" t="s">
        <v>429</v>
      </c>
      <c r="E1356" s="71" t="s">
        <v>623</v>
      </c>
      <c r="F1356" s="71" t="s">
        <v>624</v>
      </c>
      <c r="G1356" s="74">
        <v>612</v>
      </c>
      <c r="H1356" s="72">
        <v>98.007834000000003</v>
      </c>
      <c r="I1356" s="73">
        <v>59980.794408000002</v>
      </c>
      <c r="J1356" s="72">
        <v>93.280048030000003</v>
      </c>
      <c r="K1356" s="73">
        <v>2893.4050136400001</v>
      </c>
      <c r="L1356" s="74">
        <v>0</v>
      </c>
      <c r="M1356" s="73">
        <v>0</v>
      </c>
      <c r="N1356" s="74">
        <v>0</v>
      </c>
      <c r="O1356" s="73">
        <v>0</v>
      </c>
      <c r="P1356" s="74">
        <v>612</v>
      </c>
      <c r="Q1356" s="73">
        <v>59980.794408000002</v>
      </c>
      <c r="R1356" s="71" t="s">
        <v>625</v>
      </c>
      <c r="S1356" s="71">
        <v>7414000005</v>
      </c>
      <c r="AB1356"/>
      <c r="AC1356"/>
    </row>
    <row r="1357" spans="1:29" x14ac:dyDescent="0.25">
      <c r="A1357" t="str">
        <f t="shared" si="22"/>
        <v xml:space="preserve">2111039IVV *               </v>
      </c>
      <c r="B1357" s="71">
        <v>2111039</v>
      </c>
      <c r="C1357" s="71" t="s">
        <v>829</v>
      </c>
      <c r="D1357" s="71" t="s">
        <v>501</v>
      </c>
      <c r="E1357" s="71" t="s">
        <v>623</v>
      </c>
      <c r="F1357" s="71" t="s">
        <v>624</v>
      </c>
      <c r="G1357" s="74">
        <v>259</v>
      </c>
      <c r="H1357" s="72">
        <v>682.55</v>
      </c>
      <c r="I1357" s="73">
        <v>176780.45</v>
      </c>
      <c r="J1357" s="72">
        <v>770.93235521235522</v>
      </c>
      <c r="K1357" s="73">
        <v>-22891.03</v>
      </c>
      <c r="L1357" s="74">
        <v>0</v>
      </c>
      <c r="M1357" s="73">
        <v>0</v>
      </c>
      <c r="N1357" s="74">
        <v>0</v>
      </c>
      <c r="O1357" s="73">
        <v>0</v>
      </c>
      <c r="P1357" s="74">
        <v>259</v>
      </c>
      <c r="Q1357" s="73">
        <v>176780.45</v>
      </c>
      <c r="R1357" s="71" t="s">
        <v>625</v>
      </c>
      <c r="S1357" s="71">
        <v>7414000005</v>
      </c>
      <c r="AB1357"/>
      <c r="AC1357"/>
    </row>
    <row r="1358" spans="1:29" x14ac:dyDescent="0.25">
      <c r="A1358" t="str">
        <f t="shared" si="22"/>
        <v xml:space="preserve">2111039PEMEX 13-2          </v>
      </c>
      <c r="B1358" s="71">
        <v>2111039</v>
      </c>
      <c r="C1358" s="71" t="s">
        <v>829</v>
      </c>
      <c r="D1358" s="71" t="s">
        <v>430</v>
      </c>
      <c r="E1358" s="71" t="s">
        <v>623</v>
      </c>
      <c r="F1358" s="71" t="s">
        <v>624</v>
      </c>
      <c r="G1358" s="74">
        <v>425160</v>
      </c>
      <c r="H1358" s="72">
        <v>3.1390400000000001</v>
      </c>
      <c r="I1358" s="73">
        <v>1334594.2464000001</v>
      </c>
      <c r="J1358" s="72">
        <v>2.7610731724527238</v>
      </c>
      <c r="K1358" s="73">
        <v>160696.37640000001</v>
      </c>
      <c r="L1358" s="74">
        <v>0</v>
      </c>
      <c r="M1358" s="73">
        <v>0</v>
      </c>
      <c r="N1358" s="74">
        <v>0</v>
      </c>
      <c r="O1358" s="73">
        <v>0</v>
      </c>
      <c r="P1358" s="74">
        <v>425160</v>
      </c>
      <c r="Q1358" s="73">
        <v>1334594.2464000001</v>
      </c>
      <c r="R1358" s="71" t="s">
        <v>625</v>
      </c>
      <c r="S1358" s="71">
        <v>7414000005</v>
      </c>
      <c r="AB1358"/>
      <c r="AC1358"/>
    </row>
    <row r="1359" spans="1:29" x14ac:dyDescent="0.25">
      <c r="A1359" t="str">
        <f t="shared" si="22"/>
        <v xml:space="preserve">2111039SPSM *              </v>
      </c>
      <c r="B1359" s="71">
        <v>2111039</v>
      </c>
      <c r="C1359" s="71" t="s">
        <v>829</v>
      </c>
      <c r="D1359" s="71" t="s">
        <v>389</v>
      </c>
      <c r="E1359" s="71" t="s">
        <v>623</v>
      </c>
      <c r="F1359" s="71" t="s">
        <v>624</v>
      </c>
      <c r="G1359" s="74">
        <v>609520</v>
      </c>
      <c r="H1359" s="72">
        <v>3.3967719999999999</v>
      </c>
      <c r="I1359" s="73">
        <v>2070400.4694399999</v>
      </c>
      <c r="J1359" s="72">
        <v>3.3023570678566743</v>
      </c>
      <c r="K1359" s="73">
        <v>57547.78944</v>
      </c>
      <c r="L1359" s="74">
        <v>0</v>
      </c>
      <c r="M1359" s="73">
        <v>0</v>
      </c>
      <c r="N1359" s="74">
        <v>0</v>
      </c>
      <c r="O1359" s="73">
        <v>0</v>
      </c>
      <c r="P1359" s="74">
        <v>609520</v>
      </c>
      <c r="Q1359" s="73">
        <v>2070400.4694399999</v>
      </c>
      <c r="R1359" s="71" t="s">
        <v>625</v>
      </c>
      <c r="S1359" s="71">
        <v>7414000005</v>
      </c>
      <c r="AB1359"/>
      <c r="AC1359"/>
    </row>
    <row r="1360" spans="1:29" x14ac:dyDescent="0.25">
      <c r="A1360" t="str">
        <f t="shared" si="22"/>
        <v xml:space="preserve">2111039ST&amp;ER-C ED          </v>
      </c>
      <c r="B1360" s="71">
        <v>2111039</v>
      </c>
      <c r="C1360" s="71" t="s">
        <v>829</v>
      </c>
      <c r="D1360" s="71" t="s">
        <v>392</v>
      </c>
      <c r="E1360" s="71" t="s">
        <v>623</v>
      </c>
      <c r="F1360" s="71" t="s">
        <v>624</v>
      </c>
      <c r="G1360" s="74">
        <v>31</v>
      </c>
      <c r="H1360" s="72">
        <v>747.17843200000004</v>
      </c>
      <c r="I1360" s="73">
        <v>23162.531392000001</v>
      </c>
      <c r="J1360" s="72">
        <v>730.99471579999999</v>
      </c>
      <c r="K1360" s="73">
        <v>501.69520219999998</v>
      </c>
      <c r="L1360" s="74">
        <v>0</v>
      </c>
      <c r="M1360" s="73">
        <v>0</v>
      </c>
      <c r="N1360" s="74">
        <v>0</v>
      </c>
      <c r="O1360" s="73">
        <v>0</v>
      </c>
      <c r="P1360" s="74">
        <v>31</v>
      </c>
      <c r="Q1360" s="73">
        <v>23162.531392000001</v>
      </c>
      <c r="R1360" s="71" t="s">
        <v>625</v>
      </c>
      <c r="S1360" s="71">
        <v>7414000005</v>
      </c>
      <c r="AB1360"/>
      <c r="AC1360"/>
    </row>
    <row r="1361" spans="1:29" x14ac:dyDescent="0.25">
      <c r="A1361" t="str">
        <f t="shared" si="22"/>
        <v xml:space="preserve">2111039STERGOB ED          </v>
      </c>
      <c r="B1361" s="71">
        <v>2111039</v>
      </c>
      <c r="C1361" s="71" t="s">
        <v>829</v>
      </c>
      <c r="D1361" s="71" t="s">
        <v>393</v>
      </c>
      <c r="E1361" s="71" t="s">
        <v>623</v>
      </c>
      <c r="F1361" s="71" t="s">
        <v>624</v>
      </c>
      <c r="G1361" s="74">
        <v>158</v>
      </c>
      <c r="H1361" s="72">
        <v>765.92388300000005</v>
      </c>
      <c r="I1361" s="73">
        <v>121015.973514</v>
      </c>
      <c r="J1361" s="72">
        <v>770.8356037525316</v>
      </c>
      <c r="K1361" s="73">
        <v>-776.05187890000002</v>
      </c>
      <c r="L1361" s="74">
        <v>0</v>
      </c>
      <c r="M1361" s="73">
        <v>0</v>
      </c>
      <c r="N1361" s="74">
        <v>0</v>
      </c>
      <c r="O1361" s="73">
        <v>0</v>
      </c>
      <c r="P1361" s="74">
        <v>158</v>
      </c>
      <c r="Q1361" s="73">
        <v>121015.973514</v>
      </c>
      <c r="R1361" s="71" t="s">
        <v>625</v>
      </c>
      <c r="S1361" s="71">
        <v>7414000005</v>
      </c>
      <c r="AB1361"/>
      <c r="AC1361"/>
    </row>
    <row r="1362" spans="1:29" x14ac:dyDescent="0.25">
      <c r="A1362" t="str">
        <f t="shared" si="22"/>
        <v xml:space="preserve">2111039UDIBONO 261203      </v>
      </c>
      <c r="B1362" s="71">
        <v>2111039</v>
      </c>
      <c r="C1362" s="71" t="s">
        <v>829</v>
      </c>
      <c r="D1362" s="71" t="s">
        <v>394</v>
      </c>
      <c r="E1362" s="71" t="s">
        <v>623</v>
      </c>
      <c r="F1362" s="71" t="s">
        <v>624</v>
      </c>
      <c r="G1362" s="74">
        <v>50</v>
      </c>
      <c r="H1362" s="72">
        <v>684.88915799999995</v>
      </c>
      <c r="I1362" s="73">
        <v>34244.457900000001</v>
      </c>
      <c r="J1362" s="72">
        <v>700.97292315000004</v>
      </c>
      <c r="K1362" s="73">
        <v>-804.18825749999996</v>
      </c>
      <c r="L1362" s="74">
        <v>0</v>
      </c>
      <c r="M1362" s="73">
        <v>0</v>
      </c>
      <c r="N1362" s="74">
        <v>0</v>
      </c>
      <c r="O1362" s="73">
        <v>0</v>
      </c>
      <c r="P1362" s="74">
        <v>50</v>
      </c>
      <c r="Q1362" s="73">
        <v>34244.457900000001</v>
      </c>
      <c r="R1362" s="71" t="s">
        <v>625</v>
      </c>
      <c r="S1362" s="71">
        <v>7414000005</v>
      </c>
      <c r="AB1362"/>
      <c r="AC1362"/>
    </row>
    <row r="1363" spans="1:29" x14ac:dyDescent="0.25">
      <c r="A1363" t="str">
        <f t="shared" si="22"/>
        <v xml:space="preserve">2111039UDIBONO 281130      </v>
      </c>
      <c r="B1363" s="71">
        <v>2111039</v>
      </c>
      <c r="C1363" s="71" t="s">
        <v>829</v>
      </c>
      <c r="D1363" s="71" t="s">
        <v>395</v>
      </c>
      <c r="E1363" s="71" t="s">
        <v>623</v>
      </c>
      <c r="F1363" s="71" t="s">
        <v>624</v>
      </c>
      <c r="G1363" s="74">
        <v>7</v>
      </c>
      <c r="H1363" s="72">
        <v>772.926965</v>
      </c>
      <c r="I1363" s="73">
        <v>5410.4887550000003</v>
      </c>
      <c r="J1363" s="72">
        <v>798.93664675000002</v>
      </c>
      <c r="K1363" s="73">
        <v>-182.06777224999999</v>
      </c>
      <c r="L1363" s="74">
        <v>0</v>
      </c>
      <c r="M1363" s="73">
        <v>0</v>
      </c>
      <c r="N1363" s="74">
        <v>0</v>
      </c>
      <c r="O1363" s="73">
        <v>0</v>
      </c>
      <c r="P1363" s="74">
        <v>7</v>
      </c>
      <c r="Q1363" s="73">
        <v>5410.4887550000003</v>
      </c>
      <c r="R1363" s="71" t="s">
        <v>625</v>
      </c>
      <c r="S1363" s="71">
        <v>7414000005</v>
      </c>
      <c r="AB1363"/>
      <c r="AC1363"/>
    </row>
    <row r="1364" spans="1:29" x14ac:dyDescent="0.25">
      <c r="A1364" t="str">
        <f t="shared" si="22"/>
        <v xml:space="preserve">2111039UDIBONO 311127      </v>
      </c>
      <c r="B1364" s="71">
        <v>2111039</v>
      </c>
      <c r="C1364" s="71" t="s">
        <v>829</v>
      </c>
      <c r="D1364" s="71" t="s">
        <v>396</v>
      </c>
      <c r="E1364" s="71" t="s">
        <v>623</v>
      </c>
      <c r="F1364" s="71" t="s">
        <v>624</v>
      </c>
      <c r="G1364" s="74">
        <v>143</v>
      </c>
      <c r="H1364" s="72">
        <v>721.59464000000003</v>
      </c>
      <c r="I1364" s="73">
        <v>103188.03352</v>
      </c>
      <c r="J1364" s="72">
        <v>758.77574809999999</v>
      </c>
      <c r="K1364" s="73">
        <v>-5316.8984583000001</v>
      </c>
      <c r="L1364" s="74">
        <v>0</v>
      </c>
      <c r="M1364" s="73">
        <v>0</v>
      </c>
      <c r="N1364" s="74">
        <v>0</v>
      </c>
      <c r="O1364" s="73">
        <v>0</v>
      </c>
      <c r="P1364" s="74">
        <v>143</v>
      </c>
      <c r="Q1364" s="73">
        <v>103188.03352</v>
      </c>
      <c r="R1364" s="71" t="s">
        <v>625</v>
      </c>
      <c r="S1364" s="71">
        <v>7414000005</v>
      </c>
      <c r="AB1364"/>
      <c r="AC1364"/>
    </row>
    <row r="1365" spans="1:29" x14ac:dyDescent="0.25">
      <c r="A1365" t="str">
        <f t="shared" si="22"/>
        <v xml:space="preserve">2111039UDIBONO 351122      </v>
      </c>
      <c r="B1365" s="71">
        <v>2111039</v>
      </c>
      <c r="C1365" s="71" t="s">
        <v>829</v>
      </c>
      <c r="D1365" s="71" t="s">
        <v>397</v>
      </c>
      <c r="E1365" s="71" t="s">
        <v>623</v>
      </c>
      <c r="F1365" s="71" t="s">
        <v>624</v>
      </c>
      <c r="G1365" s="74">
        <v>77</v>
      </c>
      <c r="H1365" s="72">
        <v>635.96311900000001</v>
      </c>
      <c r="I1365" s="73">
        <v>48969.160163</v>
      </c>
      <c r="J1365" s="72">
        <v>647.93802047999998</v>
      </c>
      <c r="K1365" s="73">
        <v>-922.06741395999995</v>
      </c>
      <c r="L1365" s="74">
        <v>0</v>
      </c>
      <c r="M1365" s="73">
        <v>0</v>
      </c>
      <c r="N1365" s="74">
        <v>0</v>
      </c>
      <c r="O1365" s="73">
        <v>0</v>
      </c>
      <c r="P1365" s="74">
        <v>77</v>
      </c>
      <c r="Q1365" s="73">
        <v>48969.160163</v>
      </c>
      <c r="R1365" s="71" t="s">
        <v>625</v>
      </c>
      <c r="S1365" s="71">
        <v>7414000005</v>
      </c>
      <c r="AB1365"/>
      <c r="AC1365"/>
    </row>
    <row r="1366" spans="1:29" x14ac:dyDescent="0.25">
      <c r="A1366" t="str">
        <f t="shared" si="22"/>
        <v xml:space="preserve">2111039UDIBONO 401115      </v>
      </c>
      <c r="B1366" s="71">
        <v>2111039</v>
      </c>
      <c r="C1366" s="71" t="s">
        <v>829</v>
      </c>
      <c r="D1366" s="71" t="s">
        <v>398</v>
      </c>
      <c r="E1366" s="71" t="s">
        <v>623</v>
      </c>
      <c r="F1366" s="71" t="s">
        <v>624</v>
      </c>
      <c r="G1366" s="74">
        <v>233</v>
      </c>
      <c r="H1366" s="72">
        <v>709.36974099999998</v>
      </c>
      <c r="I1366" s="73">
        <v>165283.149653</v>
      </c>
      <c r="J1366" s="72">
        <v>724.63651936999997</v>
      </c>
      <c r="K1366" s="73">
        <v>-3557.1593602100002</v>
      </c>
      <c r="L1366" s="74">
        <v>0</v>
      </c>
      <c r="M1366" s="73">
        <v>0</v>
      </c>
      <c r="N1366" s="74">
        <v>0</v>
      </c>
      <c r="O1366" s="73">
        <v>0</v>
      </c>
      <c r="P1366" s="74">
        <v>233</v>
      </c>
      <c r="Q1366" s="73">
        <v>165283.149653</v>
      </c>
      <c r="R1366" s="71" t="s">
        <v>625</v>
      </c>
      <c r="S1366" s="71">
        <v>7414000005</v>
      </c>
      <c r="AB1366"/>
      <c r="AC1366"/>
    </row>
    <row r="1367" spans="1:29" x14ac:dyDescent="0.25">
      <c r="A1367" t="str">
        <f t="shared" si="22"/>
        <v xml:space="preserve">2111039UDIBONO 431112      </v>
      </c>
      <c r="B1367" s="71">
        <v>2111039</v>
      </c>
      <c r="C1367" s="71" t="s">
        <v>829</v>
      </c>
      <c r="D1367" s="71" t="s">
        <v>399</v>
      </c>
      <c r="E1367" s="71" t="s">
        <v>623</v>
      </c>
      <c r="F1367" s="71" t="s">
        <v>624</v>
      </c>
      <c r="G1367" s="74">
        <v>378</v>
      </c>
      <c r="H1367" s="72">
        <v>694.41118700000004</v>
      </c>
      <c r="I1367" s="73">
        <v>262487.428686</v>
      </c>
      <c r="J1367" s="72">
        <v>714.8753082628042</v>
      </c>
      <c r="K1367" s="73">
        <v>-7735.4378373400004</v>
      </c>
      <c r="L1367" s="74">
        <v>0</v>
      </c>
      <c r="M1367" s="73">
        <v>0</v>
      </c>
      <c r="N1367" s="74">
        <v>0</v>
      </c>
      <c r="O1367" s="73">
        <v>0</v>
      </c>
      <c r="P1367" s="74">
        <v>378</v>
      </c>
      <c r="Q1367" s="73">
        <v>262487.428686</v>
      </c>
      <c r="R1367" s="71" t="s">
        <v>625</v>
      </c>
      <c r="S1367" s="71">
        <v>7414000005</v>
      </c>
      <c r="AB1367"/>
      <c r="AC1367"/>
    </row>
    <row r="1368" spans="1:29" x14ac:dyDescent="0.25">
      <c r="A1368" t="str">
        <f t="shared" si="22"/>
        <v xml:space="preserve">2111039UDIBONO 461108      </v>
      </c>
      <c r="B1368" s="71">
        <v>2111039</v>
      </c>
      <c r="C1368" s="71" t="s">
        <v>829</v>
      </c>
      <c r="D1368" s="71" t="s">
        <v>401</v>
      </c>
      <c r="E1368" s="71" t="s">
        <v>623</v>
      </c>
      <c r="F1368" s="71" t="s">
        <v>624</v>
      </c>
      <c r="G1368" s="74">
        <v>175</v>
      </c>
      <c r="H1368" s="72">
        <v>1090</v>
      </c>
      <c r="I1368" s="73">
        <v>190750</v>
      </c>
      <c r="J1368" s="72">
        <v>1153.8654285714285</v>
      </c>
      <c r="K1368" s="73">
        <v>-11176.45</v>
      </c>
      <c r="L1368" s="74">
        <v>0</v>
      </c>
      <c r="M1368" s="73">
        <v>0</v>
      </c>
      <c r="N1368" s="74">
        <v>0</v>
      </c>
      <c r="O1368" s="73">
        <v>0</v>
      </c>
      <c r="P1368" s="74">
        <v>175</v>
      </c>
      <c r="Q1368" s="73">
        <v>190750</v>
      </c>
      <c r="R1368" s="71" t="s">
        <v>625</v>
      </c>
      <c r="S1368" s="71">
        <v>7414000005</v>
      </c>
      <c r="AB1368"/>
      <c r="AC1368"/>
    </row>
    <row r="1369" spans="1:29" x14ac:dyDescent="0.25">
      <c r="A1369" t="str">
        <f t="shared" si="22"/>
        <v xml:space="preserve">2111039UDIBONO 501103      </v>
      </c>
      <c r="B1369" s="71">
        <v>2111047</v>
      </c>
      <c r="C1369" s="71" t="s">
        <v>830</v>
      </c>
      <c r="D1369" s="71" t="s">
        <v>357</v>
      </c>
      <c r="E1369" s="71" t="s">
        <v>623</v>
      </c>
      <c r="F1369" s="71" t="s">
        <v>624</v>
      </c>
      <c r="G1369" s="74">
        <v>7000</v>
      </c>
      <c r="H1369" s="72">
        <v>168.64</v>
      </c>
      <c r="I1369" s="73">
        <v>1180480</v>
      </c>
      <c r="J1369" s="72">
        <v>178.26642142857142</v>
      </c>
      <c r="K1369" s="73">
        <v>-67384.95</v>
      </c>
      <c r="L1369" s="74">
        <v>0</v>
      </c>
      <c r="M1369" s="73">
        <v>0</v>
      </c>
      <c r="N1369" s="74">
        <v>0</v>
      </c>
      <c r="O1369" s="73">
        <v>0</v>
      </c>
      <c r="P1369" s="74">
        <v>7000</v>
      </c>
      <c r="Q1369" s="73">
        <v>1180480</v>
      </c>
      <c r="R1369" s="71" t="s">
        <v>625</v>
      </c>
      <c r="S1369" s="71">
        <v>7414000005</v>
      </c>
      <c r="AB1369"/>
      <c r="AC1369"/>
    </row>
    <row r="1370" spans="1:29" x14ac:dyDescent="0.25">
      <c r="A1370" t="str">
        <f t="shared" si="22"/>
        <v xml:space="preserve">2111039VGK *               </v>
      </c>
      <c r="B1370" s="71">
        <v>2111047</v>
      </c>
      <c r="C1370" s="71" t="s">
        <v>830</v>
      </c>
      <c r="D1370" s="71" t="s">
        <v>617</v>
      </c>
      <c r="E1370" s="71" t="s">
        <v>623</v>
      </c>
      <c r="F1370" s="71" t="s">
        <v>624</v>
      </c>
      <c r="G1370" s="74">
        <v>22000</v>
      </c>
      <c r="H1370" s="72">
        <v>11.86</v>
      </c>
      <c r="I1370" s="73">
        <v>260920</v>
      </c>
      <c r="J1370" s="72">
        <v>12.184018636363636</v>
      </c>
      <c r="K1370" s="73">
        <v>-7128.41</v>
      </c>
      <c r="L1370" s="74">
        <v>0</v>
      </c>
      <c r="M1370" s="73">
        <v>0</v>
      </c>
      <c r="N1370" s="74">
        <v>0</v>
      </c>
      <c r="O1370" s="73">
        <v>0</v>
      </c>
      <c r="P1370" s="74">
        <v>22000</v>
      </c>
      <c r="Q1370" s="73">
        <v>260920</v>
      </c>
      <c r="R1370" s="71" t="s">
        <v>625</v>
      </c>
      <c r="S1370" s="71">
        <v>7414000005</v>
      </c>
      <c r="AB1370"/>
      <c r="AC1370"/>
    </row>
    <row r="1371" spans="1:29" x14ac:dyDescent="0.25">
      <c r="A1371" t="str">
        <f t="shared" si="22"/>
        <v xml:space="preserve">2111047AC *                </v>
      </c>
      <c r="B1371" s="71">
        <v>2111047</v>
      </c>
      <c r="C1371" s="71" t="s">
        <v>830</v>
      </c>
      <c r="D1371" s="71" t="s">
        <v>359</v>
      </c>
      <c r="E1371" s="71" t="s">
        <v>623</v>
      </c>
      <c r="F1371" s="71" t="s">
        <v>624</v>
      </c>
      <c r="G1371" s="74">
        <v>19300</v>
      </c>
      <c r="H1371" s="72">
        <v>73.37</v>
      </c>
      <c r="I1371" s="73">
        <v>1416041</v>
      </c>
      <c r="J1371" s="72">
        <v>62.082834715025903</v>
      </c>
      <c r="K1371" s="73">
        <v>217842.29</v>
      </c>
      <c r="L1371" s="74">
        <v>0</v>
      </c>
      <c r="M1371" s="73">
        <v>0</v>
      </c>
      <c r="N1371" s="74">
        <v>0</v>
      </c>
      <c r="O1371" s="73">
        <v>0</v>
      </c>
      <c r="P1371" s="74">
        <v>19300</v>
      </c>
      <c r="Q1371" s="73">
        <v>1416041</v>
      </c>
      <c r="R1371" s="71" t="s">
        <v>625</v>
      </c>
      <c r="S1371" s="71">
        <v>7414000005</v>
      </c>
      <c r="AB1371"/>
      <c r="AC1371"/>
    </row>
    <row r="1372" spans="1:29" x14ac:dyDescent="0.25">
      <c r="A1372" t="str">
        <f t="shared" si="22"/>
        <v xml:space="preserve">2111047ALPEK A             </v>
      </c>
      <c r="B1372" s="71">
        <v>2111047</v>
      </c>
      <c r="C1372" s="71" t="s">
        <v>830</v>
      </c>
      <c r="D1372" s="71" t="s">
        <v>360</v>
      </c>
      <c r="E1372" s="71" t="s">
        <v>623</v>
      </c>
      <c r="F1372" s="71" t="s">
        <v>624</v>
      </c>
      <c r="G1372" s="74">
        <v>295000</v>
      </c>
      <c r="H1372" s="72">
        <v>15.12</v>
      </c>
      <c r="I1372" s="73">
        <v>4460400</v>
      </c>
      <c r="J1372" s="72">
        <v>16.053986748813561</v>
      </c>
      <c r="K1372" s="73">
        <v>-275526.09090000001</v>
      </c>
      <c r="L1372" s="74">
        <v>0</v>
      </c>
      <c r="M1372" s="73">
        <v>0</v>
      </c>
      <c r="N1372" s="74">
        <v>0</v>
      </c>
      <c r="O1372" s="73">
        <v>0</v>
      </c>
      <c r="P1372" s="74">
        <v>295000</v>
      </c>
      <c r="Q1372" s="73">
        <v>4460400</v>
      </c>
      <c r="R1372" s="71" t="s">
        <v>625</v>
      </c>
      <c r="S1372" s="71">
        <v>7414000005</v>
      </c>
      <c r="AB1372"/>
      <c r="AC1372"/>
    </row>
    <row r="1373" spans="1:29" x14ac:dyDescent="0.25">
      <c r="A1373" t="str">
        <f t="shared" si="22"/>
        <v xml:space="preserve">2111047ALSEA *             </v>
      </c>
      <c r="B1373" s="71">
        <v>2111047</v>
      </c>
      <c r="C1373" s="71" t="s">
        <v>830</v>
      </c>
      <c r="D1373" s="71" t="s">
        <v>551</v>
      </c>
      <c r="E1373" s="71" t="s">
        <v>623</v>
      </c>
      <c r="F1373" s="71" t="s">
        <v>624</v>
      </c>
      <c r="G1373" s="74">
        <v>5500</v>
      </c>
      <c r="H1373" s="72">
        <v>525.09</v>
      </c>
      <c r="I1373" s="73">
        <v>2887995</v>
      </c>
      <c r="J1373" s="72">
        <v>490.90909818181819</v>
      </c>
      <c r="K1373" s="73">
        <v>187994.96</v>
      </c>
      <c r="L1373" s="74">
        <v>0</v>
      </c>
      <c r="M1373" s="73">
        <v>0</v>
      </c>
      <c r="N1373" s="74">
        <v>0</v>
      </c>
      <c r="O1373" s="73">
        <v>0</v>
      </c>
      <c r="P1373" s="74">
        <v>5500</v>
      </c>
      <c r="Q1373" s="73">
        <v>2887995</v>
      </c>
      <c r="R1373" s="71" t="s">
        <v>625</v>
      </c>
      <c r="S1373" s="71">
        <v>7414000005</v>
      </c>
      <c r="AB1373"/>
      <c r="AC1373"/>
    </row>
    <row r="1374" spans="1:29" x14ac:dyDescent="0.25">
      <c r="A1374" t="str">
        <f t="shared" si="22"/>
        <v xml:space="preserve">2111047AMX B               </v>
      </c>
      <c r="B1374" s="71">
        <v>2111047</v>
      </c>
      <c r="C1374" s="71" t="s">
        <v>830</v>
      </c>
      <c r="D1374" s="71" t="s">
        <v>361</v>
      </c>
      <c r="E1374" s="71" t="s">
        <v>623</v>
      </c>
      <c r="F1374" s="71" t="s">
        <v>624</v>
      </c>
      <c r="G1374" s="74">
        <v>12800</v>
      </c>
      <c r="H1374" s="72">
        <v>68.25</v>
      </c>
      <c r="I1374" s="73">
        <v>873600</v>
      </c>
      <c r="J1374" s="72">
        <v>78.649984375000003</v>
      </c>
      <c r="K1374" s="73">
        <v>-133119.79999999999</v>
      </c>
      <c r="L1374" s="74">
        <v>0</v>
      </c>
      <c r="M1374" s="73">
        <v>0</v>
      </c>
      <c r="N1374" s="74">
        <v>0</v>
      </c>
      <c r="O1374" s="73">
        <v>0</v>
      </c>
      <c r="P1374" s="74">
        <v>12800</v>
      </c>
      <c r="Q1374" s="73">
        <v>873600</v>
      </c>
      <c r="R1374" s="71" t="s">
        <v>625</v>
      </c>
      <c r="S1374" s="71">
        <v>7414000005</v>
      </c>
      <c r="AB1374"/>
      <c r="AC1374"/>
    </row>
    <row r="1375" spans="1:29" x14ac:dyDescent="0.25">
      <c r="A1375" t="str">
        <f t="shared" si="22"/>
        <v xml:space="preserve">2111047ASUR B              </v>
      </c>
      <c r="B1375" s="71">
        <v>2111047</v>
      </c>
      <c r="C1375" s="71" t="s">
        <v>830</v>
      </c>
      <c r="D1375" s="71" t="s">
        <v>362</v>
      </c>
      <c r="E1375" s="71" t="s">
        <v>623</v>
      </c>
      <c r="F1375" s="71" t="s">
        <v>624</v>
      </c>
      <c r="G1375" s="74">
        <v>358800</v>
      </c>
      <c r="H1375" s="72">
        <v>14.33</v>
      </c>
      <c r="I1375" s="73">
        <v>5141604</v>
      </c>
      <c r="J1375" s="72">
        <v>11.913910953177258</v>
      </c>
      <c r="K1375" s="73">
        <v>866892.75</v>
      </c>
      <c r="L1375" s="74">
        <v>0</v>
      </c>
      <c r="M1375" s="73">
        <v>0</v>
      </c>
      <c r="N1375" s="74">
        <v>0</v>
      </c>
      <c r="O1375" s="73">
        <v>0</v>
      </c>
      <c r="P1375" s="74">
        <v>358800</v>
      </c>
      <c r="Q1375" s="73">
        <v>5141604</v>
      </c>
      <c r="R1375" s="71" t="s">
        <v>625</v>
      </c>
      <c r="S1375" s="71">
        <v>7414000005</v>
      </c>
      <c r="AB1375"/>
      <c r="AC1375"/>
    </row>
    <row r="1376" spans="1:29" x14ac:dyDescent="0.25">
      <c r="A1376" t="str">
        <f t="shared" si="22"/>
        <v xml:space="preserve">2111047BIMBO A             </v>
      </c>
      <c r="B1376" s="71">
        <v>2111047</v>
      </c>
      <c r="C1376" s="71" t="s">
        <v>830</v>
      </c>
      <c r="D1376" s="71" t="s">
        <v>422</v>
      </c>
      <c r="E1376" s="71" t="s">
        <v>623</v>
      </c>
      <c r="F1376" s="71" t="s">
        <v>624</v>
      </c>
      <c r="G1376" s="74">
        <v>4144</v>
      </c>
      <c r="H1376" s="72">
        <v>97.654420999999999</v>
      </c>
      <c r="I1376" s="73">
        <v>404679.92062400002</v>
      </c>
      <c r="J1376" s="72">
        <v>98.224185000000006</v>
      </c>
      <c r="K1376" s="73">
        <v>-2361.1020159999998</v>
      </c>
      <c r="L1376" s="74">
        <v>0</v>
      </c>
      <c r="M1376" s="73">
        <v>0</v>
      </c>
      <c r="N1376" s="74">
        <v>0</v>
      </c>
      <c r="O1376" s="73">
        <v>0</v>
      </c>
      <c r="P1376" s="74">
        <v>4144</v>
      </c>
      <c r="Q1376" s="73">
        <v>404679.92062400002</v>
      </c>
      <c r="R1376" s="71" t="s">
        <v>625</v>
      </c>
      <c r="S1376" s="71">
        <v>7414000005</v>
      </c>
      <c r="AB1376"/>
      <c r="AC1376"/>
    </row>
    <row r="1377" spans="1:29" x14ac:dyDescent="0.25">
      <c r="A1377" t="str">
        <f t="shared" si="22"/>
        <v xml:space="preserve">2111047CEMEX CPO           </v>
      </c>
      <c r="B1377" s="71">
        <v>2111047</v>
      </c>
      <c r="C1377" s="71" t="s">
        <v>830</v>
      </c>
      <c r="D1377" s="71" t="s">
        <v>363</v>
      </c>
      <c r="E1377" s="71" t="s">
        <v>623</v>
      </c>
      <c r="F1377" s="71" t="s">
        <v>624</v>
      </c>
      <c r="G1377" s="74">
        <v>496336</v>
      </c>
      <c r="H1377" s="72">
        <v>9.4935880000000008</v>
      </c>
      <c r="I1377" s="73">
        <v>4712009.4935680004</v>
      </c>
      <c r="J1377" s="72">
        <v>8.4405498100000003</v>
      </c>
      <c r="K1377" s="73">
        <v>522660.76307183999</v>
      </c>
      <c r="L1377" s="74">
        <v>0</v>
      </c>
      <c r="M1377" s="73">
        <v>0</v>
      </c>
      <c r="N1377" s="74">
        <v>0</v>
      </c>
      <c r="O1377" s="73">
        <v>0</v>
      </c>
      <c r="P1377" s="74">
        <v>496336</v>
      </c>
      <c r="Q1377" s="73">
        <v>4712009.4935680004</v>
      </c>
      <c r="R1377" s="71" t="s">
        <v>625</v>
      </c>
      <c r="S1377" s="71">
        <v>7414000005</v>
      </c>
      <c r="AB1377"/>
      <c r="AC1377"/>
    </row>
    <row r="1378" spans="1:29" x14ac:dyDescent="0.25">
      <c r="A1378" t="str">
        <f t="shared" si="22"/>
        <v xml:space="preserve">2111047CETELEM 22          </v>
      </c>
      <c r="B1378" s="71">
        <v>2111047</v>
      </c>
      <c r="C1378" s="71" t="s">
        <v>830</v>
      </c>
      <c r="D1378" s="71" t="s">
        <v>365</v>
      </c>
      <c r="E1378" s="71" t="s">
        <v>623</v>
      </c>
      <c r="F1378" s="71" t="s">
        <v>624</v>
      </c>
      <c r="G1378" s="74">
        <v>7900</v>
      </c>
      <c r="H1378" s="72">
        <v>675.38</v>
      </c>
      <c r="I1378" s="73">
        <v>5335502</v>
      </c>
      <c r="J1378" s="72">
        <v>796.61193670886075</v>
      </c>
      <c r="K1378" s="73">
        <v>-957732.3</v>
      </c>
      <c r="L1378" s="74">
        <v>0</v>
      </c>
      <c r="M1378" s="73">
        <v>0</v>
      </c>
      <c r="N1378" s="74">
        <v>0</v>
      </c>
      <c r="O1378" s="73">
        <v>0</v>
      </c>
      <c r="P1378" s="74">
        <v>7900</v>
      </c>
      <c r="Q1378" s="73">
        <v>5335502</v>
      </c>
      <c r="R1378" s="71" t="s">
        <v>625</v>
      </c>
      <c r="S1378" s="71">
        <v>7414000005</v>
      </c>
      <c r="AB1378"/>
      <c r="AC1378"/>
    </row>
    <row r="1379" spans="1:29" x14ac:dyDescent="0.25">
      <c r="A1379" t="str">
        <f t="shared" si="22"/>
        <v xml:space="preserve">2111047CETES 241003        </v>
      </c>
      <c r="B1379" s="71">
        <v>2111047</v>
      </c>
      <c r="C1379" s="71" t="s">
        <v>830</v>
      </c>
      <c r="D1379" s="71" t="s">
        <v>587</v>
      </c>
      <c r="E1379" s="71" t="s">
        <v>623</v>
      </c>
      <c r="F1379" s="71" t="s">
        <v>624</v>
      </c>
      <c r="G1379" s="74">
        <v>0</v>
      </c>
      <c r="H1379" s="72">
        <v>0</v>
      </c>
      <c r="I1379" s="73">
        <v>0</v>
      </c>
      <c r="J1379" s="72">
        <v>0</v>
      </c>
      <c r="K1379" s="73">
        <v>0</v>
      </c>
      <c r="L1379" s="74">
        <v>0</v>
      </c>
      <c r="M1379" s="73">
        <v>0</v>
      </c>
      <c r="N1379" s="74">
        <v>0</v>
      </c>
      <c r="O1379" s="73">
        <v>0</v>
      </c>
      <c r="P1379" s="74">
        <v>0</v>
      </c>
      <c r="Q1379" s="73">
        <v>0</v>
      </c>
      <c r="R1379" s="71" t="s">
        <v>625</v>
      </c>
      <c r="S1379" s="71">
        <v>7414000005</v>
      </c>
      <c r="AB1379"/>
      <c r="AC1379"/>
    </row>
    <row r="1380" spans="1:29" x14ac:dyDescent="0.25">
      <c r="A1380" t="str">
        <f t="shared" si="22"/>
        <v xml:space="preserve">2111047EEM *               </v>
      </c>
      <c r="B1380" s="71">
        <v>2111047</v>
      </c>
      <c r="C1380" s="71" t="s">
        <v>830</v>
      </c>
      <c r="D1380" s="71" t="s">
        <v>367</v>
      </c>
      <c r="E1380" s="71" t="s">
        <v>623</v>
      </c>
      <c r="F1380" s="71" t="s">
        <v>624</v>
      </c>
      <c r="G1380" s="74">
        <v>1840</v>
      </c>
      <c r="H1380" s="72">
        <v>700.65</v>
      </c>
      <c r="I1380" s="73">
        <v>1289196</v>
      </c>
      <c r="J1380" s="72">
        <v>813.60809782608692</v>
      </c>
      <c r="K1380" s="73">
        <v>-207842.9</v>
      </c>
      <c r="L1380" s="74">
        <v>0</v>
      </c>
      <c r="M1380" s="73">
        <v>0</v>
      </c>
      <c r="N1380" s="74">
        <v>0</v>
      </c>
      <c r="O1380" s="73">
        <v>0</v>
      </c>
      <c r="P1380" s="74">
        <v>1840</v>
      </c>
      <c r="Q1380" s="73">
        <v>1289196</v>
      </c>
      <c r="R1380" s="71" t="s">
        <v>625</v>
      </c>
      <c r="S1380" s="71">
        <v>7414000005</v>
      </c>
      <c r="AB1380"/>
      <c r="AC1380"/>
    </row>
    <row r="1381" spans="1:29" x14ac:dyDescent="0.25">
      <c r="A1381" t="str">
        <f t="shared" si="22"/>
        <v xml:space="preserve">2111047ELEKTRA *           </v>
      </c>
      <c r="B1381" s="71">
        <v>2111047</v>
      </c>
      <c r="C1381" s="71" t="s">
        <v>830</v>
      </c>
      <c r="D1381" s="71" t="s">
        <v>368</v>
      </c>
      <c r="E1381" s="71" t="s">
        <v>623</v>
      </c>
      <c r="F1381" s="71" t="s">
        <v>624</v>
      </c>
      <c r="G1381" s="74">
        <v>3240</v>
      </c>
      <c r="H1381" s="72">
        <v>1151</v>
      </c>
      <c r="I1381" s="73">
        <v>3729240</v>
      </c>
      <c r="J1381" s="72">
        <v>1007.5558302469136</v>
      </c>
      <c r="K1381" s="73">
        <v>464759.11</v>
      </c>
      <c r="L1381" s="74">
        <v>0</v>
      </c>
      <c r="M1381" s="73">
        <v>0</v>
      </c>
      <c r="N1381" s="74">
        <v>0</v>
      </c>
      <c r="O1381" s="73">
        <v>0</v>
      </c>
      <c r="P1381" s="74">
        <v>3240</v>
      </c>
      <c r="Q1381" s="73">
        <v>3729240</v>
      </c>
      <c r="R1381" s="71" t="s">
        <v>625</v>
      </c>
      <c r="S1381" s="71">
        <v>7414000005</v>
      </c>
      <c r="AB1381"/>
      <c r="AC1381"/>
    </row>
    <row r="1382" spans="1:29" x14ac:dyDescent="0.25">
      <c r="A1382" t="str">
        <f t="shared" si="22"/>
        <v xml:space="preserve">2111047EPP *               </v>
      </c>
      <c r="B1382" s="71">
        <v>2111047</v>
      </c>
      <c r="C1382" s="71" t="s">
        <v>830</v>
      </c>
      <c r="D1382" s="71" t="s">
        <v>369</v>
      </c>
      <c r="E1382" s="71" t="s">
        <v>623</v>
      </c>
      <c r="F1382" s="71" t="s">
        <v>624</v>
      </c>
      <c r="G1382" s="74">
        <v>26700</v>
      </c>
      <c r="H1382" s="72">
        <v>207.81</v>
      </c>
      <c r="I1382" s="73">
        <v>5548527</v>
      </c>
      <c r="J1382" s="72">
        <v>174.63543595505618</v>
      </c>
      <c r="K1382" s="73">
        <v>885760.86</v>
      </c>
      <c r="L1382" s="74">
        <v>0</v>
      </c>
      <c r="M1382" s="73">
        <v>0</v>
      </c>
      <c r="N1382" s="74">
        <v>0</v>
      </c>
      <c r="O1382" s="73">
        <v>0</v>
      </c>
      <c r="P1382" s="74">
        <v>26700</v>
      </c>
      <c r="Q1382" s="73">
        <v>5548527</v>
      </c>
      <c r="R1382" s="71" t="s">
        <v>625</v>
      </c>
      <c r="S1382" s="71">
        <v>7414000005</v>
      </c>
      <c r="AB1382"/>
      <c r="AC1382"/>
    </row>
    <row r="1383" spans="1:29" x14ac:dyDescent="0.25">
      <c r="A1383" t="str">
        <f t="shared" si="22"/>
        <v xml:space="preserve">2111047EWJ *               </v>
      </c>
      <c r="B1383" s="71">
        <v>2111047</v>
      </c>
      <c r="C1383" s="71" t="s">
        <v>830</v>
      </c>
      <c r="D1383" s="71" t="s">
        <v>588</v>
      </c>
      <c r="E1383" s="71" t="s">
        <v>623</v>
      </c>
      <c r="F1383" s="71" t="s">
        <v>624</v>
      </c>
      <c r="G1383" s="74">
        <v>26</v>
      </c>
      <c r="H1383" s="72">
        <v>29</v>
      </c>
      <c r="I1383" s="73">
        <v>754</v>
      </c>
      <c r="J1383" s="72">
        <v>47.323461538461537</v>
      </c>
      <c r="K1383" s="73">
        <v>-476.41</v>
      </c>
      <c r="L1383" s="74">
        <v>0</v>
      </c>
      <c r="M1383" s="73">
        <v>0</v>
      </c>
      <c r="N1383" s="74">
        <v>0</v>
      </c>
      <c r="O1383" s="73">
        <v>0</v>
      </c>
      <c r="P1383" s="74">
        <v>26</v>
      </c>
      <c r="Q1383" s="73">
        <v>754</v>
      </c>
      <c r="R1383" s="71" t="s">
        <v>625</v>
      </c>
      <c r="S1383" s="71">
        <v>7414000005</v>
      </c>
      <c r="AB1383"/>
      <c r="AC1383"/>
    </row>
    <row r="1384" spans="1:29" x14ac:dyDescent="0.25">
      <c r="A1384" t="str">
        <f t="shared" si="22"/>
        <v xml:space="preserve">2111047FEMSA UBD           </v>
      </c>
      <c r="B1384" s="71">
        <v>2111047</v>
      </c>
      <c r="C1384" s="71" t="s">
        <v>830</v>
      </c>
      <c r="D1384" s="71" t="s">
        <v>370</v>
      </c>
      <c r="E1384" s="71" t="s">
        <v>623</v>
      </c>
      <c r="F1384" s="71" t="s">
        <v>624</v>
      </c>
      <c r="G1384" s="74">
        <v>2800</v>
      </c>
      <c r="H1384" s="72">
        <v>271.94</v>
      </c>
      <c r="I1384" s="73">
        <v>761432</v>
      </c>
      <c r="J1384" s="72">
        <v>295.71850000000001</v>
      </c>
      <c r="K1384" s="73">
        <v>-66579.8</v>
      </c>
      <c r="L1384" s="74">
        <v>0</v>
      </c>
      <c r="M1384" s="73">
        <v>0</v>
      </c>
      <c r="N1384" s="74">
        <v>0</v>
      </c>
      <c r="O1384" s="73">
        <v>0</v>
      </c>
      <c r="P1384" s="74">
        <v>2800</v>
      </c>
      <c r="Q1384" s="73">
        <v>761432</v>
      </c>
      <c r="R1384" s="71" t="s">
        <v>625</v>
      </c>
      <c r="S1384" s="71">
        <v>7414000005</v>
      </c>
      <c r="AB1384"/>
      <c r="AC1384"/>
    </row>
    <row r="1385" spans="1:29" x14ac:dyDescent="0.25">
      <c r="A1385" t="str">
        <f t="shared" si="22"/>
        <v xml:space="preserve">2111047FINAMEX O           </v>
      </c>
      <c r="B1385" s="71">
        <v>2111047</v>
      </c>
      <c r="C1385" s="71" t="s">
        <v>830</v>
      </c>
      <c r="D1385" s="71" t="s">
        <v>371</v>
      </c>
      <c r="E1385" s="71" t="s">
        <v>623</v>
      </c>
      <c r="F1385" s="71" t="s">
        <v>624</v>
      </c>
      <c r="G1385" s="74">
        <v>10000</v>
      </c>
      <c r="H1385" s="72">
        <v>193.15</v>
      </c>
      <c r="I1385" s="73">
        <v>1931500</v>
      </c>
      <c r="J1385" s="72">
        <v>162.51302699999999</v>
      </c>
      <c r="K1385" s="73">
        <v>306369.73</v>
      </c>
      <c r="L1385" s="74">
        <v>0</v>
      </c>
      <c r="M1385" s="73">
        <v>0</v>
      </c>
      <c r="N1385" s="74">
        <v>0</v>
      </c>
      <c r="O1385" s="73">
        <v>0</v>
      </c>
      <c r="P1385" s="74">
        <v>10000</v>
      </c>
      <c r="Q1385" s="73">
        <v>1931500</v>
      </c>
      <c r="R1385" s="71" t="s">
        <v>625</v>
      </c>
      <c r="S1385" s="71">
        <v>7414000005</v>
      </c>
      <c r="AB1385"/>
      <c r="AC1385"/>
    </row>
    <row r="1386" spans="1:29" x14ac:dyDescent="0.25">
      <c r="A1386" t="str">
        <f t="shared" si="22"/>
        <v xml:space="preserve">2111047GAP B               </v>
      </c>
      <c r="B1386" s="71">
        <v>2111047</v>
      </c>
      <c r="C1386" s="71" t="s">
        <v>830</v>
      </c>
      <c r="D1386" s="71" t="s">
        <v>372</v>
      </c>
      <c r="E1386" s="71" t="s">
        <v>623</v>
      </c>
      <c r="F1386" s="71" t="s">
        <v>624</v>
      </c>
      <c r="G1386" s="74">
        <v>70000</v>
      </c>
      <c r="H1386" s="72">
        <v>27.12</v>
      </c>
      <c r="I1386" s="73">
        <v>1898400</v>
      </c>
      <c r="J1386" s="72">
        <v>22.283150857142857</v>
      </c>
      <c r="K1386" s="73">
        <v>338579.44</v>
      </c>
      <c r="L1386" s="74">
        <v>0</v>
      </c>
      <c r="M1386" s="73">
        <v>0</v>
      </c>
      <c r="N1386" s="74">
        <v>0</v>
      </c>
      <c r="O1386" s="73">
        <v>0</v>
      </c>
      <c r="P1386" s="74">
        <v>70000</v>
      </c>
      <c r="Q1386" s="73">
        <v>1898400</v>
      </c>
      <c r="R1386" s="71" t="s">
        <v>625</v>
      </c>
      <c r="S1386" s="71">
        <v>7414000005</v>
      </c>
      <c r="AB1386"/>
      <c r="AC1386"/>
    </row>
    <row r="1387" spans="1:29" x14ac:dyDescent="0.25">
      <c r="A1387" t="str">
        <f t="shared" si="22"/>
        <v xml:space="preserve">2111047GCC *               </v>
      </c>
      <c r="B1387" s="71">
        <v>2111047</v>
      </c>
      <c r="C1387" s="71" t="s">
        <v>830</v>
      </c>
      <c r="D1387" s="71" t="s">
        <v>373</v>
      </c>
      <c r="E1387" s="71" t="s">
        <v>623</v>
      </c>
      <c r="F1387" s="71" t="s">
        <v>624</v>
      </c>
      <c r="G1387" s="74">
        <v>42000</v>
      </c>
      <c r="H1387" s="72">
        <v>176.44</v>
      </c>
      <c r="I1387" s="73">
        <v>7410480</v>
      </c>
      <c r="J1387" s="72">
        <v>149.58617595238096</v>
      </c>
      <c r="K1387" s="73">
        <v>1127860.6100000001</v>
      </c>
      <c r="L1387" s="74">
        <v>0</v>
      </c>
      <c r="M1387" s="73">
        <v>0</v>
      </c>
      <c r="N1387" s="74">
        <v>0</v>
      </c>
      <c r="O1387" s="73">
        <v>0</v>
      </c>
      <c r="P1387" s="74">
        <v>42000</v>
      </c>
      <c r="Q1387" s="73">
        <v>7410480</v>
      </c>
      <c r="R1387" s="71" t="s">
        <v>625</v>
      </c>
      <c r="S1387" s="71">
        <v>7414000005</v>
      </c>
      <c r="AB1387"/>
      <c r="AC1387"/>
    </row>
    <row r="1388" spans="1:29" x14ac:dyDescent="0.25">
      <c r="A1388" t="str">
        <f t="shared" si="22"/>
        <v xml:space="preserve">2111047GENTERA *           </v>
      </c>
      <c r="B1388" s="71">
        <v>2111047</v>
      </c>
      <c r="C1388" s="71" t="s">
        <v>830</v>
      </c>
      <c r="D1388" s="71" t="s">
        <v>589</v>
      </c>
      <c r="E1388" s="71" t="s">
        <v>623</v>
      </c>
      <c r="F1388" s="71" t="s">
        <v>624</v>
      </c>
      <c r="G1388" s="74">
        <v>0</v>
      </c>
      <c r="H1388" s="72">
        <v>0</v>
      </c>
      <c r="I1388" s="73">
        <v>0</v>
      </c>
      <c r="J1388" s="72">
        <v>0</v>
      </c>
      <c r="K1388" s="73">
        <v>0</v>
      </c>
      <c r="L1388" s="74">
        <v>0</v>
      </c>
      <c r="M1388" s="73">
        <v>0</v>
      </c>
      <c r="N1388" s="74">
        <v>0</v>
      </c>
      <c r="O1388" s="73">
        <v>0</v>
      </c>
      <c r="P1388" s="74">
        <v>0</v>
      </c>
      <c r="Q1388" s="73">
        <v>0</v>
      </c>
      <c r="R1388" s="71" t="s">
        <v>625</v>
      </c>
      <c r="S1388" s="71">
        <v>7414000005</v>
      </c>
      <c r="AB1388"/>
      <c r="AC1388"/>
    </row>
    <row r="1389" spans="1:29" x14ac:dyDescent="0.25">
      <c r="A1389" t="str">
        <f t="shared" si="22"/>
        <v xml:space="preserve">2111047GFNORTE O           </v>
      </c>
      <c r="B1389" s="71">
        <v>2111047</v>
      </c>
      <c r="C1389" s="71" t="s">
        <v>830</v>
      </c>
      <c r="D1389" s="71" t="s">
        <v>374</v>
      </c>
      <c r="E1389" s="71" t="s">
        <v>623</v>
      </c>
      <c r="F1389" s="71" t="s">
        <v>624</v>
      </c>
      <c r="G1389" s="74">
        <v>53500</v>
      </c>
      <c r="H1389" s="72">
        <v>104.12</v>
      </c>
      <c r="I1389" s="73">
        <v>5570420</v>
      </c>
      <c r="J1389" s="72">
        <v>83.734060747663548</v>
      </c>
      <c r="K1389" s="73">
        <v>1090647.75</v>
      </c>
      <c r="L1389" s="74">
        <v>0</v>
      </c>
      <c r="M1389" s="73">
        <v>0</v>
      </c>
      <c r="N1389" s="74">
        <v>0</v>
      </c>
      <c r="O1389" s="73">
        <v>0</v>
      </c>
      <c r="P1389" s="74">
        <v>53500</v>
      </c>
      <c r="Q1389" s="73">
        <v>5570420</v>
      </c>
      <c r="R1389" s="71" t="s">
        <v>625</v>
      </c>
      <c r="S1389" s="71">
        <v>7414000005</v>
      </c>
      <c r="AB1389"/>
      <c r="AC1389"/>
    </row>
    <row r="1390" spans="1:29" x14ac:dyDescent="0.25">
      <c r="A1390" t="str">
        <f t="shared" si="22"/>
        <v xml:space="preserve">2111047GFREGIO O           </v>
      </c>
      <c r="B1390" s="71">
        <v>2111047</v>
      </c>
      <c r="C1390" s="71" t="s">
        <v>830</v>
      </c>
      <c r="D1390" s="71" t="s">
        <v>375</v>
      </c>
      <c r="E1390" s="71" t="s">
        <v>623</v>
      </c>
      <c r="F1390" s="71" t="s">
        <v>624</v>
      </c>
      <c r="G1390" s="74">
        <v>16870</v>
      </c>
      <c r="H1390" s="72">
        <v>98.730349000000004</v>
      </c>
      <c r="I1390" s="73">
        <v>1665580.9876300001</v>
      </c>
      <c r="J1390" s="72">
        <v>104.81191507</v>
      </c>
      <c r="K1390" s="73">
        <v>-102596.01960090001</v>
      </c>
      <c r="L1390" s="74">
        <v>0</v>
      </c>
      <c r="M1390" s="73">
        <v>0</v>
      </c>
      <c r="N1390" s="74">
        <v>0</v>
      </c>
      <c r="O1390" s="73">
        <v>0</v>
      </c>
      <c r="P1390" s="74">
        <v>16870</v>
      </c>
      <c r="Q1390" s="73">
        <v>1665580.9876300001</v>
      </c>
      <c r="R1390" s="71" t="s">
        <v>625</v>
      </c>
      <c r="S1390" s="71">
        <v>7414000005</v>
      </c>
      <c r="AB1390"/>
      <c r="AC1390"/>
    </row>
    <row r="1391" spans="1:29" x14ac:dyDescent="0.25">
      <c r="A1391" t="str">
        <f t="shared" si="22"/>
        <v xml:space="preserve">2111047GMEXICO B           </v>
      </c>
      <c r="B1391" s="71">
        <v>2111047</v>
      </c>
      <c r="C1391" s="71" t="s">
        <v>830</v>
      </c>
      <c r="D1391" s="71" t="s">
        <v>376</v>
      </c>
      <c r="E1391" s="71" t="s">
        <v>623</v>
      </c>
      <c r="F1391" s="71" t="s">
        <v>624</v>
      </c>
      <c r="G1391" s="74">
        <v>61213</v>
      </c>
      <c r="H1391" s="72">
        <v>99.247497999999993</v>
      </c>
      <c r="I1391" s="73">
        <v>6075237.0950739998</v>
      </c>
      <c r="J1391" s="72">
        <v>112.18854429897604</v>
      </c>
      <c r="K1391" s="73">
        <v>-792160.26709921996</v>
      </c>
      <c r="L1391" s="74">
        <v>0</v>
      </c>
      <c r="M1391" s="73">
        <v>0</v>
      </c>
      <c r="N1391" s="74">
        <v>0</v>
      </c>
      <c r="O1391" s="73">
        <v>0</v>
      </c>
      <c r="P1391" s="74">
        <v>61213</v>
      </c>
      <c r="Q1391" s="73">
        <v>6075237.0950739998</v>
      </c>
      <c r="R1391" s="71" t="s">
        <v>625</v>
      </c>
      <c r="S1391" s="71">
        <v>7414000005</v>
      </c>
      <c r="AB1391"/>
      <c r="AC1391"/>
    </row>
    <row r="1392" spans="1:29" x14ac:dyDescent="0.25">
      <c r="A1392" t="str">
        <f t="shared" si="22"/>
        <v xml:space="preserve">2111047GOBFED 240905       </v>
      </c>
      <c r="B1392" s="71">
        <v>2111047</v>
      </c>
      <c r="C1392" s="71" t="s">
        <v>830</v>
      </c>
      <c r="D1392" s="71" t="s">
        <v>377</v>
      </c>
      <c r="E1392" s="71" t="s">
        <v>623</v>
      </c>
      <c r="F1392" s="71" t="s">
        <v>624</v>
      </c>
      <c r="G1392" s="74">
        <v>15900</v>
      </c>
      <c r="H1392" s="72">
        <v>94.973146999999997</v>
      </c>
      <c r="I1392" s="73">
        <v>1510073.0373</v>
      </c>
      <c r="J1392" s="72">
        <v>89.738008707484283</v>
      </c>
      <c r="K1392" s="73">
        <v>83238.698850999994</v>
      </c>
      <c r="L1392" s="74">
        <v>0</v>
      </c>
      <c r="M1392" s="73">
        <v>0</v>
      </c>
      <c r="N1392" s="74">
        <v>0</v>
      </c>
      <c r="O1392" s="73">
        <v>0</v>
      </c>
      <c r="P1392" s="74">
        <v>15900</v>
      </c>
      <c r="Q1392" s="73">
        <v>1510073.0373</v>
      </c>
      <c r="R1392" s="71" t="s">
        <v>625</v>
      </c>
      <c r="S1392" s="71">
        <v>7414000005</v>
      </c>
      <c r="AB1392"/>
      <c r="AC1392"/>
    </row>
    <row r="1393" spans="1:29" x14ac:dyDescent="0.25">
      <c r="A1393" t="str">
        <f t="shared" si="22"/>
        <v xml:space="preserve">2111047GOBFED 241205       </v>
      </c>
      <c r="B1393" s="71">
        <v>2111047</v>
      </c>
      <c r="C1393" s="71" t="s">
        <v>830</v>
      </c>
      <c r="D1393" s="71" t="s">
        <v>378</v>
      </c>
      <c r="E1393" s="71" t="s">
        <v>623</v>
      </c>
      <c r="F1393" s="71" t="s">
        <v>624</v>
      </c>
      <c r="G1393" s="74">
        <v>81931</v>
      </c>
      <c r="H1393" s="72">
        <v>91.911821000000003</v>
      </c>
      <c r="I1393" s="73">
        <v>7530427.4063510001</v>
      </c>
      <c r="J1393" s="72">
        <v>93.2088459</v>
      </c>
      <c r="K1393" s="73">
        <v>-106266.5470819</v>
      </c>
      <c r="L1393" s="74">
        <v>0</v>
      </c>
      <c r="M1393" s="73">
        <v>0</v>
      </c>
      <c r="N1393" s="74">
        <v>0</v>
      </c>
      <c r="O1393" s="73">
        <v>0</v>
      </c>
      <c r="P1393" s="74">
        <v>81931</v>
      </c>
      <c r="Q1393" s="73">
        <v>7530427.4063510001</v>
      </c>
      <c r="R1393" s="71" t="s">
        <v>625</v>
      </c>
      <c r="S1393" s="71">
        <v>7414000005</v>
      </c>
      <c r="AB1393"/>
      <c r="AC1393"/>
    </row>
    <row r="1394" spans="1:29" x14ac:dyDescent="0.25">
      <c r="A1394" t="str">
        <f t="shared" si="22"/>
        <v xml:space="preserve">2111047GOBFED 250306       </v>
      </c>
      <c r="B1394" s="71">
        <v>2111047</v>
      </c>
      <c r="C1394" s="71" t="s">
        <v>830</v>
      </c>
      <c r="D1394" s="71" t="s">
        <v>499</v>
      </c>
      <c r="E1394" s="71" t="s">
        <v>623</v>
      </c>
      <c r="F1394" s="71" t="s">
        <v>624</v>
      </c>
      <c r="G1394" s="74">
        <v>27710</v>
      </c>
      <c r="H1394" s="72">
        <v>92.954503000000003</v>
      </c>
      <c r="I1394" s="73">
        <v>2575769.27813</v>
      </c>
      <c r="J1394" s="72">
        <v>93.326365911183686</v>
      </c>
      <c r="K1394" s="73">
        <v>-10304.321268899999</v>
      </c>
      <c r="L1394" s="74">
        <v>0</v>
      </c>
      <c r="M1394" s="73">
        <v>0</v>
      </c>
      <c r="N1394" s="74">
        <v>0</v>
      </c>
      <c r="O1394" s="73">
        <v>0</v>
      </c>
      <c r="P1394" s="74">
        <v>27710</v>
      </c>
      <c r="Q1394" s="73">
        <v>2575769.27813</v>
      </c>
      <c r="R1394" s="71" t="s">
        <v>625</v>
      </c>
      <c r="S1394" s="71">
        <v>7414000005</v>
      </c>
      <c r="AB1394"/>
      <c r="AC1394"/>
    </row>
    <row r="1395" spans="1:29" x14ac:dyDescent="0.25">
      <c r="A1395" t="str">
        <f t="shared" si="22"/>
        <v xml:space="preserve">2111047GOBFED 260305       </v>
      </c>
      <c r="B1395" s="71">
        <v>2111047</v>
      </c>
      <c r="C1395" s="71" t="s">
        <v>830</v>
      </c>
      <c r="D1395" s="71" t="s">
        <v>379</v>
      </c>
      <c r="E1395" s="71" t="s">
        <v>623</v>
      </c>
      <c r="F1395" s="71" t="s">
        <v>624</v>
      </c>
      <c r="G1395" s="74">
        <v>33345</v>
      </c>
      <c r="H1395" s="72">
        <v>88.698122999999995</v>
      </c>
      <c r="I1395" s="73">
        <v>2957638.9114350001</v>
      </c>
      <c r="J1395" s="72">
        <v>85.578866967004046</v>
      </c>
      <c r="K1395" s="73">
        <v>104011.59242025</v>
      </c>
      <c r="L1395" s="74">
        <v>0</v>
      </c>
      <c r="M1395" s="73">
        <v>0</v>
      </c>
      <c r="N1395" s="74">
        <v>0</v>
      </c>
      <c r="O1395" s="73">
        <v>0</v>
      </c>
      <c r="P1395" s="74">
        <v>33345</v>
      </c>
      <c r="Q1395" s="73">
        <v>2957638.9114350001</v>
      </c>
      <c r="R1395" s="71" t="s">
        <v>625</v>
      </c>
      <c r="S1395" s="71">
        <v>7414000005</v>
      </c>
      <c r="AB1395"/>
      <c r="AC1395"/>
    </row>
    <row r="1396" spans="1:29" x14ac:dyDescent="0.25">
      <c r="A1396" t="str">
        <f t="shared" si="22"/>
        <v xml:space="preserve">2111047GOBFED 260903       </v>
      </c>
      <c r="B1396" s="71">
        <v>2111047</v>
      </c>
      <c r="C1396" s="71" t="s">
        <v>830</v>
      </c>
      <c r="D1396" s="71" t="s">
        <v>380</v>
      </c>
      <c r="E1396" s="71" t="s">
        <v>623</v>
      </c>
      <c r="F1396" s="71" t="s">
        <v>624</v>
      </c>
      <c r="G1396" s="74">
        <v>70810</v>
      </c>
      <c r="H1396" s="72">
        <v>93.314192000000006</v>
      </c>
      <c r="I1396" s="73">
        <v>6607577.9355199998</v>
      </c>
      <c r="J1396" s="72">
        <v>99.815062490608668</v>
      </c>
      <c r="K1396" s="73">
        <v>-460326.63944</v>
      </c>
      <c r="L1396" s="74">
        <v>0</v>
      </c>
      <c r="M1396" s="73">
        <v>0</v>
      </c>
      <c r="N1396" s="74">
        <v>0</v>
      </c>
      <c r="O1396" s="73">
        <v>0</v>
      </c>
      <c r="P1396" s="74">
        <v>70810</v>
      </c>
      <c r="Q1396" s="73">
        <v>6607577.9355199998</v>
      </c>
      <c r="R1396" s="71" t="s">
        <v>625</v>
      </c>
      <c r="S1396" s="71">
        <v>7414000005</v>
      </c>
      <c r="AB1396"/>
      <c r="AC1396"/>
    </row>
    <row r="1397" spans="1:29" x14ac:dyDescent="0.25">
      <c r="A1397" t="str">
        <f t="shared" si="22"/>
        <v xml:space="preserve">2111047GOBFED 270304       </v>
      </c>
      <c r="B1397" s="71">
        <v>2111047</v>
      </c>
      <c r="C1397" s="71" t="s">
        <v>830</v>
      </c>
      <c r="D1397" s="71" t="s">
        <v>507</v>
      </c>
      <c r="E1397" s="71" t="s">
        <v>623</v>
      </c>
      <c r="F1397" s="71" t="s">
        <v>624</v>
      </c>
      <c r="G1397" s="74">
        <v>15230</v>
      </c>
      <c r="H1397" s="72">
        <v>94.864168000000006</v>
      </c>
      <c r="I1397" s="73">
        <v>1444781.2786399999</v>
      </c>
      <c r="J1397" s="72">
        <v>96.596719710000002</v>
      </c>
      <c r="K1397" s="73">
        <v>-26386.762543299999</v>
      </c>
      <c r="L1397" s="74">
        <v>0</v>
      </c>
      <c r="M1397" s="73">
        <v>0</v>
      </c>
      <c r="N1397" s="74">
        <v>0</v>
      </c>
      <c r="O1397" s="73">
        <v>0</v>
      </c>
      <c r="P1397" s="74">
        <v>15230</v>
      </c>
      <c r="Q1397" s="73">
        <v>1444781.2786399999</v>
      </c>
      <c r="R1397" s="71" t="s">
        <v>625</v>
      </c>
      <c r="S1397" s="71">
        <v>7414000005</v>
      </c>
      <c r="AB1397"/>
      <c r="AC1397"/>
    </row>
    <row r="1398" spans="1:29" x14ac:dyDescent="0.25">
      <c r="A1398" t="str">
        <f t="shared" si="22"/>
        <v xml:space="preserve">2111047GOBFED 270603       </v>
      </c>
      <c r="B1398" s="71">
        <v>2111047</v>
      </c>
      <c r="C1398" s="71" t="s">
        <v>830</v>
      </c>
      <c r="D1398" s="71" t="s">
        <v>381</v>
      </c>
      <c r="E1398" s="71" t="s">
        <v>623</v>
      </c>
      <c r="F1398" s="71" t="s">
        <v>624</v>
      </c>
      <c r="G1398" s="74">
        <v>123071</v>
      </c>
      <c r="H1398" s="72">
        <v>94.870157000000006</v>
      </c>
      <c r="I1398" s="73">
        <v>11675765.092147</v>
      </c>
      <c r="J1398" s="72">
        <v>96.987526756170098</v>
      </c>
      <c r="K1398" s="73">
        <v>-260586.81326160999</v>
      </c>
      <c r="L1398" s="74">
        <v>0</v>
      </c>
      <c r="M1398" s="73">
        <v>0</v>
      </c>
      <c r="N1398" s="74">
        <v>0</v>
      </c>
      <c r="O1398" s="73">
        <v>0</v>
      </c>
      <c r="P1398" s="74">
        <v>123071</v>
      </c>
      <c r="Q1398" s="73">
        <v>11675765.092147</v>
      </c>
      <c r="R1398" s="71" t="s">
        <v>625</v>
      </c>
      <c r="S1398" s="71">
        <v>7414000005</v>
      </c>
      <c r="AB1398"/>
      <c r="AC1398"/>
    </row>
    <row r="1399" spans="1:29" x14ac:dyDescent="0.25">
      <c r="A1399" t="str">
        <f t="shared" si="22"/>
        <v xml:space="preserve">2111047GOBFED 290301       </v>
      </c>
      <c r="B1399" s="71">
        <v>2111047</v>
      </c>
      <c r="C1399" s="71" t="s">
        <v>830</v>
      </c>
      <c r="D1399" s="71" t="s">
        <v>382</v>
      </c>
      <c r="E1399" s="71" t="s">
        <v>623</v>
      </c>
      <c r="F1399" s="71" t="s">
        <v>624</v>
      </c>
      <c r="G1399" s="74">
        <v>57611</v>
      </c>
      <c r="H1399" s="72">
        <v>89.489464999999996</v>
      </c>
      <c r="I1399" s="73">
        <v>5155577.5681149997</v>
      </c>
      <c r="J1399" s="72">
        <v>92.773634099999995</v>
      </c>
      <c r="K1399" s="73">
        <v>-189204.26602010001</v>
      </c>
      <c r="L1399" s="74">
        <v>0</v>
      </c>
      <c r="M1399" s="73">
        <v>0</v>
      </c>
      <c r="N1399" s="74">
        <v>0</v>
      </c>
      <c r="O1399" s="73">
        <v>0</v>
      </c>
      <c r="P1399" s="74">
        <v>57611</v>
      </c>
      <c r="Q1399" s="73">
        <v>5155577.5681149997</v>
      </c>
      <c r="R1399" s="71" t="s">
        <v>625</v>
      </c>
      <c r="S1399" s="71">
        <v>7414000005</v>
      </c>
      <c r="AB1399"/>
      <c r="AC1399"/>
    </row>
    <row r="1400" spans="1:29" x14ac:dyDescent="0.25">
      <c r="A1400" t="str">
        <f t="shared" si="22"/>
        <v xml:space="preserve">2111047GOBFED 290531       </v>
      </c>
      <c r="B1400" s="71">
        <v>2111047</v>
      </c>
      <c r="C1400" s="71" t="s">
        <v>830</v>
      </c>
      <c r="D1400" s="71" t="s">
        <v>383</v>
      </c>
      <c r="E1400" s="71" t="s">
        <v>623</v>
      </c>
      <c r="F1400" s="71" t="s">
        <v>624</v>
      </c>
      <c r="G1400" s="74">
        <v>101568</v>
      </c>
      <c r="H1400" s="72">
        <v>86.197128000000006</v>
      </c>
      <c r="I1400" s="73">
        <v>8754869.8967039995</v>
      </c>
      <c r="J1400" s="72">
        <v>89.792510955853814</v>
      </c>
      <c r="K1400" s="73">
        <v>-365175.85606015997</v>
      </c>
      <c r="L1400" s="74">
        <v>0</v>
      </c>
      <c r="M1400" s="73">
        <v>0</v>
      </c>
      <c r="N1400" s="74">
        <v>0</v>
      </c>
      <c r="O1400" s="73">
        <v>0</v>
      </c>
      <c r="P1400" s="74">
        <v>101568</v>
      </c>
      <c r="Q1400" s="73">
        <v>8754869.8967039995</v>
      </c>
      <c r="R1400" s="71" t="s">
        <v>625</v>
      </c>
      <c r="S1400" s="71">
        <v>7414000005</v>
      </c>
      <c r="AB1400"/>
      <c r="AC1400"/>
    </row>
    <row r="1401" spans="1:29" x14ac:dyDescent="0.25">
      <c r="A1401" t="str">
        <f t="shared" si="22"/>
        <v xml:space="preserve">2111047GOBFED 310529       </v>
      </c>
      <c r="B1401" s="71">
        <v>2111047</v>
      </c>
      <c r="C1401" s="71" t="s">
        <v>830</v>
      </c>
      <c r="D1401" s="71" t="s">
        <v>427</v>
      </c>
      <c r="E1401" s="71" t="s">
        <v>623</v>
      </c>
      <c r="F1401" s="71" t="s">
        <v>624</v>
      </c>
      <c r="G1401" s="74">
        <v>81398</v>
      </c>
      <c r="H1401" s="72">
        <v>86.469353999999996</v>
      </c>
      <c r="I1401" s="73">
        <v>7038432.4768920001</v>
      </c>
      <c r="J1401" s="72">
        <v>91.628784022628807</v>
      </c>
      <c r="K1401" s="73">
        <v>-419967.28498194</v>
      </c>
      <c r="L1401" s="74">
        <v>0</v>
      </c>
      <c r="M1401" s="73">
        <v>0</v>
      </c>
      <c r="N1401" s="74">
        <v>0</v>
      </c>
      <c r="O1401" s="73">
        <v>0</v>
      </c>
      <c r="P1401" s="74">
        <v>81398</v>
      </c>
      <c r="Q1401" s="73">
        <v>7038432.4768920001</v>
      </c>
      <c r="R1401" s="71" t="s">
        <v>625</v>
      </c>
      <c r="S1401" s="71">
        <v>7414000005</v>
      </c>
      <c r="AB1401"/>
      <c r="AC1401"/>
    </row>
    <row r="1402" spans="1:29" x14ac:dyDescent="0.25">
      <c r="A1402" t="str">
        <f t="shared" si="22"/>
        <v xml:space="preserve">2111047GOBFED 330526       </v>
      </c>
      <c r="B1402" s="71">
        <v>2111047</v>
      </c>
      <c r="C1402" s="71" t="s">
        <v>830</v>
      </c>
      <c r="D1402" s="71" t="s">
        <v>418</v>
      </c>
      <c r="E1402" s="71" t="s">
        <v>623</v>
      </c>
      <c r="F1402" s="71" t="s">
        <v>624</v>
      </c>
      <c r="G1402" s="74">
        <v>6218</v>
      </c>
      <c r="H1402" s="72">
        <v>101.45096599999999</v>
      </c>
      <c r="I1402" s="73">
        <v>630822.10658799997</v>
      </c>
      <c r="J1402" s="72">
        <v>114.11447106</v>
      </c>
      <c r="K1402" s="73">
        <v>-78741.674463079995</v>
      </c>
      <c r="L1402" s="74">
        <v>0</v>
      </c>
      <c r="M1402" s="73">
        <v>0</v>
      </c>
      <c r="N1402" s="74">
        <v>0</v>
      </c>
      <c r="O1402" s="73">
        <v>0</v>
      </c>
      <c r="P1402" s="74">
        <v>6218</v>
      </c>
      <c r="Q1402" s="73">
        <v>630822.10658799997</v>
      </c>
      <c r="R1402" s="71" t="s">
        <v>625</v>
      </c>
      <c r="S1402" s="71">
        <v>7414000005</v>
      </c>
      <c r="AB1402"/>
      <c r="AC1402"/>
    </row>
    <row r="1403" spans="1:29" x14ac:dyDescent="0.25">
      <c r="A1403" t="str">
        <f t="shared" si="22"/>
        <v xml:space="preserve">2111047GOBFED 341123       </v>
      </c>
      <c r="B1403" s="71">
        <v>2111047</v>
      </c>
      <c r="C1403" s="71" t="s">
        <v>830</v>
      </c>
      <c r="D1403" s="71" t="s">
        <v>408</v>
      </c>
      <c r="E1403" s="71" t="s">
        <v>623</v>
      </c>
      <c r="F1403" s="71" t="s">
        <v>624</v>
      </c>
      <c r="G1403" s="74">
        <v>8901</v>
      </c>
      <c r="H1403" s="72">
        <v>89.643172000000007</v>
      </c>
      <c r="I1403" s="73">
        <v>797913.87397199997</v>
      </c>
      <c r="J1403" s="72">
        <v>108.51503560664307</v>
      </c>
      <c r="K1403" s="73">
        <v>-167978.45796273</v>
      </c>
      <c r="L1403" s="74">
        <v>0</v>
      </c>
      <c r="M1403" s="73">
        <v>0</v>
      </c>
      <c r="N1403" s="74">
        <v>0</v>
      </c>
      <c r="O1403" s="73">
        <v>0</v>
      </c>
      <c r="P1403" s="74">
        <v>8901</v>
      </c>
      <c r="Q1403" s="73">
        <v>797913.87397199997</v>
      </c>
      <c r="R1403" s="71" t="s">
        <v>625</v>
      </c>
      <c r="S1403" s="71">
        <v>7414000005</v>
      </c>
      <c r="AB1403"/>
      <c r="AC1403"/>
    </row>
    <row r="1404" spans="1:29" x14ac:dyDescent="0.25">
      <c r="A1404" t="str">
        <f t="shared" si="22"/>
        <v xml:space="preserve">2111047GOBFED 361120       </v>
      </c>
      <c r="B1404" s="71">
        <v>2111047</v>
      </c>
      <c r="C1404" s="71" t="s">
        <v>830</v>
      </c>
      <c r="D1404" s="71" t="s">
        <v>384</v>
      </c>
      <c r="E1404" s="71" t="s">
        <v>623</v>
      </c>
      <c r="F1404" s="71" t="s">
        <v>624</v>
      </c>
      <c r="G1404" s="74">
        <v>44784</v>
      </c>
      <c r="H1404" s="72">
        <v>81.738860000000003</v>
      </c>
      <c r="I1404" s="73">
        <v>3660593.1062400001</v>
      </c>
      <c r="J1404" s="72">
        <v>86.36497088574491</v>
      </c>
      <c r="K1404" s="73">
        <v>-207175.74990719999</v>
      </c>
      <c r="L1404" s="74">
        <v>0</v>
      </c>
      <c r="M1404" s="73">
        <v>0</v>
      </c>
      <c r="N1404" s="74">
        <v>0</v>
      </c>
      <c r="O1404" s="73">
        <v>0</v>
      </c>
      <c r="P1404" s="74">
        <v>44784</v>
      </c>
      <c r="Q1404" s="73">
        <v>3660593.1062400001</v>
      </c>
      <c r="R1404" s="71" t="s">
        <v>625</v>
      </c>
      <c r="S1404" s="71">
        <v>7414000005</v>
      </c>
      <c r="AB1404"/>
      <c r="AC1404"/>
    </row>
    <row r="1405" spans="1:29" x14ac:dyDescent="0.25">
      <c r="A1405" t="str">
        <f t="shared" si="22"/>
        <v xml:space="preserve">2111047GOBFED 381118       </v>
      </c>
      <c r="B1405" s="71">
        <v>2111047</v>
      </c>
      <c r="C1405" s="71" t="s">
        <v>830</v>
      </c>
      <c r="D1405" s="71" t="s">
        <v>385</v>
      </c>
      <c r="E1405" s="71" t="s">
        <v>623</v>
      </c>
      <c r="F1405" s="71" t="s">
        <v>624</v>
      </c>
      <c r="G1405" s="74">
        <v>25156</v>
      </c>
      <c r="H1405" s="72">
        <v>83.200761</v>
      </c>
      <c r="I1405" s="73">
        <v>2092998.343716</v>
      </c>
      <c r="J1405" s="72">
        <v>94.635641742949588</v>
      </c>
      <c r="K1405" s="73">
        <v>-287655.85996963998</v>
      </c>
      <c r="L1405" s="74">
        <v>0</v>
      </c>
      <c r="M1405" s="73">
        <v>0</v>
      </c>
      <c r="N1405" s="74">
        <v>0</v>
      </c>
      <c r="O1405" s="73">
        <v>0</v>
      </c>
      <c r="P1405" s="74">
        <v>25156</v>
      </c>
      <c r="Q1405" s="73">
        <v>2092998.343716</v>
      </c>
      <c r="R1405" s="71" t="s">
        <v>625</v>
      </c>
      <c r="S1405" s="71">
        <v>7414000005</v>
      </c>
      <c r="AB1405"/>
      <c r="AC1405"/>
    </row>
    <row r="1406" spans="1:29" x14ac:dyDescent="0.25">
      <c r="A1406" t="str">
        <f t="shared" si="22"/>
        <v xml:space="preserve">2111047GOBFED 421113       </v>
      </c>
      <c r="B1406" s="71">
        <v>2111047</v>
      </c>
      <c r="C1406" s="71" t="s">
        <v>830</v>
      </c>
      <c r="D1406" s="71" t="s">
        <v>386</v>
      </c>
      <c r="E1406" s="71" t="s">
        <v>623</v>
      </c>
      <c r="F1406" s="71" t="s">
        <v>624</v>
      </c>
      <c r="G1406" s="74">
        <v>91319</v>
      </c>
      <c r="H1406" s="72">
        <v>82.159907000000004</v>
      </c>
      <c r="I1406" s="73">
        <v>7502760.5473330002</v>
      </c>
      <c r="J1406" s="72">
        <v>84.284051838287539</v>
      </c>
      <c r="K1406" s="73">
        <v>-193974.78248758</v>
      </c>
      <c r="L1406" s="74">
        <v>0</v>
      </c>
      <c r="M1406" s="73">
        <v>0</v>
      </c>
      <c r="N1406" s="74">
        <v>0</v>
      </c>
      <c r="O1406" s="73">
        <v>0</v>
      </c>
      <c r="P1406" s="74">
        <v>91319</v>
      </c>
      <c r="Q1406" s="73">
        <v>7502760.5473330002</v>
      </c>
      <c r="R1406" s="71" t="s">
        <v>625</v>
      </c>
      <c r="S1406" s="71">
        <v>7414000005</v>
      </c>
      <c r="AB1406"/>
      <c r="AC1406"/>
    </row>
    <row r="1407" spans="1:29" x14ac:dyDescent="0.25">
      <c r="A1407" t="str">
        <f t="shared" si="22"/>
        <v xml:space="preserve">2111047GOBFED 471107       </v>
      </c>
      <c r="B1407" s="71">
        <v>2111047</v>
      </c>
      <c r="C1407" s="71" t="s">
        <v>830</v>
      </c>
      <c r="D1407" s="71" t="s">
        <v>387</v>
      </c>
      <c r="E1407" s="71" t="s">
        <v>623</v>
      </c>
      <c r="F1407" s="71" t="s">
        <v>624</v>
      </c>
      <c r="G1407" s="74">
        <v>4600</v>
      </c>
      <c r="H1407" s="72">
        <v>314.42</v>
      </c>
      <c r="I1407" s="73">
        <v>1446332</v>
      </c>
      <c r="J1407" s="72">
        <v>287.3367108695652</v>
      </c>
      <c r="K1407" s="73">
        <v>124583.13</v>
      </c>
      <c r="L1407" s="74">
        <v>0</v>
      </c>
      <c r="M1407" s="73">
        <v>0</v>
      </c>
      <c r="N1407" s="74">
        <v>0</v>
      </c>
      <c r="O1407" s="73">
        <v>0</v>
      </c>
      <c r="P1407" s="74">
        <v>4600</v>
      </c>
      <c r="Q1407" s="73">
        <v>1446332</v>
      </c>
      <c r="R1407" s="71" t="s">
        <v>625</v>
      </c>
      <c r="S1407" s="71">
        <v>7414000005</v>
      </c>
      <c r="AB1407"/>
      <c r="AC1407"/>
    </row>
    <row r="1408" spans="1:29" x14ac:dyDescent="0.25">
      <c r="A1408" t="str">
        <f t="shared" si="22"/>
        <v xml:space="preserve">2111047GOBFED 530731       </v>
      </c>
      <c r="B1408" s="71">
        <v>2111047</v>
      </c>
      <c r="C1408" s="71" t="s">
        <v>830</v>
      </c>
      <c r="D1408" s="71" t="s">
        <v>503</v>
      </c>
      <c r="E1408" s="71" t="s">
        <v>623</v>
      </c>
      <c r="F1408" s="71" t="s">
        <v>624</v>
      </c>
      <c r="G1408" s="74">
        <v>30700</v>
      </c>
      <c r="H1408" s="72">
        <v>43.85</v>
      </c>
      <c r="I1408" s="73">
        <v>1346195</v>
      </c>
      <c r="J1408" s="72">
        <v>40.844398371335508</v>
      </c>
      <c r="K1408" s="73">
        <v>92271.97</v>
      </c>
      <c r="L1408" s="74">
        <v>0</v>
      </c>
      <c r="M1408" s="73">
        <v>0</v>
      </c>
      <c r="N1408" s="74">
        <v>0</v>
      </c>
      <c r="O1408" s="73">
        <v>0</v>
      </c>
      <c r="P1408" s="74">
        <v>30700</v>
      </c>
      <c r="Q1408" s="73">
        <v>1346195</v>
      </c>
      <c r="R1408" s="71" t="s">
        <v>625</v>
      </c>
      <c r="S1408" s="71">
        <v>7414000005</v>
      </c>
      <c r="AB1408"/>
      <c r="AC1408"/>
    </row>
    <row r="1409" spans="1:29" x14ac:dyDescent="0.25">
      <c r="A1409" t="str">
        <f t="shared" si="22"/>
        <v xml:space="preserve">2111047GRUMA B             </v>
      </c>
      <c r="B1409" s="71">
        <v>2111047</v>
      </c>
      <c r="C1409" s="71" t="s">
        <v>830</v>
      </c>
      <c r="D1409" s="71" t="s">
        <v>419</v>
      </c>
      <c r="E1409" s="71" t="s">
        <v>623</v>
      </c>
      <c r="F1409" s="71" t="s">
        <v>624</v>
      </c>
      <c r="G1409" s="74">
        <v>0</v>
      </c>
      <c r="H1409" s="72">
        <v>0</v>
      </c>
      <c r="I1409" s="73">
        <v>0</v>
      </c>
      <c r="J1409" s="72">
        <v>0</v>
      </c>
      <c r="K1409" s="73">
        <v>0</v>
      </c>
      <c r="L1409" s="74">
        <v>0</v>
      </c>
      <c r="M1409" s="73">
        <v>0</v>
      </c>
      <c r="N1409" s="74">
        <v>0</v>
      </c>
      <c r="O1409" s="73">
        <v>0</v>
      </c>
      <c r="P1409" s="74">
        <v>0</v>
      </c>
      <c r="Q1409" s="73">
        <v>0</v>
      </c>
      <c r="R1409" s="71" t="s">
        <v>625</v>
      </c>
      <c r="S1409" s="71">
        <v>7414000005</v>
      </c>
      <c r="AB1409"/>
      <c r="AC1409"/>
    </row>
    <row r="1410" spans="1:29" x14ac:dyDescent="0.25">
      <c r="A1410" t="str">
        <f t="shared" si="22"/>
        <v xml:space="preserve">2111047HERDEZ *            </v>
      </c>
      <c r="B1410" s="71">
        <v>2111047</v>
      </c>
      <c r="C1410" s="71" t="s">
        <v>830</v>
      </c>
      <c r="D1410" s="71" t="s">
        <v>388</v>
      </c>
      <c r="E1410" s="71" t="s">
        <v>623</v>
      </c>
      <c r="F1410" s="71" t="s">
        <v>624</v>
      </c>
      <c r="G1410" s="74">
        <v>3330</v>
      </c>
      <c r="H1410" s="72">
        <v>8532.5</v>
      </c>
      <c r="I1410" s="73">
        <v>28413225</v>
      </c>
      <c r="J1410" s="72">
        <v>5514.3290570570571</v>
      </c>
      <c r="K1410" s="73">
        <v>10050509.24</v>
      </c>
      <c r="L1410" s="74">
        <v>0</v>
      </c>
      <c r="M1410" s="73">
        <v>0</v>
      </c>
      <c r="N1410" s="74">
        <v>0</v>
      </c>
      <c r="O1410" s="73">
        <v>0</v>
      </c>
      <c r="P1410" s="74">
        <v>3330</v>
      </c>
      <c r="Q1410" s="73">
        <v>28413225</v>
      </c>
      <c r="R1410" s="71" t="s">
        <v>625</v>
      </c>
      <c r="S1410" s="71">
        <v>7414000005</v>
      </c>
      <c r="AB1410"/>
      <c r="AC1410"/>
    </row>
    <row r="1411" spans="1:29" x14ac:dyDescent="0.25">
      <c r="A1411" t="str">
        <f t="shared" si="22"/>
        <v xml:space="preserve">2111047IENOVA *            </v>
      </c>
      <c r="B1411" s="71">
        <v>2111047</v>
      </c>
      <c r="C1411" s="71" t="s">
        <v>830</v>
      </c>
      <c r="D1411" s="71" t="s">
        <v>540</v>
      </c>
      <c r="E1411" s="71" t="s">
        <v>623</v>
      </c>
      <c r="F1411" s="71" t="s">
        <v>624</v>
      </c>
      <c r="G1411" s="74">
        <v>33000</v>
      </c>
      <c r="H1411" s="72">
        <v>36.28</v>
      </c>
      <c r="I1411" s="73">
        <v>1197240</v>
      </c>
      <c r="J1411" s="72">
        <v>39.186360000000001</v>
      </c>
      <c r="K1411" s="73">
        <v>-95909.88</v>
      </c>
      <c r="L1411" s="74">
        <v>0</v>
      </c>
      <c r="M1411" s="73">
        <v>0</v>
      </c>
      <c r="N1411" s="74">
        <v>0</v>
      </c>
      <c r="O1411" s="73">
        <v>0</v>
      </c>
      <c r="P1411" s="74">
        <v>33000</v>
      </c>
      <c r="Q1411" s="73">
        <v>1197240</v>
      </c>
      <c r="R1411" s="71" t="s">
        <v>625</v>
      </c>
      <c r="S1411" s="71">
        <v>7414000005</v>
      </c>
      <c r="AB1411"/>
      <c r="AC1411"/>
    </row>
    <row r="1412" spans="1:29" x14ac:dyDescent="0.25">
      <c r="A1412" t="str">
        <f t="shared" si="22"/>
        <v xml:space="preserve">2111047IVV *               </v>
      </c>
      <c r="B1412" s="71">
        <v>2111047</v>
      </c>
      <c r="C1412" s="71" t="s">
        <v>830</v>
      </c>
      <c r="D1412" s="71" t="s">
        <v>553</v>
      </c>
      <c r="E1412" s="71" t="s">
        <v>623</v>
      </c>
      <c r="F1412" s="71" t="s">
        <v>624</v>
      </c>
      <c r="G1412" s="74">
        <v>4600</v>
      </c>
      <c r="H1412" s="72">
        <v>136.35</v>
      </c>
      <c r="I1412" s="73">
        <v>627210</v>
      </c>
      <c r="J1412" s="72">
        <v>118.93737826086956</v>
      </c>
      <c r="K1412" s="73">
        <v>80098.06</v>
      </c>
      <c r="L1412" s="74">
        <v>0</v>
      </c>
      <c r="M1412" s="73">
        <v>0</v>
      </c>
      <c r="N1412" s="74">
        <v>0</v>
      </c>
      <c r="O1412" s="73">
        <v>0</v>
      </c>
      <c r="P1412" s="74">
        <v>4600</v>
      </c>
      <c r="Q1412" s="73">
        <v>627210</v>
      </c>
      <c r="R1412" s="71" t="s">
        <v>625</v>
      </c>
      <c r="S1412" s="71">
        <v>7414000005</v>
      </c>
      <c r="AB1412"/>
      <c r="AC1412"/>
    </row>
    <row r="1413" spans="1:29" x14ac:dyDescent="0.25">
      <c r="A1413" t="str">
        <f t="shared" si="22"/>
        <v xml:space="preserve">2111047LACOMER UBC         </v>
      </c>
      <c r="B1413" s="71">
        <v>2111047</v>
      </c>
      <c r="C1413" s="71" t="s">
        <v>830</v>
      </c>
      <c r="D1413" s="71" t="s">
        <v>590</v>
      </c>
      <c r="E1413" s="71" t="s">
        <v>623</v>
      </c>
      <c r="F1413" s="71" t="s">
        <v>624</v>
      </c>
      <c r="G1413" s="74">
        <v>0</v>
      </c>
      <c r="H1413" s="72">
        <v>0</v>
      </c>
      <c r="I1413" s="73">
        <v>0</v>
      </c>
      <c r="J1413" s="72">
        <v>0</v>
      </c>
      <c r="K1413" s="73">
        <v>0</v>
      </c>
      <c r="L1413" s="74">
        <v>0</v>
      </c>
      <c r="M1413" s="73">
        <v>0</v>
      </c>
      <c r="N1413" s="74">
        <v>0</v>
      </c>
      <c r="O1413" s="73">
        <v>0</v>
      </c>
      <c r="P1413" s="74">
        <v>0</v>
      </c>
      <c r="Q1413" s="73">
        <v>0</v>
      </c>
      <c r="R1413" s="71" t="s">
        <v>625</v>
      </c>
      <c r="S1413" s="71">
        <v>7414000005</v>
      </c>
      <c r="AB1413"/>
      <c r="AC1413"/>
    </row>
    <row r="1414" spans="1:29" x14ac:dyDescent="0.25">
      <c r="A1414" t="str">
        <f t="shared" si="22"/>
        <v xml:space="preserve">2111047LIVEPOL C-1         </v>
      </c>
      <c r="B1414" s="71">
        <v>2111047</v>
      </c>
      <c r="C1414" s="71" t="s">
        <v>830</v>
      </c>
      <c r="D1414" s="71" t="s">
        <v>429</v>
      </c>
      <c r="E1414" s="71" t="s">
        <v>623</v>
      </c>
      <c r="F1414" s="71" t="s">
        <v>624</v>
      </c>
      <c r="G1414" s="74">
        <v>118588</v>
      </c>
      <c r="H1414" s="72">
        <v>98.007834000000003</v>
      </c>
      <c r="I1414" s="73">
        <v>11622553.018392</v>
      </c>
      <c r="J1414" s="72">
        <v>92.071456745435285</v>
      </c>
      <c r="K1414" s="73">
        <v>703983.10586431995</v>
      </c>
      <c r="L1414" s="74">
        <v>0</v>
      </c>
      <c r="M1414" s="73">
        <v>0</v>
      </c>
      <c r="N1414" s="74">
        <v>0</v>
      </c>
      <c r="O1414" s="73">
        <v>0</v>
      </c>
      <c r="P1414" s="74">
        <v>118588</v>
      </c>
      <c r="Q1414" s="73">
        <v>11622553.018392</v>
      </c>
      <c r="R1414" s="71" t="s">
        <v>625</v>
      </c>
      <c r="S1414" s="71">
        <v>7414000005</v>
      </c>
      <c r="AB1414"/>
      <c r="AC1414"/>
    </row>
    <row r="1415" spans="1:29" x14ac:dyDescent="0.25">
      <c r="A1415" t="str">
        <f t="shared" ref="A1415:A1478" si="23">B1413&amp;D1413</f>
        <v xml:space="preserve">2111047OHLMEX *            </v>
      </c>
      <c r="B1415" s="71">
        <v>2111047</v>
      </c>
      <c r="C1415" s="71" t="s">
        <v>830</v>
      </c>
      <c r="D1415" s="71" t="s">
        <v>541</v>
      </c>
      <c r="E1415" s="71" t="s">
        <v>623</v>
      </c>
      <c r="F1415" s="71" t="s">
        <v>624</v>
      </c>
      <c r="G1415" s="74">
        <v>10700</v>
      </c>
      <c r="H1415" s="72">
        <v>156</v>
      </c>
      <c r="I1415" s="73">
        <v>1669200</v>
      </c>
      <c r="J1415" s="72">
        <v>134.10337850467289</v>
      </c>
      <c r="K1415" s="73">
        <v>234293.85</v>
      </c>
      <c r="L1415" s="74">
        <v>0</v>
      </c>
      <c r="M1415" s="73">
        <v>0</v>
      </c>
      <c r="N1415" s="74">
        <v>0</v>
      </c>
      <c r="O1415" s="73">
        <v>0</v>
      </c>
      <c r="P1415" s="74">
        <v>10700</v>
      </c>
      <c r="Q1415" s="73">
        <v>1669200</v>
      </c>
      <c r="R1415" s="71" t="s">
        <v>625</v>
      </c>
      <c r="S1415" s="71">
        <v>7414000005</v>
      </c>
      <c r="AB1415"/>
      <c r="AC1415"/>
    </row>
    <row r="1416" spans="1:29" x14ac:dyDescent="0.25">
      <c r="A1416" t="str">
        <f t="shared" si="23"/>
        <v xml:space="preserve">2111047PEMEX 13-2          </v>
      </c>
      <c r="B1416" s="71">
        <v>2111047</v>
      </c>
      <c r="C1416" s="71" t="s">
        <v>830</v>
      </c>
      <c r="D1416" s="71" t="s">
        <v>501</v>
      </c>
      <c r="E1416" s="71" t="s">
        <v>623</v>
      </c>
      <c r="F1416" s="71" t="s">
        <v>624</v>
      </c>
      <c r="G1416" s="74">
        <v>9130</v>
      </c>
      <c r="H1416" s="72">
        <v>682.55</v>
      </c>
      <c r="I1416" s="73">
        <v>6231681.5</v>
      </c>
      <c r="J1416" s="72">
        <v>884.47982037239865</v>
      </c>
      <c r="K1416" s="73">
        <v>-1843619.26</v>
      </c>
      <c r="L1416" s="74">
        <v>0</v>
      </c>
      <c r="M1416" s="73">
        <v>0</v>
      </c>
      <c r="N1416" s="74">
        <v>0</v>
      </c>
      <c r="O1416" s="73">
        <v>0</v>
      </c>
      <c r="P1416" s="74">
        <v>9130</v>
      </c>
      <c r="Q1416" s="73">
        <v>6231681.5</v>
      </c>
      <c r="R1416" s="71" t="s">
        <v>625</v>
      </c>
      <c r="S1416" s="71">
        <v>7414000005</v>
      </c>
      <c r="AB1416"/>
      <c r="AC1416"/>
    </row>
    <row r="1417" spans="1:29" x14ac:dyDescent="0.25">
      <c r="A1417" t="str">
        <f t="shared" si="23"/>
        <v xml:space="preserve">2111047R A                 </v>
      </c>
      <c r="B1417" s="71">
        <v>2111047</v>
      </c>
      <c r="C1417" s="71" t="s">
        <v>830</v>
      </c>
      <c r="D1417" s="71" t="s">
        <v>389</v>
      </c>
      <c r="E1417" s="71" t="s">
        <v>623</v>
      </c>
      <c r="F1417" s="71" t="s">
        <v>624</v>
      </c>
      <c r="G1417" s="74">
        <v>508260</v>
      </c>
      <c r="H1417" s="72">
        <v>3.3967719999999999</v>
      </c>
      <c r="I1417" s="73">
        <v>1726443.33672</v>
      </c>
      <c r="J1417" s="72">
        <v>3.3867270491480737</v>
      </c>
      <c r="K1417" s="73">
        <v>5105.4467199999999</v>
      </c>
      <c r="L1417" s="74">
        <v>0</v>
      </c>
      <c r="M1417" s="73">
        <v>0</v>
      </c>
      <c r="N1417" s="74">
        <v>0</v>
      </c>
      <c r="O1417" s="73">
        <v>0</v>
      </c>
      <c r="P1417" s="74">
        <v>508260</v>
      </c>
      <c r="Q1417" s="73">
        <v>1726443.33672</v>
      </c>
      <c r="R1417" s="71" t="s">
        <v>625</v>
      </c>
      <c r="S1417" s="71">
        <v>7414000005</v>
      </c>
      <c r="AB1417"/>
      <c r="AC1417"/>
    </row>
    <row r="1418" spans="1:29" x14ac:dyDescent="0.25">
      <c r="A1418" t="str">
        <f t="shared" si="23"/>
        <v xml:space="preserve">2111047SPSM *              </v>
      </c>
      <c r="B1418" s="71">
        <v>2111047</v>
      </c>
      <c r="C1418" s="71" t="s">
        <v>830</v>
      </c>
      <c r="D1418" s="71" t="s">
        <v>500</v>
      </c>
      <c r="E1418" s="71" t="s">
        <v>623</v>
      </c>
      <c r="F1418" s="71" t="s">
        <v>624</v>
      </c>
      <c r="G1418" s="74">
        <v>44000</v>
      </c>
      <c r="H1418" s="72">
        <v>31.41</v>
      </c>
      <c r="I1418" s="73">
        <v>1382040</v>
      </c>
      <c r="J1418" s="72">
        <v>32.24076454090909</v>
      </c>
      <c r="K1418" s="73">
        <v>-36553.639799999997</v>
      </c>
      <c r="L1418" s="74">
        <v>0</v>
      </c>
      <c r="M1418" s="73">
        <v>0</v>
      </c>
      <c r="N1418" s="74">
        <v>0</v>
      </c>
      <c r="O1418" s="73">
        <v>0</v>
      </c>
      <c r="P1418" s="74">
        <v>44000</v>
      </c>
      <c r="Q1418" s="73">
        <v>1382040</v>
      </c>
      <c r="R1418" s="71" t="s">
        <v>625</v>
      </c>
      <c r="S1418" s="71">
        <v>7414000005</v>
      </c>
      <c r="AB1418"/>
      <c r="AC1418"/>
    </row>
    <row r="1419" spans="1:29" x14ac:dyDescent="0.25">
      <c r="A1419" t="str">
        <f t="shared" si="23"/>
        <v xml:space="preserve">2111047STERGOB ED          </v>
      </c>
      <c r="B1419" s="71">
        <v>2111047</v>
      </c>
      <c r="C1419" s="71" t="s">
        <v>830</v>
      </c>
      <c r="D1419" s="71" t="s">
        <v>391</v>
      </c>
      <c r="E1419" s="71" t="s">
        <v>623</v>
      </c>
      <c r="F1419" s="71" t="s">
        <v>624</v>
      </c>
      <c r="G1419" s="74">
        <v>6904</v>
      </c>
      <c r="H1419" s="72">
        <v>775.69178699999998</v>
      </c>
      <c r="I1419" s="73">
        <v>5355376.0974479998</v>
      </c>
      <c r="J1419" s="72">
        <v>766.69784126000002</v>
      </c>
      <c r="K1419" s="73">
        <v>62094.201388959998</v>
      </c>
      <c r="L1419" s="74">
        <v>0</v>
      </c>
      <c r="M1419" s="73">
        <v>0</v>
      </c>
      <c r="N1419" s="74">
        <v>0</v>
      </c>
      <c r="O1419" s="73">
        <v>0</v>
      </c>
      <c r="P1419" s="74">
        <v>6904</v>
      </c>
      <c r="Q1419" s="73">
        <v>5355376.0974479998</v>
      </c>
      <c r="R1419" s="71" t="s">
        <v>625</v>
      </c>
      <c r="S1419" s="71">
        <v>7414000005</v>
      </c>
      <c r="AB1419"/>
      <c r="AC1419"/>
    </row>
    <row r="1420" spans="1:29" x14ac:dyDescent="0.25">
      <c r="A1420" t="str">
        <f t="shared" si="23"/>
        <v xml:space="preserve">2111047TRAXION A           </v>
      </c>
      <c r="B1420" s="71">
        <v>2111047</v>
      </c>
      <c r="C1420" s="71" t="s">
        <v>830</v>
      </c>
      <c r="D1420" s="71" t="s">
        <v>392</v>
      </c>
      <c r="E1420" s="71" t="s">
        <v>623</v>
      </c>
      <c r="F1420" s="71" t="s">
        <v>624</v>
      </c>
      <c r="G1420" s="74">
        <v>18689</v>
      </c>
      <c r="H1420" s="72">
        <v>747.17843200000004</v>
      </c>
      <c r="I1420" s="73">
        <v>13964017.715647999</v>
      </c>
      <c r="J1420" s="72">
        <v>722.34527569465456</v>
      </c>
      <c r="K1420" s="73">
        <v>464106.8581906</v>
      </c>
      <c r="L1420" s="74">
        <v>0</v>
      </c>
      <c r="M1420" s="73">
        <v>0</v>
      </c>
      <c r="N1420" s="74">
        <v>0</v>
      </c>
      <c r="O1420" s="73">
        <v>0</v>
      </c>
      <c r="P1420" s="74">
        <v>18689</v>
      </c>
      <c r="Q1420" s="73">
        <v>13964017.715647999</v>
      </c>
      <c r="R1420" s="71" t="s">
        <v>625</v>
      </c>
      <c r="S1420" s="71">
        <v>7414000005</v>
      </c>
      <c r="AB1420"/>
      <c r="AC1420"/>
    </row>
    <row r="1421" spans="1:29" x14ac:dyDescent="0.25">
      <c r="A1421" t="str">
        <f t="shared" si="23"/>
        <v xml:space="preserve">2111047UDIBONO 251204      </v>
      </c>
      <c r="B1421" s="71">
        <v>2111047</v>
      </c>
      <c r="C1421" s="71" t="s">
        <v>830</v>
      </c>
      <c r="D1421" s="71" t="s">
        <v>393</v>
      </c>
      <c r="E1421" s="71" t="s">
        <v>623</v>
      </c>
      <c r="F1421" s="71" t="s">
        <v>624</v>
      </c>
      <c r="G1421" s="74">
        <v>7111</v>
      </c>
      <c r="H1421" s="72">
        <v>765.92388300000005</v>
      </c>
      <c r="I1421" s="73">
        <v>5446484.7320130002</v>
      </c>
      <c r="J1421" s="72">
        <v>758.40105674026017</v>
      </c>
      <c r="K1421" s="73">
        <v>53494.817533009998</v>
      </c>
      <c r="L1421" s="74">
        <v>0</v>
      </c>
      <c r="M1421" s="73">
        <v>0</v>
      </c>
      <c r="N1421" s="74">
        <v>0</v>
      </c>
      <c r="O1421" s="73">
        <v>0</v>
      </c>
      <c r="P1421" s="74">
        <v>7111</v>
      </c>
      <c r="Q1421" s="73">
        <v>5446484.7320130002</v>
      </c>
      <c r="R1421" s="71" t="s">
        <v>625</v>
      </c>
      <c r="S1421" s="71">
        <v>7414000005</v>
      </c>
      <c r="AB1421"/>
      <c r="AC1421"/>
    </row>
    <row r="1422" spans="1:29" x14ac:dyDescent="0.25">
      <c r="A1422" t="str">
        <f t="shared" si="23"/>
        <v xml:space="preserve">2111047UDIBONO 261203      </v>
      </c>
      <c r="B1422" s="71">
        <v>2111047</v>
      </c>
      <c r="C1422" s="71" t="s">
        <v>830</v>
      </c>
      <c r="D1422" s="71" t="s">
        <v>394</v>
      </c>
      <c r="E1422" s="71" t="s">
        <v>623</v>
      </c>
      <c r="F1422" s="71" t="s">
        <v>624</v>
      </c>
      <c r="G1422" s="74">
        <v>9323</v>
      </c>
      <c r="H1422" s="72">
        <v>684.88915799999995</v>
      </c>
      <c r="I1422" s="73">
        <v>6385221.6200339999</v>
      </c>
      <c r="J1422" s="72">
        <v>680.54355096886195</v>
      </c>
      <c r="K1422" s="73">
        <v>40514.094351300002</v>
      </c>
      <c r="L1422" s="74">
        <v>0</v>
      </c>
      <c r="M1422" s="73">
        <v>0</v>
      </c>
      <c r="N1422" s="74">
        <v>0</v>
      </c>
      <c r="O1422" s="73">
        <v>0</v>
      </c>
      <c r="P1422" s="74">
        <v>9323</v>
      </c>
      <c r="Q1422" s="73">
        <v>6385221.6200339999</v>
      </c>
      <c r="R1422" s="71" t="s">
        <v>625</v>
      </c>
      <c r="S1422" s="71">
        <v>7414000005</v>
      </c>
      <c r="AB1422"/>
      <c r="AC1422"/>
    </row>
    <row r="1423" spans="1:29" x14ac:dyDescent="0.25">
      <c r="A1423" t="str">
        <f t="shared" si="23"/>
        <v xml:space="preserve">2111047UDIBONO 281130      </v>
      </c>
      <c r="B1423" s="71">
        <v>2111047</v>
      </c>
      <c r="C1423" s="71" t="s">
        <v>830</v>
      </c>
      <c r="D1423" s="71" t="s">
        <v>395</v>
      </c>
      <c r="E1423" s="71" t="s">
        <v>623</v>
      </c>
      <c r="F1423" s="71" t="s">
        <v>624</v>
      </c>
      <c r="G1423" s="74">
        <v>3822</v>
      </c>
      <c r="H1423" s="72">
        <v>772.926965</v>
      </c>
      <c r="I1423" s="73">
        <v>2954126.8602300002</v>
      </c>
      <c r="J1423" s="72">
        <v>798.93664675000002</v>
      </c>
      <c r="K1423" s="73">
        <v>-99409.003648500002</v>
      </c>
      <c r="L1423" s="74">
        <v>0</v>
      </c>
      <c r="M1423" s="73">
        <v>0</v>
      </c>
      <c r="N1423" s="74">
        <v>0</v>
      </c>
      <c r="O1423" s="73">
        <v>0</v>
      </c>
      <c r="P1423" s="74">
        <v>3822</v>
      </c>
      <c r="Q1423" s="73">
        <v>2954126.8602300002</v>
      </c>
      <c r="R1423" s="71" t="s">
        <v>625</v>
      </c>
      <c r="S1423" s="71">
        <v>7414000005</v>
      </c>
      <c r="AB1423"/>
      <c r="AC1423"/>
    </row>
    <row r="1424" spans="1:29" x14ac:dyDescent="0.25">
      <c r="A1424" t="str">
        <f t="shared" si="23"/>
        <v xml:space="preserve">2111047UDIBONO 311127      </v>
      </c>
      <c r="B1424" s="71">
        <v>2111047</v>
      </c>
      <c r="C1424" s="71" t="s">
        <v>830</v>
      </c>
      <c r="D1424" s="71" t="s">
        <v>396</v>
      </c>
      <c r="E1424" s="71" t="s">
        <v>623</v>
      </c>
      <c r="F1424" s="71" t="s">
        <v>624</v>
      </c>
      <c r="G1424" s="74">
        <v>9412</v>
      </c>
      <c r="H1424" s="72">
        <v>721.59464000000003</v>
      </c>
      <c r="I1424" s="73">
        <v>6791648.7516799998</v>
      </c>
      <c r="J1424" s="72">
        <v>756.80876154499254</v>
      </c>
      <c r="K1424" s="73">
        <v>-331435.31198146997</v>
      </c>
      <c r="L1424" s="74">
        <v>0</v>
      </c>
      <c r="M1424" s="73">
        <v>0</v>
      </c>
      <c r="N1424" s="74">
        <v>0</v>
      </c>
      <c r="O1424" s="73">
        <v>0</v>
      </c>
      <c r="P1424" s="74">
        <v>9412</v>
      </c>
      <c r="Q1424" s="73">
        <v>6791648.7516799998</v>
      </c>
      <c r="R1424" s="71" t="s">
        <v>625</v>
      </c>
      <c r="S1424" s="71">
        <v>7414000005</v>
      </c>
      <c r="AB1424"/>
      <c r="AC1424"/>
    </row>
    <row r="1425" spans="1:29" x14ac:dyDescent="0.25">
      <c r="A1425" t="str">
        <f t="shared" si="23"/>
        <v xml:space="preserve">2111047UDIBONO 351122      </v>
      </c>
      <c r="B1425" s="71">
        <v>2111047</v>
      </c>
      <c r="C1425" s="71" t="s">
        <v>830</v>
      </c>
      <c r="D1425" s="71" t="s">
        <v>397</v>
      </c>
      <c r="E1425" s="71" t="s">
        <v>623</v>
      </c>
      <c r="F1425" s="71" t="s">
        <v>624</v>
      </c>
      <c r="G1425" s="74">
        <v>3117</v>
      </c>
      <c r="H1425" s="72">
        <v>635.96311900000001</v>
      </c>
      <c r="I1425" s="73">
        <v>1982297.041923</v>
      </c>
      <c r="J1425" s="72">
        <v>647.93802047999998</v>
      </c>
      <c r="K1425" s="73">
        <v>-37325.767913160002</v>
      </c>
      <c r="L1425" s="74">
        <v>0</v>
      </c>
      <c r="M1425" s="73">
        <v>0</v>
      </c>
      <c r="N1425" s="74">
        <v>0</v>
      </c>
      <c r="O1425" s="73">
        <v>0</v>
      </c>
      <c r="P1425" s="74">
        <v>3117</v>
      </c>
      <c r="Q1425" s="73">
        <v>1982297.041923</v>
      </c>
      <c r="R1425" s="71" t="s">
        <v>625</v>
      </c>
      <c r="S1425" s="71">
        <v>7414000005</v>
      </c>
      <c r="AB1425"/>
      <c r="AC1425"/>
    </row>
    <row r="1426" spans="1:29" x14ac:dyDescent="0.25">
      <c r="A1426" t="str">
        <f t="shared" si="23"/>
        <v xml:space="preserve">2111047UDIBONO 401115      </v>
      </c>
      <c r="B1426" s="71">
        <v>2111047</v>
      </c>
      <c r="C1426" s="71" t="s">
        <v>830</v>
      </c>
      <c r="D1426" s="71" t="s">
        <v>398</v>
      </c>
      <c r="E1426" s="71" t="s">
        <v>623</v>
      </c>
      <c r="F1426" s="71" t="s">
        <v>624</v>
      </c>
      <c r="G1426" s="74">
        <v>9760</v>
      </c>
      <c r="H1426" s="72">
        <v>709.36974099999998</v>
      </c>
      <c r="I1426" s="73">
        <v>6923448.6721599996</v>
      </c>
      <c r="J1426" s="72">
        <v>724.63651936999997</v>
      </c>
      <c r="K1426" s="73">
        <v>-149003.7568912</v>
      </c>
      <c r="L1426" s="74">
        <v>0</v>
      </c>
      <c r="M1426" s="73">
        <v>0</v>
      </c>
      <c r="N1426" s="74">
        <v>0</v>
      </c>
      <c r="O1426" s="73">
        <v>0</v>
      </c>
      <c r="P1426" s="74">
        <v>9760</v>
      </c>
      <c r="Q1426" s="73">
        <v>6923448.6721599996</v>
      </c>
      <c r="R1426" s="71" t="s">
        <v>625</v>
      </c>
      <c r="S1426" s="71">
        <v>7414000005</v>
      </c>
      <c r="AB1426"/>
      <c r="AC1426"/>
    </row>
    <row r="1427" spans="1:29" x14ac:dyDescent="0.25">
      <c r="A1427" t="str">
        <f t="shared" si="23"/>
        <v xml:space="preserve">2111047UDIBONO 431112      </v>
      </c>
      <c r="B1427" s="71">
        <v>2111047</v>
      </c>
      <c r="C1427" s="71" t="s">
        <v>830</v>
      </c>
      <c r="D1427" s="71" t="s">
        <v>399</v>
      </c>
      <c r="E1427" s="71" t="s">
        <v>623</v>
      </c>
      <c r="F1427" s="71" t="s">
        <v>624</v>
      </c>
      <c r="G1427" s="74">
        <v>11554</v>
      </c>
      <c r="H1427" s="72">
        <v>694.41118700000004</v>
      </c>
      <c r="I1427" s="73">
        <v>8023226.8545979997</v>
      </c>
      <c r="J1427" s="72">
        <v>740.88292840283623</v>
      </c>
      <c r="K1427" s="73">
        <v>-536934.50016836997</v>
      </c>
      <c r="L1427" s="74">
        <v>0</v>
      </c>
      <c r="M1427" s="73">
        <v>0</v>
      </c>
      <c r="N1427" s="74">
        <v>0</v>
      </c>
      <c r="O1427" s="73">
        <v>0</v>
      </c>
      <c r="P1427" s="74">
        <v>11554</v>
      </c>
      <c r="Q1427" s="73">
        <v>8023226.8545979997</v>
      </c>
      <c r="R1427" s="71" t="s">
        <v>625</v>
      </c>
      <c r="S1427" s="71">
        <v>7414000005</v>
      </c>
      <c r="AB1427"/>
      <c r="AC1427"/>
    </row>
    <row r="1428" spans="1:29" x14ac:dyDescent="0.25">
      <c r="A1428" t="str">
        <f t="shared" si="23"/>
        <v xml:space="preserve">2111047UDIBONO 461108      </v>
      </c>
      <c r="B1428" s="71">
        <v>2111047</v>
      </c>
      <c r="C1428" s="71" t="s">
        <v>830</v>
      </c>
      <c r="D1428" s="71" t="s">
        <v>400</v>
      </c>
      <c r="E1428" s="71" t="s">
        <v>623</v>
      </c>
      <c r="F1428" s="71" t="s">
        <v>624</v>
      </c>
      <c r="G1428" s="74">
        <v>35000</v>
      </c>
      <c r="H1428" s="72">
        <v>58.67</v>
      </c>
      <c r="I1428" s="73">
        <v>2053450</v>
      </c>
      <c r="J1428" s="72">
        <v>59.246843428571431</v>
      </c>
      <c r="K1428" s="73">
        <v>-20189.52</v>
      </c>
      <c r="L1428" s="74">
        <v>0</v>
      </c>
      <c r="M1428" s="73">
        <v>0</v>
      </c>
      <c r="N1428" s="74">
        <v>0</v>
      </c>
      <c r="O1428" s="73">
        <v>0</v>
      </c>
      <c r="P1428" s="74">
        <v>35000</v>
      </c>
      <c r="Q1428" s="73">
        <v>2053450</v>
      </c>
      <c r="R1428" s="71" t="s">
        <v>625</v>
      </c>
      <c r="S1428" s="71">
        <v>7414000005</v>
      </c>
      <c r="AB1428"/>
      <c r="AC1428"/>
    </row>
    <row r="1429" spans="1:29" x14ac:dyDescent="0.25">
      <c r="A1429" t="str">
        <f t="shared" si="23"/>
        <v xml:space="preserve">2111047UDIBONO 501103      </v>
      </c>
      <c r="B1429" s="71">
        <v>2111047</v>
      </c>
      <c r="C1429" s="71" t="s">
        <v>830</v>
      </c>
      <c r="D1429" s="71" t="s">
        <v>401</v>
      </c>
      <c r="E1429" s="71" t="s">
        <v>623</v>
      </c>
      <c r="F1429" s="71" t="s">
        <v>624</v>
      </c>
      <c r="G1429" s="74">
        <v>6900</v>
      </c>
      <c r="H1429" s="72">
        <v>1090</v>
      </c>
      <c r="I1429" s="73">
        <v>7521000</v>
      </c>
      <c r="J1429" s="72">
        <v>1149.3202898550724</v>
      </c>
      <c r="K1429" s="73">
        <v>-409310</v>
      </c>
      <c r="L1429" s="74">
        <v>0</v>
      </c>
      <c r="M1429" s="73">
        <v>0</v>
      </c>
      <c r="N1429" s="74">
        <v>0</v>
      </c>
      <c r="O1429" s="73">
        <v>0</v>
      </c>
      <c r="P1429" s="74">
        <v>6900</v>
      </c>
      <c r="Q1429" s="73">
        <v>7521000</v>
      </c>
      <c r="R1429" s="71" t="s">
        <v>625</v>
      </c>
      <c r="S1429" s="71">
        <v>7414000005</v>
      </c>
      <c r="AB1429"/>
      <c r="AC1429"/>
    </row>
    <row r="1430" spans="1:29" x14ac:dyDescent="0.25">
      <c r="A1430" t="str">
        <f t="shared" si="23"/>
        <v xml:space="preserve">2111047VESTA *             </v>
      </c>
      <c r="B1430" s="71">
        <v>2111047</v>
      </c>
      <c r="C1430" s="71" t="s">
        <v>830</v>
      </c>
      <c r="D1430" s="71" t="s">
        <v>403</v>
      </c>
      <c r="E1430" s="71" t="s">
        <v>623</v>
      </c>
      <c r="F1430" s="71" t="s">
        <v>624</v>
      </c>
      <c r="G1430" s="74">
        <v>77200</v>
      </c>
      <c r="H1430" s="72">
        <v>65.260000000000005</v>
      </c>
      <c r="I1430" s="73">
        <v>5038072</v>
      </c>
      <c r="J1430" s="72">
        <v>69.310226943005176</v>
      </c>
      <c r="K1430" s="73">
        <v>-312677.52</v>
      </c>
      <c r="L1430" s="74">
        <v>0</v>
      </c>
      <c r="M1430" s="73">
        <v>0</v>
      </c>
      <c r="N1430" s="74">
        <v>0</v>
      </c>
      <c r="O1430" s="73">
        <v>0</v>
      </c>
      <c r="P1430" s="74">
        <v>77200</v>
      </c>
      <c r="Q1430" s="73">
        <v>5038072</v>
      </c>
      <c r="R1430" s="71" t="s">
        <v>625</v>
      </c>
      <c r="S1430" s="71">
        <v>7414000005</v>
      </c>
      <c r="AB1430"/>
      <c r="AC1430"/>
    </row>
    <row r="1431" spans="1:29" x14ac:dyDescent="0.25">
      <c r="A1431" t="str">
        <f t="shared" si="23"/>
        <v xml:space="preserve">2111047VGK *               </v>
      </c>
      <c r="B1431" s="71">
        <v>2141256</v>
      </c>
      <c r="C1431" s="71" t="s">
        <v>831</v>
      </c>
      <c r="D1431" s="71" t="s">
        <v>358</v>
      </c>
      <c r="E1431" s="71" t="s">
        <v>623</v>
      </c>
      <c r="F1431" s="71" t="s">
        <v>624</v>
      </c>
      <c r="G1431" s="74">
        <v>20</v>
      </c>
      <c r="H1431" s="72">
        <v>1786.5</v>
      </c>
      <c r="I1431" s="73">
        <v>35730</v>
      </c>
      <c r="J1431" s="72">
        <v>1644.453</v>
      </c>
      <c r="K1431" s="73">
        <v>2840.94</v>
      </c>
      <c r="L1431" s="74">
        <v>0</v>
      </c>
      <c r="M1431" s="73">
        <v>0</v>
      </c>
      <c r="N1431" s="74">
        <v>0</v>
      </c>
      <c r="O1431" s="73">
        <v>0</v>
      </c>
      <c r="P1431" s="74">
        <v>20</v>
      </c>
      <c r="Q1431" s="73">
        <v>35730</v>
      </c>
      <c r="R1431" s="71" t="s">
        <v>625</v>
      </c>
      <c r="S1431" s="71">
        <v>7414000005</v>
      </c>
      <c r="AB1431"/>
      <c r="AC1431"/>
    </row>
    <row r="1432" spans="1:29" x14ac:dyDescent="0.25">
      <c r="A1432" t="str">
        <f t="shared" si="23"/>
        <v xml:space="preserve">2111047WALMEX *            </v>
      </c>
      <c r="B1432" s="71">
        <v>2141256</v>
      </c>
      <c r="C1432" s="71" t="s">
        <v>831</v>
      </c>
      <c r="D1432" s="71" t="s">
        <v>422</v>
      </c>
      <c r="E1432" s="71" t="s">
        <v>623</v>
      </c>
      <c r="F1432" s="71" t="s">
        <v>624</v>
      </c>
      <c r="G1432" s="74">
        <v>24</v>
      </c>
      <c r="H1432" s="72">
        <v>97.654420999999999</v>
      </c>
      <c r="I1432" s="73">
        <v>2343.7061039999999</v>
      </c>
      <c r="J1432" s="72">
        <v>98.224185000000006</v>
      </c>
      <c r="K1432" s="73">
        <v>-13.674336</v>
      </c>
      <c r="L1432" s="74">
        <v>0</v>
      </c>
      <c r="M1432" s="73">
        <v>0</v>
      </c>
      <c r="N1432" s="74">
        <v>0</v>
      </c>
      <c r="O1432" s="73">
        <v>0</v>
      </c>
      <c r="P1432" s="74">
        <v>24</v>
      </c>
      <c r="Q1432" s="73">
        <v>2343.7061039999999</v>
      </c>
      <c r="R1432" s="71" t="s">
        <v>625</v>
      </c>
      <c r="S1432" s="71">
        <v>7414000005</v>
      </c>
      <c r="AB1432"/>
      <c r="AC1432"/>
    </row>
    <row r="1433" spans="1:29" x14ac:dyDescent="0.25">
      <c r="A1433" t="str">
        <f t="shared" si="23"/>
        <v xml:space="preserve">2141256ACWI *              </v>
      </c>
      <c r="B1433" s="71">
        <v>2141256</v>
      </c>
      <c r="C1433" s="71" t="s">
        <v>831</v>
      </c>
      <c r="D1433" s="71" t="s">
        <v>430</v>
      </c>
      <c r="E1433" s="71" t="s">
        <v>623</v>
      </c>
      <c r="F1433" s="71" t="s">
        <v>624</v>
      </c>
      <c r="G1433" s="74">
        <v>11400</v>
      </c>
      <c r="H1433" s="72">
        <v>3.1390400000000001</v>
      </c>
      <c r="I1433" s="73">
        <v>35785.055999999997</v>
      </c>
      <c r="J1433" s="72">
        <v>2.8219964912280702</v>
      </c>
      <c r="K1433" s="73">
        <v>3614.2959999999998</v>
      </c>
      <c r="L1433" s="74">
        <v>0</v>
      </c>
      <c r="M1433" s="73">
        <v>0</v>
      </c>
      <c r="N1433" s="74">
        <v>0</v>
      </c>
      <c r="O1433" s="73">
        <v>0</v>
      </c>
      <c r="P1433" s="74">
        <v>11400</v>
      </c>
      <c r="Q1433" s="73">
        <v>35785.055999999997</v>
      </c>
      <c r="R1433" s="71" t="s">
        <v>625</v>
      </c>
      <c r="S1433" s="71">
        <v>7414000005</v>
      </c>
      <c r="AB1433"/>
      <c r="AC1433"/>
    </row>
    <row r="1434" spans="1:29" x14ac:dyDescent="0.25">
      <c r="A1434" t="str">
        <f t="shared" si="23"/>
        <v xml:space="preserve">2141256CETELEM 22          </v>
      </c>
      <c r="B1434" s="71">
        <v>2141256</v>
      </c>
      <c r="C1434" s="71" t="s">
        <v>831</v>
      </c>
      <c r="D1434" s="71" t="s">
        <v>389</v>
      </c>
      <c r="E1434" s="71" t="s">
        <v>623</v>
      </c>
      <c r="F1434" s="71" t="s">
        <v>624</v>
      </c>
      <c r="G1434" s="74">
        <v>34239</v>
      </c>
      <c r="H1434" s="72">
        <v>3.3967719999999999</v>
      </c>
      <c r="I1434" s="73">
        <v>116302.076508</v>
      </c>
      <c r="J1434" s="72">
        <v>3.3151429656239961</v>
      </c>
      <c r="K1434" s="73">
        <v>2794.8965079999998</v>
      </c>
      <c r="L1434" s="74">
        <v>0</v>
      </c>
      <c r="M1434" s="73">
        <v>0</v>
      </c>
      <c r="N1434" s="74">
        <v>0</v>
      </c>
      <c r="O1434" s="73">
        <v>0</v>
      </c>
      <c r="P1434" s="74">
        <v>34239</v>
      </c>
      <c r="Q1434" s="73">
        <v>116302.076508</v>
      </c>
      <c r="R1434" s="71" t="s">
        <v>625</v>
      </c>
      <c r="S1434" s="71">
        <v>7414000005</v>
      </c>
      <c r="AB1434"/>
      <c r="AC1434"/>
    </row>
    <row r="1435" spans="1:29" x14ac:dyDescent="0.25">
      <c r="A1435" t="str">
        <f t="shared" si="23"/>
        <v xml:space="preserve">2141256ST&amp;ER-C ED          </v>
      </c>
      <c r="B1435" s="71">
        <v>2141264</v>
      </c>
      <c r="C1435" s="71" t="s">
        <v>832</v>
      </c>
      <c r="D1435" s="71" t="s">
        <v>357</v>
      </c>
      <c r="E1435" s="71" t="s">
        <v>623</v>
      </c>
      <c r="F1435" s="71" t="s">
        <v>624</v>
      </c>
      <c r="G1435" s="74">
        <v>4700</v>
      </c>
      <c r="H1435" s="72">
        <v>168.64</v>
      </c>
      <c r="I1435" s="73">
        <v>792608</v>
      </c>
      <c r="J1435" s="72">
        <v>178.07922978723406</v>
      </c>
      <c r="K1435" s="73">
        <v>-44364.38</v>
      </c>
      <c r="L1435" s="74">
        <v>0</v>
      </c>
      <c r="M1435" s="73">
        <v>0</v>
      </c>
      <c r="N1435" s="74">
        <v>0</v>
      </c>
      <c r="O1435" s="73">
        <v>0</v>
      </c>
      <c r="P1435" s="74">
        <v>4700</v>
      </c>
      <c r="Q1435" s="73">
        <v>792608</v>
      </c>
      <c r="R1435" s="71" t="s">
        <v>625</v>
      </c>
      <c r="S1435" s="71">
        <v>7414000005</v>
      </c>
      <c r="AB1435"/>
      <c r="AC1435"/>
    </row>
    <row r="1436" spans="1:29" x14ac:dyDescent="0.25">
      <c r="A1436" t="str">
        <f t="shared" si="23"/>
        <v xml:space="preserve">2141256STERGOB ED          </v>
      </c>
      <c r="B1436" s="71">
        <v>2141264</v>
      </c>
      <c r="C1436" s="71" t="s">
        <v>832</v>
      </c>
      <c r="D1436" s="71" t="s">
        <v>358</v>
      </c>
      <c r="E1436" s="71" t="s">
        <v>623</v>
      </c>
      <c r="F1436" s="71" t="s">
        <v>624</v>
      </c>
      <c r="G1436" s="74">
        <v>4520</v>
      </c>
      <c r="H1436" s="72">
        <v>1786.5</v>
      </c>
      <c r="I1436" s="73">
        <v>8074980</v>
      </c>
      <c r="J1436" s="72">
        <v>1828.7583738938054</v>
      </c>
      <c r="K1436" s="73">
        <v>-191007.85</v>
      </c>
      <c r="L1436" s="74">
        <v>0</v>
      </c>
      <c r="M1436" s="73">
        <v>0</v>
      </c>
      <c r="N1436" s="74">
        <v>0</v>
      </c>
      <c r="O1436" s="73">
        <v>0</v>
      </c>
      <c r="P1436" s="74">
        <v>4520</v>
      </c>
      <c r="Q1436" s="73">
        <v>8074980</v>
      </c>
      <c r="R1436" s="71" t="s">
        <v>625</v>
      </c>
      <c r="S1436" s="71">
        <v>7414000005</v>
      </c>
      <c r="AB1436"/>
      <c r="AC1436"/>
    </row>
    <row r="1437" spans="1:29" x14ac:dyDescent="0.25">
      <c r="A1437" t="str">
        <f t="shared" si="23"/>
        <v xml:space="preserve">2141264AC *                </v>
      </c>
      <c r="B1437" s="71">
        <v>2141264</v>
      </c>
      <c r="C1437" s="71" t="s">
        <v>832</v>
      </c>
      <c r="D1437" s="71" t="s">
        <v>617</v>
      </c>
      <c r="E1437" s="71" t="s">
        <v>623</v>
      </c>
      <c r="F1437" s="71" t="s">
        <v>624</v>
      </c>
      <c r="G1437" s="74">
        <v>14900</v>
      </c>
      <c r="H1437" s="72">
        <v>11.86</v>
      </c>
      <c r="I1437" s="73">
        <v>176714</v>
      </c>
      <c r="J1437" s="72">
        <v>12.184013422818792</v>
      </c>
      <c r="K1437" s="73">
        <v>-4827.8</v>
      </c>
      <c r="L1437" s="74">
        <v>0</v>
      </c>
      <c r="M1437" s="73">
        <v>0</v>
      </c>
      <c r="N1437" s="74">
        <v>0</v>
      </c>
      <c r="O1437" s="73">
        <v>0</v>
      </c>
      <c r="P1437" s="74">
        <v>14900</v>
      </c>
      <c r="Q1437" s="73">
        <v>176714</v>
      </c>
      <c r="R1437" s="71" t="s">
        <v>625</v>
      </c>
      <c r="S1437" s="71">
        <v>7414000005</v>
      </c>
      <c r="AB1437"/>
      <c r="AC1437"/>
    </row>
    <row r="1438" spans="1:29" x14ac:dyDescent="0.25">
      <c r="A1438" t="str">
        <f t="shared" si="23"/>
        <v xml:space="preserve">2141264ACWI *              </v>
      </c>
      <c r="B1438" s="71">
        <v>2141264</v>
      </c>
      <c r="C1438" s="71" t="s">
        <v>832</v>
      </c>
      <c r="D1438" s="71" t="s">
        <v>359</v>
      </c>
      <c r="E1438" s="71" t="s">
        <v>623</v>
      </c>
      <c r="F1438" s="71" t="s">
        <v>624</v>
      </c>
      <c r="G1438" s="74">
        <v>13200</v>
      </c>
      <c r="H1438" s="72">
        <v>73.37</v>
      </c>
      <c r="I1438" s="73">
        <v>968484</v>
      </c>
      <c r="J1438" s="72">
        <v>61.983649242424242</v>
      </c>
      <c r="K1438" s="73">
        <v>150299.82999999999</v>
      </c>
      <c r="L1438" s="74">
        <v>0</v>
      </c>
      <c r="M1438" s="73">
        <v>0</v>
      </c>
      <c r="N1438" s="74">
        <v>0</v>
      </c>
      <c r="O1438" s="73">
        <v>0</v>
      </c>
      <c r="P1438" s="74">
        <v>13200</v>
      </c>
      <c r="Q1438" s="73">
        <v>968484</v>
      </c>
      <c r="R1438" s="71" t="s">
        <v>625</v>
      </c>
      <c r="S1438" s="71">
        <v>7414000005</v>
      </c>
      <c r="AB1438"/>
      <c r="AC1438"/>
    </row>
    <row r="1439" spans="1:29" x14ac:dyDescent="0.25">
      <c r="A1439" t="str">
        <f t="shared" si="23"/>
        <v xml:space="preserve">2141264ALPEK A             </v>
      </c>
      <c r="B1439" s="71">
        <v>2141264</v>
      </c>
      <c r="C1439" s="71" t="s">
        <v>832</v>
      </c>
      <c r="D1439" s="71" t="s">
        <v>360</v>
      </c>
      <c r="E1439" s="71" t="s">
        <v>623</v>
      </c>
      <c r="F1439" s="71" t="s">
        <v>624</v>
      </c>
      <c r="G1439" s="74">
        <v>197000</v>
      </c>
      <c r="H1439" s="72">
        <v>15.12</v>
      </c>
      <c r="I1439" s="73">
        <v>2978640</v>
      </c>
      <c r="J1439" s="72">
        <v>16.152912687309644</v>
      </c>
      <c r="K1439" s="73">
        <v>-203483.79939999999</v>
      </c>
      <c r="L1439" s="74">
        <v>0</v>
      </c>
      <c r="M1439" s="73">
        <v>0</v>
      </c>
      <c r="N1439" s="74">
        <v>0</v>
      </c>
      <c r="O1439" s="73">
        <v>0</v>
      </c>
      <c r="P1439" s="74">
        <v>197000</v>
      </c>
      <c r="Q1439" s="73">
        <v>2978640</v>
      </c>
      <c r="R1439" s="71" t="s">
        <v>625</v>
      </c>
      <c r="S1439" s="71">
        <v>7414000005</v>
      </c>
      <c r="AB1439"/>
      <c r="AC1439"/>
    </row>
    <row r="1440" spans="1:29" x14ac:dyDescent="0.25">
      <c r="A1440" t="str">
        <f t="shared" si="23"/>
        <v xml:space="preserve">2141264ALSEA *             </v>
      </c>
      <c r="B1440" s="71">
        <v>2141264</v>
      </c>
      <c r="C1440" s="71" t="s">
        <v>832</v>
      </c>
      <c r="D1440" s="71" t="s">
        <v>551</v>
      </c>
      <c r="E1440" s="71" t="s">
        <v>623</v>
      </c>
      <c r="F1440" s="71" t="s">
        <v>624</v>
      </c>
      <c r="G1440" s="74">
        <v>3600</v>
      </c>
      <c r="H1440" s="72">
        <v>525.09</v>
      </c>
      <c r="I1440" s="73">
        <v>1890324</v>
      </c>
      <c r="J1440" s="72">
        <v>491.51876944444444</v>
      </c>
      <c r="K1440" s="73">
        <v>120856.43</v>
      </c>
      <c r="L1440" s="74">
        <v>0</v>
      </c>
      <c r="M1440" s="73">
        <v>0</v>
      </c>
      <c r="N1440" s="74">
        <v>0</v>
      </c>
      <c r="O1440" s="73">
        <v>0</v>
      </c>
      <c r="P1440" s="74">
        <v>3600</v>
      </c>
      <c r="Q1440" s="73">
        <v>1890324</v>
      </c>
      <c r="R1440" s="71" t="s">
        <v>625</v>
      </c>
      <c r="S1440" s="71">
        <v>7414000005</v>
      </c>
      <c r="AB1440"/>
      <c r="AC1440"/>
    </row>
    <row r="1441" spans="1:29" x14ac:dyDescent="0.25">
      <c r="A1441" t="str">
        <f t="shared" si="23"/>
        <v xml:space="preserve">2141264AMX B               </v>
      </c>
      <c r="B1441" s="71">
        <v>2141264</v>
      </c>
      <c r="C1441" s="71" t="s">
        <v>832</v>
      </c>
      <c r="D1441" s="71" t="s">
        <v>361</v>
      </c>
      <c r="E1441" s="71" t="s">
        <v>623</v>
      </c>
      <c r="F1441" s="71" t="s">
        <v>624</v>
      </c>
      <c r="G1441" s="74">
        <v>8500</v>
      </c>
      <c r="H1441" s="72">
        <v>68.25</v>
      </c>
      <c r="I1441" s="73">
        <v>580125</v>
      </c>
      <c r="J1441" s="72">
        <v>78.641038823529414</v>
      </c>
      <c r="K1441" s="73">
        <v>-88323.83</v>
      </c>
      <c r="L1441" s="74">
        <v>0</v>
      </c>
      <c r="M1441" s="73">
        <v>0</v>
      </c>
      <c r="N1441" s="74">
        <v>0</v>
      </c>
      <c r="O1441" s="73">
        <v>0</v>
      </c>
      <c r="P1441" s="74">
        <v>8500</v>
      </c>
      <c r="Q1441" s="73">
        <v>580125</v>
      </c>
      <c r="R1441" s="71" t="s">
        <v>625</v>
      </c>
      <c r="S1441" s="71">
        <v>7414000005</v>
      </c>
      <c r="AB1441"/>
      <c r="AC1441"/>
    </row>
    <row r="1442" spans="1:29" x14ac:dyDescent="0.25">
      <c r="A1442" t="str">
        <f t="shared" si="23"/>
        <v xml:space="preserve">2141264ASUR B              </v>
      </c>
      <c r="B1442" s="71">
        <v>2141264</v>
      </c>
      <c r="C1442" s="71" t="s">
        <v>832</v>
      </c>
      <c r="D1442" s="71" t="s">
        <v>362</v>
      </c>
      <c r="E1442" s="71" t="s">
        <v>623</v>
      </c>
      <c r="F1442" s="71" t="s">
        <v>624</v>
      </c>
      <c r="G1442" s="74">
        <v>238500</v>
      </c>
      <c r="H1442" s="72">
        <v>14.33</v>
      </c>
      <c r="I1442" s="73">
        <v>3417705</v>
      </c>
      <c r="J1442" s="72">
        <v>12.137728930817611</v>
      </c>
      <c r="K1442" s="73">
        <v>522856.65</v>
      </c>
      <c r="L1442" s="74">
        <v>0</v>
      </c>
      <c r="M1442" s="73">
        <v>0</v>
      </c>
      <c r="N1442" s="74">
        <v>0</v>
      </c>
      <c r="O1442" s="73">
        <v>0</v>
      </c>
      <c r="P1442" s="74">
        <v>238500</v>
      </c>
      <c r="Q1442" s="73">
        <v>3417705</v>
      </c>
      <c r="R1442" s="71" t="s">
        <v>625</v>
      </c>
      <c r="S1442" s="71">
        <v>7414000005</v>
      </c>
      <c r="AB1442"/>
      <c r="AC1442"/>
    </row>
    <row r="1443" spans="1:29" x14ac:dyDescent="0.25">
      <c r="A1443" t="str">
        <f t="shared" si="23"/>
        <v xml:space="preserve">2141264BIMBO A             </v>
      </c>
      <c r="B1443" s="71">
        <v>2141264</v>
      </c>
      <c r="C1443" s="71" t="s">
        <v>832</v>
      </c>
      <c r="D1443" s="71" t="s">
        <v>422</v>
      </c>
      <c r="E1443" s="71" t="s">
        <v>623</v>
      </c>
      <c r="F1443" s="71" t="s">
        <v>624</v>
      </c>
      <c r="G1443" s="74">
        <v>1692</v>
      </c>
      <c r="H1443" s="72">
        <v>97.654420999999999</v>
      </c>
      <c r="I1443" s="73">
        <v>165231.28033199999</v>
      </c>
      <c r="J1443" s="72">
        <v>98.224185000000006</v>
      </c>
      <c r="K1443" s="73">
        <v>-964.04068800000005</v>
      </c>
      <c r="L1443" s="74">
        <v>0</v>
      </c>
      <c r="M1443" s="73">
        <v>0</v>
      </c>
      <c r="N1443" s="74">
        <v>0</v>
      </c>
      <c r="O1443" s="73">
        <v>0</v>
      </c>
      <c r="P1443" s="74">
        <v>1692</v>
      </c>
      <c r="Q1443" s="73">
        <v>165231.28033199999</v>
      </c>
      <c r="R1443" s="71" t="s">
        <v>625</v>
      </c>
      <c r="S1443" s="71">
        <v>7414000005</v>
      </c>
      <c r="AB1443"/>
      <c r="AC1443"/>
    </row>
    <row r="1444" spans="1:29" x14ac:dyDescent="0.25">
      <c r="A1444" t="str">
        <f t="shared" si="23"/>
        <v xml:space="preserve">2141264CEMEX CPO           </v>
      </c>
      <c r="B1444" s="71">
        <v>2141264</v>
      </c>
      <c r="C1444" s="71" t="s">
        <v>832</v>
      </c>
      <c r="D1444" s="71" t="s">
        <v>363</v>
      </c>
      <c r="E1444" s="71" t="s">
        <v>623</v>
      </c>
      <c r="F1444" s="71" t="s">
        <v>624</v>
      </c>
      <c r="G1444" s="74">
        <v>359901</v>
      </c>
      <c r="H1444" s="72">
        <v>9.4935880000000008</v>
      </c>
      <c r="I1444" s="73">
        <v>3416751.8147880002</v>
      </c>
      <c r="J1444" s="72">
        <v>8.4405498100000003</v>
      </c>
      <c r="K1444" s="73">
        <v>378989.49761919002</v>
      </c>
      <c r="L1444" s="74">
        <v>0</v>
      </c>
      <c r="M1444" s="73">
        <v>0</v>
      </c>
      <c r="N1444" s="74">
        <v>0</v>
      </c>
      <c r="O1444" s="73">
        <v>0</v>
      </c>
      <c r="P1444" s="74">
        <v>359901</v>
      </c>
      <c r="Q1444" s="73">
        <v>3416751.8147880002</v>
      </c>
      <c r="R1444" s="71" t="s">
        <v>625</v>
      </c>
      <c r="S1444" s="71">
        <v>7414000005</v>
      </c>
      <c r="T1444" s="19"/>
      <c r="AB1444"/>
      <c r="AC1444"/>
    </row>
    <row r="1445" spans="1:29" x14ac:dyDescent="0.25">
      <c r="A1445" t="str">
        <f t="shared" si="23"/>
        <v xml:space="preserve">2141264CETELEM 22          </v>
      </c>
      <c r="B1445" s="71">
        <v>2141264</v>
      </c>
      <c r="C1445" s="71" t="s">
        <v>832</v>
      </c>
      <c r="D1445" s="71" t="s">
        <v>409</v>
      </c>
      <c r="E1445" s="71" t="s">
        <v>623</v>
      </c>
      <c r="F1445" s="71" t="s">
        <v>624</v>
      </c>
      <c r="G1445" s="74">
        <v>490130</v>
      </c>
      <c r="H1445" s="72">
        <v>9.3381629999999998</v>
      </c>
      <c r="I1445" s="73">
        <v>4576913.8311900003</v>
      </c>
      <c r="J1445" s="72">
        <v>8.3307969100000001</v>
      </c>
      <c r="K1445" s="73">
        <v>493740.34169169998</v>
      </c>
      <c r="L1445" s="74">
        <v>0</v>
      </c>
      <c r="M1445" s="73">
        <v>0</v>
      </c>
      <c r="N1445" s="74">
        <v>0</v>
      </c>
      <c r="O1445" s="73">
        <v>0</v>
      </c>
      <c r="P1445" s="74">
        <v>490130</v>
      </c>
      <c r="Q1445" s="73">
        <v>4576913.8311900003</v>
      </c>
      <c r="R1445" s="71" t="s">
        <v>625</v>
      </c>
      <c r="S1445" s="71">
        <v>7414000005</v>
      </c>
      <c r="AB1445"/>
      <c r="AC1445"/>
    </row>
    <row r="1446" spans="1:29" x14ac:dyDescent="0.25">
      <c r="A1446" t="str">
        <f t="shared" si="23"/>
        <v xml:space="preserve">2141264CETES 241003        </v>
      </c>
      <c r="B1446" s="71">
        <v>2141264</v>
      </c>
      <c r="C1446" s="71" t="s">
        <v>832</v>
      </c>
      <c r="D1446" s="71" t="s">
        <v>365</v>
      </c>
      <c r="E1446" s="71" t="s">
        <v>623</v>
      </c>
      <c r="F1446" s="71" t="s">
        <v>624</v>
      </c>
      <c r="G1446" s="74">
        <v>4000</v>
      </c>
      <c r="H1446" s="72">
        <v>675.38</v>
      </c>
      <c r="I1446" s="73">
        <v>2701520</v>
      </c>
      <c r="J1446" s="72">
        <v>752.82341250000002</v>
      </c>
      <c r="K1446" s="73">
        <v>-309773.65000000002</v>
      </c>
      <c r="L1446" s="74">
        <v>0</v>
      </c>
      <c r="M1446" s="73">
        <v>0</v>
      </c>
      <c r="N1446" s="74">
        <v>0</v>
      </c>
      <c r="O1446" s="73">
        <v>0</v>
      </c>
      <c r="P1446" s="74">
        <v>4000</v>
      </c>
      <c r="Q1446" s="73">
        <v>2701520</v>
      </c>
      <c r="R1446" s="71" t="s">
        <v>625</v>
      </c>
      <c r="S1446" s="71">
        <v>7414000005</v>
      </c>
      <c r="T1446" s="19"/>
      <c r="AB1446"/>
      <c r="AC1446"/>
    </row>
    <row r="1447" spans="1:29" x14ac:dyDescent="0.25">
      <c r="A1447" t="str">
        <f t="shared" si="23"/>
        <v xml:space="preserve">2141264CETES 241128        </v>
      </c>
      <c r="B1447" s="71">
        <v>2141264</v>
      </c>
      <c r="C1447" s="71" t="s">
        <v>832</v>
      </c>
      <c r="D1447" s="71" t="s">
        <v>367</v>
      </c>
      <c r="E1447" s="71" t="s">
        <v>623</v>
      </c>
      <c r="F1447" s="71" t="s">
        <v>624</v>
      </c>
      <c r="G1447" s="74">
        <v>890</v>
      </c>
      <c r="H1447" s="72">
        <v>700.65</v>
      </c>
      <c r="I1447" s="73">
        <v>623578.5</v>
      </c>
      <c r="J1447" s="72">
        <v>762.20196629213478</v>
      </c>
      <c r="K1447" s="73">
        <v>-54781.25</v>
      </c>
      <c r="L1447" s="74">
        <v>0</v>
      </c>
      <c r="M1447" s="73">
        <v>0</v>
      </c>
      <c r="N1447" s="74">
        <v>0</v>
      </c>
      <c r="O1447" s="73">
        <v>0</v>
      </c>
      <c r="P1447" s="74">
        <v>890</v>
      </c>
      <c r="Q1447" s="73">
        <v>623578.5</v>
      </c>
      <c r="R1447" s="71" t="s">
        <v>625</v>
      </c>
      <c r="S1447" s="71">
        <v>7414000005</v>
      </c>
      <c r="T1447" s="19"/>
      <c r="AB1447"/>
      <c r="AC1447"/>
    </row>
    <row r="1448" spans="1:29" x14ac:dyDescent="0.25">
      <c r="A1448" t="str">
        <f t="shared" si="23"/>
        <v xml:space="preserve">2141264EEM *               </v>
      </c>
      <c r="B1448" s="71">
        <v>2141264</v>
      </c>
      <c r="C1448" s="71" t="s">
        <v>832</v>
      </c>
      <c r="D1448" s="71" t="s">
        <v>368</v>
      </c>
      <c r="E1448" s="71" t="s">
        <v>623</v>
      </c>
      <c r="F1448" s="71" t="s">
        <v>624</v>
      </c>
      <c r="G1448" s="74">
        <v>1720</v>
      </c>
      <c r="H1448" s="72">
        <v>1151</v>
      </c>
      <c r="I1448" s="73">
        <v>1979720</v>
      </c>
      <c r="J1448" s="72">
        <v>982.34045348837208</v>
      </c>
      <c r="K1448" s="73">
        <v>290094.42</v>
      </c>
      <c r="L1448" s="74">
        <v>0</v>
      </c>
      <c r="M1448" s="73">
        <v>0</v>
      </c>
      <c r="N1448" s="74">
        <v>0</v>
      </c>
      <c r="O1448" s="73">
        <v>0</v>
      </c>
      <c r="P1448" s="74">
        <v>1720</v>
      </c>
      <c r="Q1448" s="73">
        <v>1979720</v>
      </c>
      <c r="R1448" s="71" t="s">
        <v>625</v>
      </c>
      <c r="S1448" s="71">
        <v>7414000005</v>
      </c>
      <c r="T1448" s="19"/>
      <c r="AB1448"/>
      <c r="AC1448"/>
    </row>
    <row r="1449" spans="1:29" x14ac:dyDescent="0.25">
      <c r="A1449" t="str">
        <f t="shared" si="23"/>
        <v xml:space="preserve">2141264EPP *               </v>
      </c>
      <c r="B1449" s="71">
        <v>2141264</v>
      </c>
      <c r="C1449" s="71" t="s">
        <v>832</v>
      </c>
      <c r="D1449" s="71" t="s">
        <v>369</v>
      </c>
      <c r="E1449" s="71" t="s">
        <v>623</v>
      </c>
      <c r="F1449" s="71" t="s">
        <v>624</v>
      </c>
      <c r="G1449" s="74">
        <v>17800</v>
      </c>
      <c r="H1449" s="72">
        <v>207.81</v>
      </c>
      <c r="I1449" s="73">
        <v>3699018</v>
      </c>
      <c r="J1449" s="72">
        <v>177.93453595505619</v>
      </c>
      <c r="K1449" s="73">
        <v>531783.26</v>
      </c>
      <c r="L1449" s="74">
        <v>0</v>
      </c>
      <c r="M1449" s="73">
        <v>0</v>
      </c>
      <c r="N1449" s="74">
        <v>0</v>
      </c>
      <c r="O1449" s="73">
        <v>0</v>
      </c>
      <c r="P1449" s="74">
        <v>17800</v>
      </c>
      <c r="Q1449" s="73">
        <v>3699018</v>
      </c>
      <c r="R1449" s="71" t="s">
        <v>625</v>
      </c>
      <c r="S1449" s="71">
        <v>7414000005</v>
      </c>
      <c r="T1449" s="19"/>
      <c r="AB1449"/>
      <c r="AC1449"/>
    </row>
    <row r="1450" spans="1:29" x14ac:dyDescent="0.25">
      <c r="A1450" t="str">
        <f t="shared" si="23"/>
        <v xml:space="preserve">2141264EWJ *               </v>
      </c>
      <c r="B1450" s="71">
        <v>2141264</v>
      </c>
      <c r="C1450" s="71" t="s">
        <v>832</v>
      </c>
      <c r="D1450" s="71" t="s">
        <v>370</v>
      </c>
      <c r="E1450" s="71" t="s">
        <v>623</v>
      </c>
      <c r="F1450" s="71" t="s">
        <v>624</v>
      </c>
      <c r="G1450" s="74">
        <v>1900</v>
      </c>
      <c r="H1450" s="72">
        <v>271.94</v>
      </c>
      <c r="I1450" s="73">
        <v>516686</v>
      </c>
      <c r="J1450" s="72">
        <v>290.68908947368419</v>
      </c>
      <c r="K1450" s="73">
        <v>-35623.269999999997</v>
      </c>
      <c r="L1450" s="74">
        <v>0</v>
      </c>
      <c r="M1450" s="73">
        <v>0</v>
      </c>
      <c r="N1450" s="74">
        <v>0</v>
      </c>
      <c r="O1450" s="73">
        <v>0</v>
      </c>
      <c r="P1450" s="74">
        <v>1900</v>
      </c>
      <c r="Q1450" s="73">
        <v>516686</v>
      </c>
      <c r="R1450" s="71" t="s">
        <v>625</v>
      </c>
      <c r="S1450" s="71">
        <v>7414000005</v>
      </c>
      <c r="T1450" s="19"/>
      <c r="AB1450"/>
      <c r="AC1450"/>
    </row>
    <row r="1451" spans="1:29" x14ac:dyDescent="0.25">
      <c r="A1451" t="str">
        <f t="shared" si="23"/>
        <v xml:space="preserve">2141264FEMSA UBD           </v>
      </c>
      <c r="B1451" s="71">
        <v>2141264</v>
      </c>
      <c r="C1451" s="71" t="s">
        <v>832</v>
      </c>
      <c r="D1451" s="71" t="s">
        <v>371</v>
      </c>
      <c r="E1451" s="71" t="s">
        <v>623</v>
      </c>
      <c r="F1451" s="71" t="s">
        <v>624</v>
      </c>
      <c r="G1451" s="74">
        <v>6000</v>
      </c>
      <c r="H1451" s="72">
        <v>193.15</v>
      </c>
      <c r="I1451" s="73">
        <v>1158900</v>
      </c>
      <c r="J1451" s="72">
        <v>163.59802833333333</v>
      </c>
      <c r="K1451" s="73">
        <v>177311.83</v>
      </c>
      <c r="L1451" s="74">
        <v>0</v>
      </c>
      <c r="M1451" s="73">
        <v>0</v>
      </c>
      <c r="N1451" s="74">
        <v>0</v>
      </c>
      <c r="O1451" s="73">
        <v>0</v>
      </c>
      <c r="P1451" s="74">
        <v>6000</v>
      </c>
      <c r="Q1451" s="73">
        <v>1158900</v>
      </c>
      <c r="R1451" s="71" t="s">
        <v>625</v>
      </c>
      <c r="S1451" s="71">
        <v>7414000005</v>
      </c>
      <c r="T1451" s="19"/>
      <c r="AB1451"/>
      <c r="AC1451"/>
    </row>
    <row r="1452" spans="1:29" x14ac:dyDescent="0.25">
      <c r="A1452" t="str">
        <f t="shared" si="23"/>
        <v xml:space="preserve">2141264GAP B               </v>
      </c>
      <c r="B1452" s="71">
        <v>2141264</v>
      </c>
      <c r="C1452" s="71" t="s">
        <v>832</v>
      </c>
      <c r="D1452" s="71" t="s">
        <v>372</v>
      </c>
      <c r="E1452" s="71" t="s">
        <v>623</v>
      </c>
      <c r="F1452" s="71" t="s">
        <v>624</v>
      </c>
      <c r="G1452" s="74">
        <v>45000</v>
      </c>
      <c r="H1452" s="72">
        <v>27.12</v>
      </c>
      <c r="I1452" s="73">
        <v>1220400</v>
      </c>
      <c r="J1452" s="72">
        <v>22.565322444444444</v>
      </c>
      <c r="K1452" s="73">
        <v>204960.49</v>
      </c>
      <c r="L1452" s="74">
        <v>0</v>
      </c>
      <c r="M1452" s="73">
        <v>0</v>
      </c>
      <c r="N1452" s="74">
        <v>0</v>
      </c>
      <c r="O1452" s="73">
        <v>0</v>
      </c>
      <c r="P1452" s="74">
        <v>45000</v>
      </c>
      <c r="Q1452" s="73">
        <v>1220400</v>
      </c>
      <c r="R1452" s="71" t="s">
        <v>625</v>
      </c>
      <c r="S1452" s="71">
        <v>7414000005</v>
      </c>
      <c r="AB1452"/>
      <c r="AC1452"/>
    </row>
    <row r="1453" spans="1:29" x14ac:dyDescent="0.25">
      <c r="A1453" t="str">
        <f t="shared" si="23"/>
        <v xml:space="preserve">2141264GCC *               </v>
      </c>
      <c r="B1453" s="71">
        <v>2141264</v>
      </c>
      <c r="C1453" s="71" t="s">
        <v>832</v>
      </c>
      <c r="D1453" s="71" t="s">
        <v>373</v>
      </c>
      <c r="E1453" s="71" t="s">
        <v>623</v>
      </c>
      <c r="F1453" s="71" t="s">
        <v>624</v>
      </c>
      <c r="G1453" s="74">
        <v>28100</v>
      </c>
      <c r="H1453" s="72">
        <v>176.44</v>
      </c>
      <c r="I1453" s="73">
        <v>4957964</v>
      </c>
      <c r="J1453" s="72">
        <v>147.64830604982205</v>
      </c>
      <c r="K1453" s="73">
        <v>809046.6</v>
      </c>
      <c r="L1453" s="74">
        <v>0</v>
      </c>
      <c r="M1453" s="73">
        <v>0</v>
      </c>
      <c r="N1453" s="74">
        <v>0</v>
      </c>
      <c r="O1453" s="73">
        <v>0</v>
      </c>
      <c r="P1453" s="74">
        <v>28100</v>
      </c>
      <c r="Q1453" s="73">
        <v>4957964</v>
      </c>
      <c r="R1453" s="71" t="s">
        <v>625</v>
      </c>
      <c r="S1453" s="71">
        <v>7414000005</v>
      </c>
      <c r="T1453" s="19"/>
      <c r="AB1453"/>
      <c r="AC1453"/>
    </row>
    <row r="1454" spans="1:29" x14ac:dyDescent="0.25">
      <c r="A1454" t="str">
        <f t="shared" si="23"/>
        <v xml:space="preserve">2141264GENTERA *           </v>
      </c>
      <c r="B1454" s="71">
        <v>2141264</v>
      </c>
      <c r="C1454" s="71" t="s">
        <v>832</v>
      </c>
      <c r="D1454" s="71" t="s">
        <v>374</v>
      </c>
      <c r="E1454" s="71" t="s">
        <v>623</v>
      </c>
      <c r="F1454" s="71" t="s">
        <v>624</v>
      </c>
      <c r="G1454" s="74">
        <v>35600</v>
      </c>
      <c r="H1454" s="72">
        <v>104.12</v>
      </c>
      <c r="I1454" s="73">
        <v>3706672</v>
      </c>
      <c r="J1454" s="72">
        <v>83.802376123595508</v>
      </c>
      <c r="K1454" s="73">
        <v>723307.41</v>
      </c>
      <c r="L1454" s="74">
        <v>0</v>
      </c>
      <c r="M1454" s="73">
        <v>0</v>
      </c>
      <c r="N1454" s="74">
        <v>0</v>
      </c>
      <c r="O1454" s="73">
        <v>0</v>
      </c>
      <c r="P1454" s="74">
        <v>35600</v>
      </c>
      <c r="Q1454" s="73">
        <v>3706672</v>
      </c>
      <c r="R1454" s="71" t="s">
        <v>625</v>
      </c>
      <c r="S1454" s="71">
        <v>7414000005</v>
      </c>
      <c r="AB1454"/>
      <c r="AC1454"/>
    </row>
    <row r="1455" spans="1:29" x14ac:dyDescent="0.25">
      <c r="A1455" t="str">
        <f t="shared" si="23"/>
        <v xml:space="preserve">2141264GFNORTE O           </v>
      </c>
      <c r="B1455" s="71">
        <v>2141264</v>
      </c>
      <c r="C1455" s="71" t="s">
        <v>832</v>
      </c>
      <c r="D1455" s="71" t="s">
        <v>375</v>
      </c>
      <c r="E1455" s="71" t="s">
        <v>623</v>
      </c>
      <c r="F1455" s="71" t="s">
        <v>624</v>
      </c>
      <c r="G1455" s="74">
        <v>23840</v>
      </c>
      <c r="H1455" s="72">
        <v>98.730349000000004</v>
      </c>
      <c r="I1455" s="73">
        <v>2353731.5201599998</v>
      </c>
      <c r="J1455" s="72">
        <v>104.24610289529782</v>
      </c>
      <c r="K1455" s="73">
        <v>-131495.57286389999</v>
      </c>
      <c r="L1455" s="74">
        <v>0</v>
      </c>
      <c r="M1455" s="73">
        <v>0</v>
      </c>
      <c r="N1455" s="74">
        <v>0</v>
      </c>
      <c r="O1455" s="73">
        <v>0</v>
      </c>
      <c r="P1455" s="74">
        <v>23840</v>
      </c>
      <c r="Q1455" s="73">
        <v>2353731.5201599998</v>
      </c>
      <c r="R1455" s="71" t="s">
        <v>625</v>
      </c>
      <c r="S1455" s="71">
        <v>7414000005</v>
      </c>
      <c r="T1455" s="19"/>
      <c r="AB1455"/>
      <c r="AC1455"/>
    </row>
    <row r="1456" spans="1:29" x14ac:dyDescent="0.25">
      <c r="A1456" t="str">
        <f t="shared" si="23"/>
        <v xml:space="preserve">2141264GMEXICO B           </v>
      </c>
      <c r="B1456" s="71">
        <v>2141264</v>
      </c>
      <c r="C1456" s="71" t="s">
        <v>832</v>
      </c>
      <c r="D1456" s="71" t="s">
        <v>376</v>
      </c>
      <c r="E1456" s="71" t="s">
        <v>623</v>
      </c>
      <c r="F1456" s="71" t="s">
        <v>624</v>
      </c>
      <c r="G1456" s="74">
        <v>27222</v>
      </c>
      <c r="H1456" s="72">
        <v>99.247497999999993</v>
      </c>
      <c r="I1456" s="73">
        <v>2701715.3905560002</v>
      </c>
      <c r="J1456" s="72">
        <v>112.43067486209904</v>
      </c>
      <c r="K1456" s="73">
        <v>-358872.44054005999</v>
      </c>
      <c r="L1456" s="74">
        <v>0</v>
      </c>
      <c r="M1456" s="73">
        <v>0</v>
      </c>
      <c r="N1456" s="74">
        <v>0</v>
      </c>
      <c r="O1456" s="73">
        <v>0</v>
      </c>
      <c r="P1456" s="74">
        <v>27222</v>
      </c>
      <c r="Q1456" s="73">
        <v>2701715.3905560002</v>
      </c>
      <c r="R1456" s="71" t="s">
        <v>625</v>
      </c>
      <c r="S1456" s="71">
        <v>7414000005</v>
      </c>
      <c r="T1456" s="19"/>
      <c r="AB1456"/>
      <c r="AC1456"/>
    </row>
    <row r="1457" spans="1:29" x14ac:dyDescent="0.25">
      <c r="A1457" t="str">
        <f t="shared" si="23"/>
        <v xml:space="preserve">2141264GOBFED 240905       </v>
      </c>
      <c r="B1457" s="71">
        <v>2141264</v>
      </c>
      <c r="C1457" s="71" t="s">
        <v>832</v>
      </c>
      <c r="D1457" s="71" t="s">
        <v>377</v>
      </c>
      <c r="E1457" s="71" t="s">
        <v>623</v>
      </c>
      <c r="F1457" s="71" t="s">
        <v>624</v>
      </c>
      <c r="G1457" s="74">
        <v>8490</v>
      </c>
      <c r="H1457" s="72">
        <v>94.973146999999997</v>
      </c>
      <c r="I1457" s="73">
        <v>806322.01803000004</v>
      </c>
      <c r="J1457" s="72">
        <v>89.77783047021201</v>
      </c>
      <c r="K1457" s="73">
        <v>44108.237337899998</v>
      </c>
      <c r="L1457" s="74">
        <v>0</v>
      </c>
      <c r="M1457" s="73">
        <v>0</v>
      </c>
      <c r="N1457" s="74">
        <v>0</v>
      </c>
      <c r="O1457" s="73">
        <v>0</v>
      </c>
      <c r="P1457" s="74">
        <v>8490</v>
      </c>
      <c r="Q1457" s="73">
        <v>806322.01803000004</v>
      </c>
      <c r="R1457" s="71" t="s">
        <v>625</v>
      </c>
      <c r="S1457" s="71">
        <v>7414000005</v>
      </c>
      <c r="T1457" s="19"/>
      <c r="AB1457"/>
      <c r="AC1457"/>
    </row>
    <row r="1458" spans="1:29" x14ac:dyDescent="0.25">
      <c r="A1458" t="str">
        <f t="shared" si="23"/>
        <v xml:space="preserve">2141264GOBFED 241205       </v>
      </c>
      <c r="B1458" s="71">
        <v>2141264</v>
      </c>
      <c r="C1458" s="71" t="s">
        <v>832</v>
      </c>
      <c r="D1458" s="71" t="s">
        <v>378</v>
      </c>
      <c r="E1458" s="71" t="s">
        <v>623</v>
      </c>
      <c r="F1458" s="71" t="s">
        <v>624</v>
      </c>
      <c r="G1458" s="74">
        <v>29069</v>
      </c>
      <c r="H1458" s="72">
        <v>91.911821000000003</v>
      </c>
      <c r="I1458" s="73">
        <v>2671784.724649</v>
      </c>
      <c r="J1458" s="72">
        <v>93.2088459</v>
      </c>
      <c r="K1458" s="73">
        <v>-37703.216818100002</v>
      </c>
      <c r="L1458" s="74">
        <v>0</v>
      </c>
      <c r="M1458" s="73">
        <v>0</v>
      </c>
      <c r="N1458" s="74">
        <v>0</v>
      </c>
      <c r="O1458" s="73">
        <v>0</v>
      </c>
      <c r="P1458" s="74">
        <v>29069</v>
      </c>
      <c r="Q1458" s="73">
        <v>2671784.724649</v>
      </c>
      <c r="R1458" s="71" t="s">
        <v>625</v>
      </c>
      <c r="S1458" s="71">
        <v>7414000005</v>
      </c>
      <c r="T1458" s="19"/>
      <c r="AB1458"/>
      <c r="AC1458"/>
    </row>
    <row r="1459" spans="1:29" x14ac:dyDescent="0.25">
      <c r="A1459" t="str">
        <f t="shared" si="23"/>
        <v xml:space="preserve">2141264GOBFED 250306       </v>
      </c>
      <c r="B1459" s="71">
        <v>2141264</v>
      </c>
      <c r="C1459" s="71" t="s">
        <v>832</v>
      </c>
      <c r="D1459" s="71" t="s">
        <v>499</v>
      </c>
      <c r="E1459" s="71" t="s">
        <v>623</v>
      </c>
      <c r="F1459" s="71" t="s">
        <v>624</v>
      </c>
      <c r="G1459" s="74">
        <v>14810</v>
      </c>
      <c r="H1459" s="72">
        <v>92.954503000000003</v>
      </c>
      <c r="I1459" s="73">
        <v>1376656.18943</v>
      </c>
      <c r="J1459" s="72">
        <v>93.326521780931799</v>
      </c>
      <c r="K1459" s="73">
        <v>-5509.5981456</v>
      </c>
      <c r="L1459" s="74">
        <v>0</v>
      </c>
      <c r="M1459" s="73">
        <v>0</v>
      </c>
      <c r="N1459" s="74">
        <v>0</v>
      </c>
      <c r="O1459" s="73">
        <v>0</v>
      </c>
      <c r="P1459" s="74">
        <v>14810</v>
      </c>
      <c r="Q1459" s="73">
        <v>1376656.18943</v>
      </c>
      <c r="R1459" s="71" t="s">
        <v>625</v>
      </c>
      <c r="S1459" s="71">
        <v>7414000005</v>
      </c>
      <c r="T1459" s="19"/>
      <c r="AB1459"/>
      <c r="AC1459"/>
    </row>
    <row r="1460" spans="1:29" x14ac:dyDescent="0.25">
      <c r="A1460" t="str">
        <f t="shared" si="23"/>
        <v xml:space="preserve">2141264GOBFED 260305       </v>
      </c>
      <c r="B1460" s="71">
        <v>2141264</v>
      </c>
      <c r="C1460" s="71" t="s">
        <v>832</v>
      </c>
      <c r="D1460" s="71" t="s">
        <v>379</v>
      </c>
      <c r="E1460" s="71" t="s">
        <v>623</v>
      </c>
      <c r="F1460" s="71" t="s">
        <v>624</v>
      </c>
      <c r="G1460" s="74">
        <v>14718</v>
      </c>
      <c r="H1460" s="72">
        <v>88.698122999999995</v>
      </c>
      <c r="I1460" s="73">
        <v>1305458.974314</v>
      </c>
      <c r="J1460" s="72">
        <v>85.579178033424384</v>
      </c>
      <c r="K1460" s="73">
        <v>45904.632018060001</v>
      </c>
      <c r="L1460" s="74">
        <v>0</v>
      </c>
      <c r="M1460" s="73">
        <v>0</v>
      </c>
      <c r="N1460" s="74">
        <v>0</v>
      </c>
      <c r="O1460" s="73">
        <v>0</v>
      </c>
      <c r="P1460" s="74">
        <v>14718</v>
      </c>
      <c r="Q1460" s="73">
        <v>1305458.974314</v>
      </c>
      <c r="R1460" s="71" t="s">
        <v>625</v>
      </c>
      <c r="S1460" s="71">
        <v>7414000005</v>
      </c>
      <c r="AB1460"/>
      <c r="AC1460"/>
    </row>
    <row r="1461" spans="1:29" x14ac:dyDescent="0.25">
      <c r="A1461" t="str">
        <f t="shared" si="23"/>
        <v xml:space="preserve">2141264GOBFED 260903       </v>
      </c>
      <c r="B1461" s="71">
        <v>2141264</v>
      </c>
      <c r="C1461" s="71" t="s">
        <v>832</v>
      </c>
      <c r="D1461" s="71" t="s">
        <v>380</v>
      </c>
      <c r="E1461" s="71" t="s">
        <v>623</v>
      </c>
      <c r="F1461" s="71" t="s">
        <v>624</v>
      </c>
      <c r="G1461" s="74">
        <v>30790</v>
      </c>
      <c r="H1461" s="72">
        <v>93.314192000000006</v>
      </c>
      <c r="I1461" s="73">
        <v>2873143.97168</v>
      </c>
      <c r="J1461" s="72">
        <v>99.098739295319902</v>
      </c>
      <c r="K1461" s="73">
        <v>-178106.21122289999</v>
      </c>
      <c r="L1461" s="74">
        <v>0</v>
      </c>
      <c r="M1461" s="73">
        <v>0</v>
      </c>
      <c r="N1461" s="74">
        <v>0</v>
      </c>
      <c r="O1461" s="73">
        <v>0</v>
      </c>
      <c r="P1461" s="74">
        <v>30790</v>
      </c>
      <c r="Q1461" s="73">
        <v>2873143.97168</v>
      </c>
      <c r="R1461" s="71" t="s">
        <v>625</v>
      </c>
      <c r="S1461" s="71">
        <v>7414000005</v>
      </c>
      <c r="T1461" s="19"/>
      <c r="AB1461"/>
      <c r="AC1461"/>
    </row>
    <row r="1462" spans="1:29" ht="18.75" customHeight="1" x14ac:dyDescent="0.25">
      <c r="A1462" t="str">
        <f t="shared" si="23"/>
        <v xml:space="preserve">2141264GOBFED 270304       </v>
      </c>
      <c r="B1462" s="71">
        <v>2141264</v>
      </c>
      <c r="C1462" s="71" t="s">
        <v>832</v>
      </c>
      <c r="D1462" s="71" t="s">
        <v>507</v>
      </c>
      <c r="E1462" s="71" t="s">
        <v>623</v>
      </c>
      <c r="F1462" s="71" t="s">
        <v>624</v>
      </c>
      <c r="G1462" s="74">
        <v>26160</v>
      </c>
      <c r="H1462" s="72">
        <v>94.864168000000006</v>
      </c>
      <c r="I1462" s="73">
        <v>2481646.6348799998</v>
      </c>
      <c r="J1462" s="72">
        <v>96.400284050443432</v>
      </c>
      <c r="K1462" s="73">
        <v>-40184.795879600002</v>
      </c>
      <c r="L1462" s="74">
        <v>0</v>
      </c>
      <c r="M1462" s="73">
        <v>0</v>
      </c>
      <c r="N1462" s="74">
        <v>0</v>
      </c>
      <c r="O1462" s="73">
        <v>0</v>
      </c>
      <c r="P1462" s="74">
        <v>26160</v>
      </c>
      <c r="Q1462" s="73">
        <v>2481646.6348799998</v>
      </c>
      <c r="R1462" s="71" t="s">
        <v>625</v>
      </c>
      <c r="S1462" s="71">
        <v>7414000005</v>
      </c>
      <c r="AB1462"/>
      <c r="AC1462"/>
    </row>
    <row r="1463" spans="1:29" x14ac:dyDescent="0.25">
      <c r="A1463" t="str">
        <f t="shared" si="23"/>
        <v xml:space="preserve">2141264GOBFED 270603       </v>
      </c>
      <c r="B1463" s="71">
        <v>2141264</v>
      </c>
      <c r="C1463" s="71" t="s">
        <v>832</v>
      </c>
      <c r="D1463" s="71" t="s">
        <v>381</v>
      </c>
      <c r="E1463" s="71" t="s">
        <v>623</v>
      </c>
      <c r="F1463" s="71" t="s">
        <v>624</v>
      </c>
      <c r="G1463" s="74">
        <v>74693</v>
      </c>
      <c r="H1463" s="72">
        <v>94.870157000000006</v>
      </c>
      <c r="I1463" s="73">
        <v>7086136.6368009998</v>
      </c>
      <c r="J1463" s="72">
        <v>96.757260273500862</v>
      </c>
      <c r="K1463" s="73">
        <v>-140953.40480759999</v>
      </c>
      <c r="L1463" s="74">
        <v>0</v>
      </c>
      <c r="M1463" s="73">
        <v>0</v>
      </c>
      <c r="N1463" s="74">
        <v>0</v>
      </c>
      <c r="O1463" s="73">
        <v>0</v>
      </c>
      <c r="P1463" s="74">
        <v>74693</v>
      </c>
      <c r="Q1463" s="73">
        <v>7086136.6368009998</v>
      </c>
      <c r="R1463" s="71" t="s">
        <v>625</v>
      </c>
      <c r="S1463" s="71">
        <v>7414000005</v>
      </c>
      <c r="T1463" s="19"/>
      <c r="X1463" s="20"/>
      <c r="AB1463"/>
      <c r="AC1463"/>
    </row>
    <row r="1464" spans="1:29" x14ac:dyDescent="0.25">
      <c r="A1464" t="str">
        <f t="shared" si="23"/>
        <v xml:space="preserve">2141264GOBFED 290301       </v>
      </c>
      <c r="B1464" s="71">
        <v>2141264</v>
      </c>
      <c r="C1464" s="71" t="s">
        <v>832</v>
      </c>
      <c r="D1464" s="71" t="s">
        <v>382</v>
      </c>
      <c r="E1464" s="71" t="s">
        <v>623</v>
      </c>
      <c r="F1464" s="71" t="s">
        <v>624</v>
      </c>
      <c r="G1464" s="74">
        <v>37617</v>
      </c>
      <c r="H1464" s="72">
        <v>89.489464999999996</v>
      </c>
      <c r="I1464" s="73">
        <v>3366325.204905</v>
      </c>
      <c r="J1464" s="72">
        <v>91.229590010315547</v>
      </c>
      <c r="K1464" s="73">
        <v>-65458.282513040002</v>
      </c>
      <c r="L1464" s="74">
        <v>0</v>
      </c>
      <c r="M1464" s="73">
        <v>0</v>
      </c>
      <c r="N1464" s="74">
        <v>0</v>
      </c>
      <c r="O1464" s="73">
        <v>0</v>
      </c>
      <c r="P1464" s="74">
        <v>37617</v>
      </c>
      <c r="Q1464" s="73">
        <v>3366325.204905</v>
      </c>
      <c r="R1464" s="71" t="s">
        <v>625</v>
      </c>
      <c r="S1464" s="71">
        <v>7414000005</v>
      </c>
      <c r="X1464" s="20"/>
      <c r="AB1464"/>
      <c r="AC1464"/>
    </row>
    <row r="1465" spans="1:29" x14ac:dyDescent="0.25">
      <c r="A1465" t="str">
        <f t="shared" si="23"/>
        <v xml:space="preserve">2141264GOBFED 290531       </v>
      </c>
      <c r="B1465" s="71">
        <v>2141264</v>
      </c>
      <c r="C1465" s="71" t="s">
        <v>832</v>
      </c>
      <c r="D1465" s="71" t="s">
        <v>383</v>
      </c>
      <c r="E1465" s="71" t="s">
        <v>623</v>
      </c>
      <c r="F1465" s="71" t="s">
        <v>624</v>
      </c>
      <c r="G1465" s="74">
        <v>73602</v>
      </c>
      <c r="H1465" s="72">
        <v>86.197128000000006</v>
      </c>
      <c r="I1465" s="73">
        <v>6344281.0150560001</v>
      </c>
      <c r="J1465" s="72">
        <v>89.410812547518276</v>
      </c>
      <c r="K1465" s="73">
        <v>-236533.61006643999</v>
      </c>
      <c r="L1465" s="74">
        <v>0</v>
      </c>
      <c r="M1465" s="73">
        <v>0</v>
      </c>
      <c r="N1465" s="74">
        <v>0</v>
      </c>
      <c r="O1465" s="73">
        <v>0</v>
      </c>
      <c r="P1465" s="74">
        <v>73602</v>
      </c>
      <c r="Q1465" s="73">
        <v>6344281.0150560001</v>
      </c>
      <c r="R1465" s="71" t="s">
        <v>625</v>
      </c>
      <c r="S1465" s="71">
        <v>7414000005</v>
      </c>
      <c r="T1465" s="19"/>
      <c r="AB1465"/>
      <c r="AC1465"/>
    </row>
    <row r="1466" spans="1:29" x14ac:dyDescent="0.25">
      <c r="A1466" t="str">
        <f t="shared" si="23"/>
        <v xml:space="preserve">2141264GOBFED 310529       </v>
      </c>
      <c r="B1466" s="71">
        <v>2141264</v>
      </c>
      <c r="C1466" s="71" t="s">
        <v>832</v>
      </c>
      <c r="D1466" s="71" t="s">
        <v>427</v>
      </c>
      <c r="E1466" s="71" t="s">
        <v>623</v>
      </c>
      <c r="F1466" s="71" t="s">
        <v>624</v>
      </c>
      <c r="G1466" s="74">
        <v>54592</v>
      </c>
      <c r="H1466" s="72">
        <v>86.469353999999996</v>
      </c>
      <c r="I1466" s="73">
        <v>4720534.9735679999</v>
      </c>
      <c r="J1466" s="72">
        <v>90.725366333467903</v>
      </c>
      <c r="K1466" s="73">
        <v>-232344.22530868</v>
      </c>
      <c r="L1466" s="74">
        <v>0</v>
      </c>
      <c r="M1466" s="73">
        <v>0</v>
      </c>
      <c r="N1466" s="74">
        <v>0</v>
      </c>
      <c r="O1466" s="73">
        <v>0</v>
      </c>
      <c r="P1466" s="74">
        <v>54592</v>
      </c>
      <c r="Q1466" s="73">
        <v>4720534.9735679999</v>
      </c>
      <c r="R1466" s="71" t="s">
        <v>625</v>
      </c>
      <c r="S1466" s="71">
        <v>7414000005</v>
      </c>
      <c r="AB1466"/>
      <c r="AC1466"/>
    </row>
    <row r="1467" spans="1:29" x14ac:dyDescent="0.25">
      <c r="A1467" t="str">
        <f t="shared" si="23"/>
        <v xml:space="preserve">2141264GOBFED 330526       </v>
      </c>
      <c r="B1467" s="71">
        <v>2141264</v>
      </c>
      <c r="C1467" s="71" t="s">
        <v>832</v>
      </c>
      <c r="D1467" s="71" t="s">
        <v>418</v>
      </c>
      <c r="E1467" s="71" t="s">
        <v>623</v>
      </c>
      <c r="F1467" s="71" t="s">
        <v>624</v>
      </c>
      <c r="G1467" s="74">
        <v>2384</v>
      </c>
      <c r="H1467" s="72">
        <v>101.45096599999999</v>
      </c>
      <c r="I1467" s="73">
        <v>241859.10294400001</v>
      </c>
      <c r="J1467" s="72">
        <v>114.11447106</v>
      </c>
      <c r="K1467" s="73">
        <v>-30189.796063040001</v>
      </c>
      <c r="L1467" s="74">
        <v>0</v>
      </c>
      <c r="M1467" s="73">
        <v>0</v>
      </c>
      <c r="N1467" s="74">
        <v>0</v>
      </c>
      <c r="O1467" s="73">
        <v>0</v>
      </c>
      <c r="P1467" s="74">
        <v>2384</v>
      </c>
      <c r="Q1467" s="73">
        <v>241859.10294400001</v>
      </c>
      <c r="R1467" s="71" t="s">
        <v>625</v>
      </c>
      <c r="S1467" s="71">
        <v>7414000005</v>
      </c>
      <c r="AB1467"/>
      <c r="AC1467"/>
    </row>
    <row r="1468" spans="1:29" x14ac:dyDescent="0.25">
      <c r="A1468" t="str">
        <f t="shared" si="23"/>
        <v xml:space="preserve">2141264GOBFED 341123       </v>
      </c>
      <c r="B1468" s="71">
        <v>2141264</v>
      </c>
      <c r="C1468" s="71" t="s">
        <v>832</v>
      </c>
      <c r="D1468" s="71" t="s">
        <v>408</v>
      </c>
      <c r="E1468" s="71" t="s">
        <v>623</v>
      </c>
      <c r="F1468" s="71" t="s">
        <v>624</v>
      </c>
      <c r="G1468" s="74">
        <v>2262</v>
      </c>
      <c r="H1468" s="72">
        <v>89.643172000000007</v>
      </c>
      <c r="I1468" s="73">
        <v>202772.855064</v>
      </c>
      <c r="J1468" s="72">
        <v>108.47711812999999</v>
      </c>
      <c r="K1468" s="73">
        <v>-42602.386146060002</v>
      </c>
      <c r="L1468" s="74">
        <v>0</v>
      </c>
      <c r="M1468" s="73">
        <v>0</v>
      </c>
      <c r="N1468" s="74">
        <v>0</v>
      </c>
      <c r="O1468" s="73">
        <v>0</v>
      </c>
      <c r="P1468" s="74">
        <v>2262</v>
      </c>
      <c r="Q1468" s="73">
        <v>202772.855064</v>
      </c>
      <c r="R1468" s="71" t="s">
        <v>625</v>
      </c>
      <c r="S1468" s="71">
        <v>7414000005</v>
      </c>
      <c r="AB1468"/>
      <c r="AC1468"/>
    </row>
    <row r="1469" spans="1:29" x14ac:dyDescent="0.25">
      <c r="A1469" t="str">
        <f t="shared" si="23"/>
        <v xml:space="preserve">2141264GOBFED 361120       </v>
      </c>
      <c r="B1469" s="71">
        <v>2141264</v>
      </c>
      <c r="C1469" s="71" t="s">
        <v>832</v>
      </c>
      <c r="D1469" s="71" t="s">
        <v>384</v>
      </c>
      <c r="E1469" s="71" t="s">
        <v>623</v>
      </c>
      <c r="F1469" s="71" t="s">
        <v>624</v>
      </c>
      <c r="G1469" s="74">
        <v>57197</v>
      </c>
      <c r="H1469" s="72">
        <v>81.738860000000003</v>
      </c>
      <c r="I1469" s="73">
        <v>4675217.5754199997</v>
      </c>
      <c r="J1469" s="72">
        <v>86.571683953352803</v>
      </c>
      <c r="K1469" s="73">
        <v>-276423.03165992</v>
      </c>
      <c r="L1469" s="74">
        <v>0</v>
      </c>
      <c r="M1469" s="73">
        <v>0</v>
      </c>
      <c r="N1469" s="74">
        <v>0</v>
      </c>
      <c r="O1469" s="73">
        <v>0</v>
      </c>
      <c r="P1469" s="74">
        <v>57197</v>
      </c>
      <c r="Q1469" s="73">
        <v>4675217.5754199997</v>
      </c>
      <c r="R1469" s="71" t="s">
        <v>625</v>
      </c>
      <c r="S1469" s="71">
        <v>7414000005</v>
      </c>
      <c r="AB1469"/>
      <c r="AC1469"/>
    </row>
    <row r="1470" spans="1:29" x14ac:dyDescent="0.25">
      <c r="A1470" t="str">
        <f t="shared" si="23"/>
        <v xml:space="preserve">2141264GOBFED 381118       </v>
      </c>
      <c r="B1470" s="71">
        <v>2141264</v>
      </c>
      <c r="C1470" s="71" t="s">
        <v>832</v>
      </c>
      <c r="D1470" s="71" t="s">
        <v>385</v>
      </c>
      <c r="E1470" s="71" t="s">
        <v>623</v>
      </c>
      <c r="F1470" s="71" t="s">
        <v>624</v>
      </c>
      <c r="G1470" s="74">
        <v>7361</v>
      </c>
      <c r="H1470" s="72">
        <v>83.200761</v>
      </c>
      <c r="I1470" s="73">
        <v>612440.801721</v>
      </c>
      <c r="J1470" s="72">
        <v>89.577829020963179</v>
      </c>
      <c r="K1470" s="73">
        <v>-46941.597702309999</v>
      </c>
      <c r="L1470" s="74">
        <v>0</v>
      </c>
      <c r="M1470" s="73">
        <v>0</v>
      </c>
      <c r="N1470" s="74">
        <v>0</v>
      </c>
      <c r="O1470" s="73">
        <v>0</v>
      </c>
      <c r="P1470" s="74">
        <v>7361</v>
      </c>
      <c r="Q1470" s="73">
        <v>612440.801721</v>
      </c>
      <c r="R1470" s="71" t="s">
        <v>625</v>
      </c>
      <c r="S1470" s="71">
        <v>7414000005</v>
      </c>
      <c r="T1470" s="19"/>
      <c r="AB1470"/>
      <c r="AC1470"/>
    </row>
    <row r="1471" spans="1:29" x14ac:dyDescent="0.25">
      <c r="A1471" t="str">
        <f t="shared" si="23"/>
        <v xml:space="preserve">2141264GOBFED 421113       </v>
      </c>
      <c r="B1471" s="71">
        <v>2141264</v>
      </c>
      <c r="C1471" s="71" t="s">
        <v>832</v>
      </c>
      <c r="D1471" s="71" t="s">
        <v>386</v>
      </c>
      <c r="E1471" s="71" t="s">
        <v>623</v>
      </c>
      <c r="F1471" s="71" t="s">
        <v>624</v>
      </c>
      <c r="G1471" s="74">
        <v>66857</v>
      </c>
      <c r="H1471" s="72">
        <v>82.159907000000004</v>
      </c>
      <c r="I1471" s="73">
        <v>5492964.902299</v>
      </c>
      <c r="J1471" s="72">
        <v>84.03741826646035</v>
      </c>
      <c r="K1471" s="73">
        <v>-125524.77074173999</v>
      </c>
      <c r="L1471" s="74">
        <v>0</v>
      </c>
      <c r="M1471" s="73">
        <v>0</v>
      </c>
      <c r="N1471" s="74">
        <v>0</v>
      </c>
      <c r="O1471" s="73">
        <v>0</v>
      </c>
      <c r="P1471" s="74">
        <v>66857</v>
      </c>
      <c r="Q1471" s="73">
        <v>5492964.902299</v>
      </c>
      <c r="R1471" s="71" t="s">
        <v>625</v>
      </c>
      <c r="S1471" s="71">
        <v>7414000005</v>
      </c>
      <c r="AB1471"/>
      <c r="AC1471"/>
    </row>
    <row r="1472" spans="1:29" x14ac:dyDescent="0.25">
      <c r="A1472" t="str">
        <f t="shared" si="23"/>
        <v xml:space="preserve">2141264GOBFED 471107       </v>
      </c>
      <c r="B1472" s="71">
        <v>2141264</v>
      </c>
      <c r="C1472" s="71" t="s">
        <v>832</v>
      </c>
      <c r="D1472" s="71" t="s">
        <v>387</v>
      </c>
      <c r="E1472" s="71" t="s">
        <v>623</v>
      </c>
      <c r="F1472" s="71" t="s">
        <v>624</v>
      </c>
      <c r="G1472" s="74">
        <v>3000</v>
      </c>
      <c r="H1472" s="72">
        <v>314.42</v>
      </c>
      <c r="I1472" s="73">
        <v>943260</v>
      </c>
      <c r="J1472" s="72">
        <v>294.54498000000001</v>
      </c>
      <c r="K1472" s="73">
        <v>59625.06</v>
      </c>
      <c r="L1472" s="74">
        <v>0</v>
      </c>
      <c r="M1472" s="73">
        <v>0</v>
      </c>
      <c r="N1472" s="74">
        <v>0</v>
      </c>
      <c r="O1472" s="73">
        <v>0</v>
      </c>
      <c r="P1472" s="74">
        <v>3000</v>
      </c>
      <c r="Q1472" s="73">
        <v>943260</v>
      </c>
      <c r="R1472" s="71" t="s">
        <v>625</v>
      </c>
      <c r="S1472" s="71">
        <v>7414000005</v>
      </c>
      <c r="AB1472"/>
      <c r="AC1472"/>
    </row>
    <row r="1473" spans="1:29" x14ac:dyDescent="0.25">
      <c r="A1473" t="str">
        <f t="shared" si="23"/>
        <v xml:space="preserve">2141264GOBFED 530731       </v>
      </c>
      <c r="B1473" s="71">
        <v>2141264</v>
      </c>
      <c r="C1473" s="71" t="s">
        <v>832</v>
      </c>
      <c r="D1473" s="71" t="s">
        <v>503</v>
      </c>
      <c r="E1473" s="71" t="s">
        <v>623</v>
      </c>
      <c r="F1473" s="71" t="s">
        <v>624</v>
      </c>
      <c r="G1473" s="74">
        <v>18200</v>
      </c>
      <c r="H1473" s="72">
        <v>43.85</v>
      </c>
      <c r="I1473" s="73">
        <v>798070</v>
      </c>
      <c r="J1473" s="72">
        <v>41.234807142857143</v>
      </c>
      <c r="K1473" s="73">
        <v>47596.51</v>
      </c>
      <c r="L1473" s="74">
        <v>0</v>
      </c>
      <c r="M1473" s="73">
        <v>0</v>
      </c>
      <c r="N1473" s="74">
        <v>0</v>
      </c>
      <c r="O1473" s="73">
        <v>0</v>
      </c>
      <c r="P1473" s="74">
        <v>18200</v>
      </c>
      <c r="Q1473" s="73">
        <v>798070</v>
      </c>
      <c r="R1473" s="71" t="s">
        <v>625</v>
      </c>
      <c r="S1473" s="71">
        <v>7414000005</v>
      </c>
      <c r="AB1473"/>
      <c r="AC1473"/>
    </row>
    <row r="1474" spans="1:29" x14ac:dyDescent="0.25">
      <c r="A1474" t="str">
        <f t="shared" si="23"/>
        <v xml:space="preserve">2141264GRUMA B             </v>
      </c>
      <c r="B1474" s="71">
        <v>2141264</v>
      </c>
      <c r="C1474" s="71" t="s">
        <v>832</v>
      </c>
      <c r="D1474" s="71" t="s">
        <v>419</v>
      </c>
      <c r="E1474" s="71" t="s">
        <v>623</v>
      </c>
      <c r="F1474" s="71" t="s">
        <v>624</v>
      </c>
      <c r="G1474" s="74">
        <v>0</v>
      </c>
      <c r="H1474" s="72">
        <v>0</v>
      </c>
      <c r="I1474" s="73">
        <v>0</v>
      </c>
      <c r="J1474" s="72">
        <v>0</v>
      </c>
      <c r="K1474" s="73">
        <v>0</v>
      </c>
      <c r="L1474" s="74">
        <v>0</v>
      </c>
      <c r="M1474" s="73">
        <v>0</v>
      </c>
      <c r="N1474" s="74">
        <v>0</v>
      </c>
      <c r="O1474" s="73">
        <v>0</v>
      </c>
      <c r="P1474" s="74">
        <v>0</v>
      </c>
      <c r="Q1474" s="73">
        <v>0</v>
      </c>
      <c r="R1474" s="71" t="s">
        <v>625</v>
      </c>
      <c r="S1474" s="71">
        <v>7414000005</v>
      </c>
      <c r="AB1474"/>
      <c r="AC1474"/>
    </row>
    <row r="1475" spans="1:29" ht="21.75" customHeight="1" x14ac:dyDescent="0.25">
      <c r="A1475" t="str">
        <f t="shared" si="23"/>
        <v xml:space="preserve">2141264HERDEZ *            </v>
      </c>
      <c r="B1475" s="71">
        <v>2141264</v>
      </c>
      <c r="C1475" s="71" t="s">
        <v>832</v>
      </c>
      <c r="D1475" s="71" t="s">
        <v>388</v>
      </c>
      <c r="E1475" s="71" t="s">
        <v>623</v>
      </c>
      <c r="F1475" s="71" t="s">
        <v>624</v>
      </c>
      <c r="G1475" s="74">
        <v>1550</v>
      </c>
      <c r="H1475" s="72">
        <v>8532.5</v>
      </c>
      <c r="I1475" s="73">
        <v>13225375</v>
      </c>
      <c r="J1475" s="72">
        <v>5148.3243354838705</v>
      </c>
      <c r="K1475" s="73">
        <v>5245472.28</v>
      </c>
      <c r="L1475" s="74">
        <v>0</v>
      </c>
      <c r="M1475" s="73">
        <v>0</v>
      </c>
      <c r="N1475" s="74">
        <v>0</v>
      </c>
      <c r="O1475" s="73">
        <v>0</v>
      </c>
      <c r="P1475" s="74">
        <v>1550</v>
      </c>
      <c r="Q1475" s="73">
        <v>13225375</v>
      </c>
      <c r="R1475" s="71" t="s">
        <v>625</v>
      </c>
      <c r="S1475" s="71">
        <v>7414000005</v>
      </c>
      <c r="AB1475"/>
      <c r="AC1475"/>
    </row>
    <row r="1476" spans="1:29" x14ac:dyDescent="0.25">
      <c r="A1476" t="str">
        <f t="shared" si="23"/>
        <v xml:space="preserve">2141264IENOVA *            </v>
      </c>
      <c r="B1476" s="71">
        <v>2141264</v>
      </c>
      <c r="C1476" s="71" t="s">
        <v>832</v>
      </c>
      <c r="D1476" s="71" t="s">
        <v>540</v>
      </c>
      <c r="E1476" s="71" t="s">
        <v>623</v>
      </c>
      <c r="F1476" s="71" t="s">
        <v>624</v>
      </c>
      <c r="G1476" s="74">
        <v>22000</v>
      </c>
      <c r="H1476" s="72">
        <v>36.28</v>
      </c>
      <c r="I1476" s="73">
        <v>798160</v>
      </c>
      <c r="J1476" s="72">
        <v>39.126048636363635</v>
      </c>
      <c r="K1476" s="73">
        <v>-62613.07</v>
      </c>
      <c r="L1476" s="74">
        <v>0</v>
      </c>
      <c r="M1476" s="73">
        <v>0</v>
      </c>
      <c r="N1476" s="74">
        <v>0</v>
      </c>
      <c r="O1476" s="73">
        <v>0</v>
      </c>
      <c r="P1476" s="74">
        <v>22000</v>
      </c>
      <c r="Q1476" s="73">
        <v>798160</v>
      </c>
      <c r="R1476" s="71" t="s">
        <v>625</v>
      </c>
      <c r="S1476" s="71">
        <v>7414000005</v>
      </c>
      <c r="AB1476"/>
      <c r="AC1476"/>
    </row>
    <row r="1477" spans="1:29" x14ac:dyDescent="0.25">
      <c r="A1477" t="str">
        <f t="shared" si="23"/>
        <v xml:space="preserve">2141264IVV *               </v>
      </c>
      <c r="B1477" s="71">
        <v>2141264</v>
      </c>
      <c r="C1477" s="71" t="s">
        <v>832</v>
      </c>
      <c r="D1477" s="71" t="s">
        <v>553</v>
      </c>
      <c r="E1477" s="71" t="s">
        <v>623</v>
      </c>
      <c r="F1477" s="71" t="s">
        <v>624</v>
      </c>
      <c r="G1477" s="74">
        <v>2900</v>
      </c>
      <c r="H1477" s="72">
        <v>136.35</v>
      </c>
      <c r="I1477" s="73">
        <v>395415</v>
      </c>
      <c r="J1477" s="72">
        <v>119.04779655172413</v>
      </c>
      <c r="K1477" s="73">
        <v>50176.39</v>
      </c>
      <c r="L1477" s="74">
        <v>0</v>
      </c>
      <c r="M1477" s="73">
        <v>0</v>
      </c>
      <c r="N1477" s="74">
        <v>0</v>
      </c>
      <c r="O1477" s="73">
        <v>0</v>
      </c>
      <c r="P1477" s="74">
        <v>2900</v>
      </c>
      <c r="Q1477" s="73">
        <v>395415</v>
      </c>
      <c r="R1477" s="71" t="s">
        <v>625</v>
      </c>
      <c r="S1477" s="71">
        <v>7414000005</v>
      </c>
      <c r="T1477" s="19"/>
      <c r="AB1477"/>
      <c r="AC1477"/>
    </row>
    <row r="1478" spans="1:29" x14ac:dyDescent="0.25">
      <c r="A1478" t="str">
        <f t="shared" si="23"/>
        <v xml:space="preserve">2141264LACOMER UBC         </v>
      </c>
      <c r="B1478" s="71">
        <v>2141264</v>
      </c>
      <c r="C1478" s="71" t="s">
        <v>832</v>
      </c>
      <c r="D1478" s="71" t="s">
        <v>429</v>
      </c>
      <c r="E1478" s="71" t="s">
        <v>623</v>
      </c>
      <c r="F1478" s="71" t="s">
        <v>624</v>
      </c>
      <c r="G1478" s="74">
        <v>63259</v>
      </c>
      <c r="H1478" s="72">
        <v>98.007834000000003</v>
      </c>
      <c r="I1478" s="73">
        <v>6199877.571006</v>
      </c>
      <c r="J1478" s="72">
        <v>89.805592068469934</v>
      </c>
      <c r="K1478" s="73">
        <v>518865.62234666001</v>
      </c>
      <c r="L1478" s="74">
        <v>0</v>
      </c>
      <c r="M1478" s="73">
        <v>0</v>
      </c>
      <c r="N1478" s="74">
        <v>0</v>
      </c>
      <c r="O1478" s="73">
        <v>0</v>
      </c>
      <c r="P1478" s="74">
        <v>63259</v>
      </c>
      <c r="Q1478" s="73">
        <v>6199877.571006</v>
      </c>
      <c r="R1478" s="71" t="s">
        <v>625</v>
      </c>
      <c r="S1478" s="71">
        <v>7414000005</v>
      </c>
      <c r="AB1478"/>
      <c r="AC1478"/>
    </row>
    <row r="1479" spans="1:29" x14ac:dyDescent="0.25">
      <c r="A1479" t="str">
        <f t="shared" ref="A1479:A1542" si="24">B1477&amp;D1477</f>
        <v xml:space="preserve">2141264LIVEPOL C-1         </v>
      </c>
      <c r="B1479" s="71">
        <v>2141264</v>
      </c>
      <c r="C1479" s="71" t="s">
        <v>832</v>
      </c>
      <c r="D1479" s="71" t="s">
        <v>541</v>
      </c>
      <c r="E1479" s="71" t="s">
        <v>623</v>
      </c>
      <c r="F1479" s="71" t="s">
        <v>624</v>
      </c>
      <c r="G1479" s="74">
        <v>6800</v>
      </c>
      <c r="H1479" s="72">
        <v>156</v>
      </c>
      <c r="I1479" s="73">
        <v>1060800</v>
      </c>
      <c r="J1479" s="72">
        <v>138.83542499999999</v>
      </c>
      <c r="K1479" s="73">
        <v>116719.11</v>
      </c>
      <c r="L1479" s="74">
        <v>0</v>
      </c>
      <c r="M1479" s="73">
        <v>0</v>
      </c>
      <c r="N1479" s="74">
        <v>0</v>
      </c>
      <c r="O1479" s="73">
        <v>0</v>
      </c>
      <c r="P1479" s="74">
        <v>6800</v>
      </c>
      <c r="Q1479" s="73">
        <v>1060800</v>
      </c>
      <c r="R1479" s="71" t="s">
        <v>625</v>
      </c>
      <c r="S1479" s="71">
        <v>7414000005</v>
      </c>
      <c r="T1479" s="19"/>
      <c r="AB1479"/>
      <c r="AC1479"/>
    </row>
    <row r="1480" spans="1:29" x14ac:dyDescent="0.25">
      <c r="A1480" t="str">
        <f t="shared" si="24"/>
        <v xml:space="preserve">2141264PEMEX 13-2          </v>
      </c>
      <c r="B1480" s="71">
        <v>2141264</v>
      </c>
      <c r="C1480" s="71" t="s">
        <v>832</v>
      </c>
      <c r="D1480" s="71" t="s">
        <v>501</v>
      </c>
      <c r="E1480" s="71" t="s">
        <v>623</v>
      </c>
      <c r="F1480" s="71" t="s">
        <v>624</v>
      </c>
      <c r="G1480" s="74">
        <v>6194</v>
      </c>
      <c r="H1480" s="72">
        <v>682.55</v>
      </c>
      <c r="I1480" s="73">
        <v>4227714.7</v>
      </c>
      <c r="J1480" s="72">
        <v>835.07776235066194</v>
      </c>
      <c r="K1480" s="73">
        <v>-944756.96</v>
      </c>
      <c r="L1480" s="74">
        <v>0</v>
      </c>
      <c r="M1480" s="73">
        <v>0</v>
      </c>
      <c r="N1480" s="74">
        <v>0</v>
      </c>
      <c r="O1480" s="73">
        <v>0</v>
      </c>
      <c r="P1480" s="74">
        <v>6194</v>
      </c>
      <c r="Q1480" s="73">
        <v>4227714.7</v>
      </c>
      <c r="R1480" s="71" t="s">
        <v>625</v>
      </c>
      <c r="S1480" s="71">
        <v>7414000005</v>
      </c>
      <c r="AB1480"/>
      <c r="AC1480"/>
    </row>
    <row r="1481" spans="1:29" x14ac:dyDescent="0.25">
      <c r="A1481" t="str">
        <f t="shared" si="24"/>
        <v xml:space="preserve">2141264R A                 </v>
      </c>
      <c r="B1481" s="71">
        <v>2141264</v>
      </c>
      <c r="C1481" s="71" t="s">
        <v>832</v>
      </c>
      <c r="D1481" s="71" t="s">
        <v>389</v>
      </c>
      <c r="E1481" s="71" t="s">
        <v>623</v>
      </c>
      <c r="F1481" s="71" t="s">
        <v>624</v>
      </c>
      <c r="G1481" s="74">
        <v>2407062</v>
      </c>
      <c r="H1481" s="72">
        <v>3.3967719999999999</v>
      </c>
      <c r="I1481" s="73">
        <v>8176240.8038640004</v>
      </c>
      <c r="J1481" s="72">
        <v>3.3083477201667426</v>
      </c>
      <c r="K1481" s="73">
        <v>212842.723864</v>
      </c>
      <c r="L1481" s="74">
        <v>0</v>
      </c>
      <c r="M1481" s="73">
        <v>0</v>
      </c>
      <c r="N1481" s="74">
        <v>0</v>
      </c>
      <c r="O1481" s="73">
        <v>0</v>
      </c>
      <c r="P1481" s="74">
        <v>2407062</v>
      </c>
      <c r="Q1481" s="73">
        <v>8176240.8038640004</v>
      </c>
      <c r="R1481" s="71" t="s">
        <v>625</v>
      </c>
      <c r="S1481" s="71">
        <v>7414000005</v>
      </c>
      <c r="AB1481"/>
      <c r="AC1481"/>
    </row>
    <row r="1482" spans="1:29" x14ac:dyDescent="0.25">
      <c r="A1482" t="str">
        <f t="shared" si="24"/>
        <v xml:space="preserve">2141264SPSM *              </v>
      </c>
      <c r="B1482" s="71">
        <v>2141264</v>
      </c>
      <c r="C1482" s="71" t="s">
        <v>832</v>
      </c>
      <c r="D1482" s="71" t="s">
        <v>500</v>
      </c>
      <c r="E1482" s="71" t="s">
        <v>623</v>
      </c>
      <c r="F1482" s="71" t="s">
        <v>624</v>
      </c>
      <c r="G1482" s="74">
        <v>28000</v>
      </c>
      <c r="H1482" s="72">
        <v>31.41</v>
      </c>
      <c r="I1482" s="73">
        <v>879480</v>
      </c>
      <c r="J1482" s="72">
        <v>32.117416071428572</v>
      </c>
      <c r="K1482" s="73">
        <v>-19807.650000000001</v>
      </c>
      <c r="L1482" s="74">
        <v>0</v>
      </c>
      <c r="M1482" s="73">
        <v>0</v>
      </c>
      <c r="N1482" s="74">
        <v>0</v>
      </c>
      <c r="O1482" s="73">
        <v>0</v>
      </c>
      <c r="P1482" s="74">
        <v>28000</v>
      </c>
      <c r="Q1482" s="73">
        <v>879480</v>
      </c>
      <c r="R1482" s="71" t="s">
        <v>625</v>
      </c>
      <c r="S1482" s="71">
        <v>7414000005</v>
      </c>
      <c r="AB1482"/>
      <c r="AC1482"/>
    </row>
    <row r="1483" spans="1:29" x14ac:dyDescent="0.25">
      <c r="A1483" t="str">
        <f t="shared" si="24"/>
        <v xml:space="preserve">2141264STERGOB ED          </v>
      </c>
      <c r="B1483" s="71">
        <v>2141264</v>
      </c>
      <c r="C1483" s="71" t="s">
        <v>832</v>
      </c>
      <c r="D1483" s="71" t="s">
        <v>391</v>
      </c>
      <c r="E1483" s="71" t="s">
        <v>623</v>
      </c>
      <c r="F1483" s="71" t="s">
        <v>624</v>
      </c>
      <c r="G1483" s="74">
        <v>5030</v>
      </c>
      <c r="H1483" s="72">
        <v>775.69178699999998</v>
      </c>
      <c r="I1483" s="73">
        <v>3901729.6886100001</v>
      </c>
      <c r="J1483" s="72">
        <v>766.69784126000002</v>
      </c>
      <c r="K1483" s="73">
        <v>45239.547072200003</v>
      </c>
      <c r="L1483" s="74">
        <v>0</v>
      </c>
      <c r="M1483" s="73">
        <v>0</v>
      </c>
      <c r="N1483" s="74">
        <v>0</v>
      </c>
      <c r="O1483" s="73">
        <v>0</v>
      </c>
      <c r="P1483" s="74">
        <v>5030</v>
      </c>
      <c r="Q1483" s="73">
        <v>3901729.6886100001</v>
      </c>
      <c r="R1483" s="71" t="s">
        <v>625</v>
      </c>
      <c r="S1483" s="71">
        <v>7414000005</v>
      </c>
      <c r="AB1483"/>
      <c r="AC1483"/>
    </row>
    <row r="1484" spans="1:29" x14ac:dyDescent="0.25">
      <c r="A1484" t="str">
        <f t="shared" si="24"/>
        <v xml:space="preserve">2141264TRAXION A           </v>
      </c>
      <c r="B1484" s="71">
        <v>2141264</v>
      </c>
      <c r="C1484" s="71" t="s">
        <v>832</v>
      </c>
      <c r="D1484" s="71" t="s">
        <v>392</v>
      </c>
      <c r="E1484" s="71" t="s">
        <v>623</v>
      </c>
      <c r="F1484" s="71" t="s">
        <v>624</v>
      </c>
      <c r="G1484" s="74">
        <v>10032</v>
      </c>
      <c r="H1484" s="72">
        <v>747.17843200000004</v>
      </c>
      <c r="I1484" s="73">
        <v>7495694.0298239999</v>
      </c>
      <c r="J1484" s="72">
        <v>723.75155451396529</v>
      </c>
      <c r="K1484" s="73">
        <v>235018.43493990001</v>
      </c>
      <c r="L1484" s="74">
        <v>0</v>
      </c>
      <c r="M1484" s="73">
        <v>0</v>
      </c>
      <c r="N1484" s="74">
        <v>0</v>
      </c>
      <c r="O1484" s="73">
        <v>0</v>
      </c>
      <c r="P1484" s="74">
        <v>10032</v>
      </c>
      <c r="Q1484" s="73">
        <v>7495694.0298239999</v>
      </c>
      <c r="R1484" s="71" t="s">
        <v>625</v>
      </c>
      <c r="S1484" s="71">
        <v>7414000005</v>
      </c>
      <c r="AB1484"/>
      <c r="AC1484"/>
    </row>
    <row r="1485" spans="1:29" x14ac:dyDescent="0.25">
      <c r="A1485" t="str">
        <f t="shared" si="24"/>
        <v xml:space="preserve">2141264UDIBONO 251204      </v>
      </c>
      <c r="B1485" s="71">
        <v>2141264</v>
      </c>
      <c r="C1485" s="71" t="s">
        <v>832</v>
      </c>
      <c r="D1485" s="71" t="s">
        <v>393</v>
      </c>
      <c r="E1485" s="71" t="s">
        <v>623</v>
      </c>
      <c r="F1485" s="71" t="s">
        <v>624</v>
      </c>
      <c r="G1485" s="74">
        <v>1902</v>
      </c>
      <c r="H1485" s="72">
        <v>765.92388300000005</v>
      </c>
      <c r="I1485" s="73">
        <v>1456787.2254659999</v>
      </c>
      <c r="J1485" s="72">
        <v>765.89755263676125</v>
      </c>
      <c r="K1485" s="73">
        <v>50.080350879999997</v>
      </c>
      <c r="L1485" s="74">
        <v>0</v>
      </c>
      <c r="M1485" s="73">
        <v>0</v>
      </c>
      <c r="N1485" s="74">
        <v>0</v>
      </c>
      <c r="O1485" s="73">
        <v>0</v>
      </c>
      <c r="P1485" s="74">
        <v>1902</v>
      </c>
      <c r="Q1485" s="73">
        <v>1456787.2254659999</v>
      </c>
      <c r="R1485" s="71" t="s">
        <v>625</v>
      </c>
      <c r="S1485" s="71">
        <v>7414000005</v>
      </c>
      <c r="AB1485"/>
      <c r="AC1485"/>
    </row>
    <row r="1486" spans="1:29" x14ac:dyDescent="0.25">
      <c r="A1486" t="str">
        <f t="shared" si="24"/>
        <v xml:space="preserve">2141264UDIBONO 261203      </v>
      </c>
      <c r="B1486" s="71">
        <v>2141264</v>
      </c>
      <c r="C1486" s="71" t="s">
        <v>832</v>
      </c>
      <c r="D1486" s="71" t="s">
        <v>394</v>
      </c>
      <c r="E1486" s="71" t="s">
        <v>623</v>
      </c>
      <c r="F1486" s="71" t="s">
        <v>624</v>
      </c>
      <c r="G1486" s="74">
        <v>5656</v>
      </c>
      <c r="H1486" s="72">
        <v>684.88915799999995</v>
      </c>
      <c r="I1486" s="73">
        <v>3873733.0776479999</v>
      </c>
      <c r="J1486" s="72">
        <v>680.55460066909473</v>
      </c>
      <c r="K1486" s="73">
        <v>24516.2562636</v>
      </c>
      <c r="L1486" s="74">
        <v>0</v>
      </c>
      <c r="M1486" s="73">
        <v>0</v>
      </c>
      <c r="N1486" s="74">
        <v>0</v>
      </c>
      <c r="O1486" s="73">
        <v>0</v>
      </c>
      <c r="P1486" s="74">
        <v>5656</v>
      </c>
      <c r="Q1486" s="73">
        <v>3873733.0776479999</v>
      </c>
      <c r="R1486" s="71" t="s">
        <v>625</v>
      </c>
      <c r="S1486" s="71">
        <v>7414000005</v>
      </c>
      <c r="AB1486"/>
      <c r="AC1486"/>
    </row>
    <row r="1487" spans="1:29" x14ac:dyDescent="0.25">
      <c r="A1487" t="str">
        <f t="shared" si="24"/>
        <v xml:space="preserve">2141264UDIBONO 281130      </v>
      </c>
      <c r="B1487" s="71">
        <v>2141264</v>
      </c>
      <c r="C1487" s="71" t="s">
        <v>832</v>
      </c>
      <c r="D1487" s="71" t="s">
        <v>395</v>
      </c>
      <c r="E1487" s="71" t="s">
        <v>623</v>
      </c>
      <c r="F1487" s="71" t="s">
        <v>624</v>
      </c>
      <c r="G1487" s="74">
        <v>3325</v>
      </c>
      <c r="H1487" s="72">
        <v>772.926965</v>
      </c>
      <c r="I1487" s="73">
        <v>2569982.1586250002</v>
      </c>
      <c r="J1487" s="72">
        <v>801.63496955084815</v>
      </c>
      <c r="K1487" s="73">
        <v>-95454.115131569997</v>
      </c>
      <c r="L1487" s="74">
        <v>0</v>
      </c>
      <c r="M1487" s="73">
        <v>0</v>
      </c>
      <c r="N1487" s="74">
        <v>0</v>
      </c>
      <c r="O1487" s="73">
        <v>0</v>
      </c>
      <c r="P1487" s="74">
        <v>3325</v>
      </c>
      <c r="Q1487" s="73">
        <v>2569982.1586250002</v>
      </c>
      <c r="R1487" s="71" t="s">
        <v>625</v>
      </c>
      <c r="S1487" s="71">
        <v>7414000005</v>
      </c>
      <c r="AB1487"/>
      <c r="AC1487"/>
    </row>
    <row r="1488" spans="1:29" x14ac:dyDescent="0.25">
      <c r="A1488" t="str">
        <f t="shared" si="24"/>
        <v xml:space="preserve">2141264UDIBONO 311127      </v>
      </c>
      <c r="B1488" s="71">
        <v>2141264</v>
      </c>
      <c r="C1488" s="71" t="s">
        <v>832</v>
      </c>
      <c r="D1488" s="71" t="s">
        <v>396</v>
      </c>
      <c r="E1488" s="71" t="s">
        <v>623</v>
      </c>
      <c r="F1488" s="71" t="s">
        <v>624</v>
      </c>
      <c r="G1488" s="74">
        <v>3866</v>
      </c>
      <c r="H1488" s="72">
        <v>721.59464000000003</v>
      </c>
      <c r="I1488" s="73">
        <v>2789684.87824</v>
      </c>
      <c r="J1488" s="72">
        <v>757.1144535833057</v>
      </c>
      <c r="K1488" s="73">
        <v>-137319.59931306</v>
      </c>
      <c r="L1488" s="74">
        <v>0</v>
      </c>
      <c r="M1488" s="73">
        <v>0</v>
      </c>
      <c r="N1488" s="74">
        <v>0</v>
      </c>
      <c r="O1488" s="73">
        <v>0</v>
      </c>
      <c r="P1488" s="74">
        <v>3866</v>
      </c>
      <c r="Q1488" s="73">
        <v>2789684.87824</v>
      </c>
      <c r="R1488" s="71" t="s">
        <v>625</v>
      </c>
      <c r="S1488" s="71">
        <v>7414000005</v>
      </c>
      <c r="AB1488"/>
      <c r="AC1488"/>
    </row>
    <row r="1489" spans="1:29" x14ac:dyDescent="0.25">
      <c r="A1489" t="str">
        <f t="shared" si="24"/>
        <v xml:space="preserve">2141264UDIBONO 351122      </v>
      </c>
      <c r="B1489" s="71">
        <v>2141264</v>
      </c>
      <c r="C1489" s="71" t="s">
        <v>832</v>
      </c>
      <c r="D1489" s="71" t="s">
        <v>397</v>
      </c>
      <c r="E1489" s="71" t="s">
        <v>623</v>
      </c>
      <c r="F1489" s="71" t="s">
        <v>624</v>
      </c>
      <c r="G1489" s="74">
        <v>1894</v>
      </c>
      <c r="H1489" s="72">
        <v>635.96311900000001</v>
      </c>
      <c r="I1489" s="73">
        <v>1204514.147386</v>
      </c>
      <c r="J1489" s="72">
        <v>647.93802047999998</v>
      </c>
      <c r="K1489" s="73">
        <v>-22680.46340312</v>
      </c>
      <c r="L1489" s="74">
        <v>0</v>
      </c>
      <c r="M1489" s="73">
        <v>0</v>
      </c>
      <c r="N1489" s="74">
        <v>0</v>
      </c>
      <c r="O1489" s="73">
        <v>0</v>
      </c>
      <c r="P1489" s="74">
        <v>1894</v>
      </c>
      <c r="Q1489" s="73">
        <v>1204514.147386</v>
      </c>
      <c r="R1489" s="71" t="s">
        <v>625</v>
      </c>
      <c r="S1489" s="71">
        <v>7414000005</v>
      </c>
      <c r="AB1489"/>
      <c r="AC1489"/>
    </row>
    <row r="1490" spans="1:29" x14ac:dyDescent="0.25">
      <c r="A1490" t="str">
        <f t="shared" si="24"/>
        <v xml:space="preserve">2141264UDIBONO 401115      </v>
      </c>
      <c r="B1490" s="71">
        <v>2141264</v>
      </c>
      <c r="C1490" s="71" t="s">
        <v>832</v>
      </c>
      <c r="D1490" s="71" t="s">
        <v>398</v>
      </c>
      <c r="E1490" s="71" t="s">
        <v>623</v>
      </c>
      <c r="F1490" s="71" t="s">
        <v>624</v>
      </c>
      <c r="G1490" s="74">
        <v>4441</v>
      </c>
      <c r="H1490" s="72">
        <v>709.36974099999998</v>
      </c>
      <c r="I1490" s="73">
        <v>3150311.019781</v>
      </c>
      <c r="J1490" s="72">
        <v>724.76234885034899</v>
      </c>
      <c r="K1490" s="73">
        <v>-68358.571463400003</v>
      </c>
      <c r="L1490" s="74">
        <v>0</v>
      </c>
      <c r="M1490" s="73">
        <v>0</v>
      </c>
      <c r="N1490" s="74">
        <v>0</v>
      </c>
      <c r="O1490" s="73">
        <v>0</v>
      </c>
      <c r="P1490" s="74">
        <v>4441</v>
      </c>
      <c r="Q1490" s="73">
        <v>3150311.019781</v>
      </c>
      <c r="R1490" s="71" t="s">
        <v>625</v>
      </c>
      <c r="S1490" s="71">
        <v>7414000005</v>
      </c>
      <c r="AB1490"/>
      <c r="AC1490"/>
    </row>
    <row r="1491" spans="1:29" x14ac:dyDescent="0.25">
      <c r="A1491" t="str">
        <f t="shared" si="24"/>
        <v xml:space="preserve">2141264UDIBONO 431112      </v>
      </c>
      <c r="B1491" s="71">
        <v>2141264</v>
      </c>
      <c r="C1491" s="71" t="s">
        <v>832</v>
      </c>
      <c r="D1491" s="71" t="s">
        <v>399</v>
      </c>
      <c r="E1491" s="71" t="s">
        <v>623</v>
      </c>
      <c r="F1491" s="71" t="s">
        <v>624</v>
      </c>
      <c r="G1491" s="74">
        <v>7642</v>
      </c>
      <c r="H1491" s="72">
        <v>694.41118700000004</v>
      </c>
      <c r="I1491" s="73">
        <v>5306690.2910540001</v>
      </c>
      <c r="J1491" s="72">
        <v>725.7674862182439</v>
      </c>
      <c r="K1491" s="73">
        <v>-239624.83862582</v>
      </c>
      <c r="L1491" s="74">
        <v>0</v>
      </c>
      <c r="M1491" s="73">
        <v>0</v>
      </c>
      <c r="N1491" s="74">
        <v>0</v>
      </c>
      <c r="O1491" s="73">
        <v>0</v>
      </c>
      <c r="P1491" s="74">
        <v>7642</v>
      </c>
      <c r="Q1491" s="73">
        <v>5306690.2910540001</v>
      </c>
      <c r="R1491" s="71" t="s">
        <v>625</v>
      </c>
      <c r="S1491" s="71">
        <v>7414000005</v>
      </c>
      <c r="AB1491"/>
      <c r="AC1491"/>
    </row>
    <row r="1492" spans="1:29" x14ac:dyDescent="0.25">
      <c r="A1492" t="str">
        <f t="shared" si="24"/>
        <v xml:space="preserve">2141264UDIBONO 461108      </v>
      </c>
      <c r="B1492" s="71">
        <v>2141264</v>
      </c>
      <c r="C1492" s="71" t="s">
        <v>832</v>
      </c>
      <c r="D1492" s="71" t="s">
        <v>400</v>
      </c>
      <c r="E1492" s="71" t="s">
        <v>623</v>
      </c>
      <c r="F1492" s="71" t="s">
        <v>624</v>
      </c>
      <c r="G1492" s="74">
        <v>22000</v>
      </c>
      <c r="H1492" s="72">
        <v>58.67</v>
      </c>
      <c r="I1492" s="73">
        <v>1290740</v>
      </c>
      <c r="J1492" s="72">
        <v>59.69390772727273</v>
      </c>
      <c r="K1492" s="73">
        <v>-22525.97</v>
      </c>
      <c r="L1492" s="74">
        <v>0</v>
      </c>
      <c r="M1492" s="73">
        <v>0</v>
      </c>
      <c r="N1492" s="74">
        <v>0</v>
      </c>
      <c r="O1492" s="73">
        <v>0</v>
      </c>
      <c r="P1492" s="74">
        <v>22000</v>
      </c>
      <c r="Q1492" s="73">
        <v>1290740</v>
      </c>
      <c r="R1492" s="71" t="s">
        <v>625</v>
      </c>
      <c r="S1492" s="71">
        <v>7414000005</v>
      </c>
      <c r="AB1492"/>
      <c r="AC1492"/>
    </row>
    <row r="1493" spans="1:29" x14ac:dyDescent="0.25">
      <c r="A1493" t="str">
        <f t="shared" si="24"/>
        <v xml:space="preserve">2141264UDIBONO 501103      </v>
      </c>
      <c r="B1493" s="71">
        <v>2141264</v>
      </c>
      <c r="C1493" s="71" t="s">
        <v>832</v>
      </c>
      <c r="D1493" s="71" t="s">
        <v>401</v>
      </c>
      <c r="E1493" s="71" t="s">
        <v>623</v>
      </c>
      <c r="F1493" s="71" t="s">
        <v>624</v>
      </c>
      <c r="G1493" s="74">
        <v>3440</v>
      </c>
      <c r="H1493" s="72">
        <v>1090</v>
      </c>
      <c r="I1493" s="73">
        <v>3749600</v>
      </c>
      <c r="J1493" s="72">
        <v>1086.9790523255815</v>
      </c>
      <c r="K1493" s="73">
        <v>10392.06</v>
      </c>
      <c r="L1493" s="74">
        <v>0</v>
      </c>
      <c r="M1493" s="73">
        <v>0</v>
      </c>
      <c r="N1493" s="74">
        <v>0</v>
      </c>
      <c r="O1493" s="73">
        <v>0</v>
      </c>
      <c r="P1493" s="74">
        <v>3440</v>
      </c>
      <c r="Q1493" s="73">
        <v>3749600</v>
      </c>
      <c r="R1493" s="71" t="s">
        <v>625</v>
      </c>
      <c r="S1493" s="71">
        <v>7414000005</v>
      </c>
      <c r="AB1493"/>
      <c r="AC1493"/>
    </row>
    <row r="1494" spans="1:29" x14ac:dyDescent="0.25">
      <c r="A1494" t="str">
        <f t="shared" si="24"/>
        <v xml:space="preserve">2141264VESTA *             </v>
      </c>
      <c r="B1494" s="71">
        <v>2141264</v>
      </c>
      <c r="C1494" s="71" t="s">
        <v>832</v>
      </c>
      <c r="D1494" s="71" t="s">
        <v>403</v>
      </c>
      <c r="E1494" s="71" t="s">
        <v>623</v>
      </c>
      <c r="F1494" s="71" t="s">
        <v>624</v>
      </c>
      <c r="G1494" s="74">
        <v>51500</v>
      </c>
      <c r="H1494" s="72">
        <v>65.260000000000005</v>
      </c>
      <c r="I1494" s="73">
        <v>3360890</v>
      </c>
      <c r="J1494" s="72">
        <v>69.374553203883494</v>
      </c>
      <c r="K1494" s="73">
        <v>-211899.49</v>
      </c>
      <c r="L1494" s="74">
        <v>0</v>
      </c>
      <c r="M1494" s="73">
        <v>0</v>
      </c>
      <c r="N1494" s="74">
        <v>0</v>
      </c>
      <c r="O1494" s="73">
        <v>0</v>
      </c>
      <c r="P1494" s="74">
        <v>51500</v>
      </c>
      <c r="Q1494" s="73">
        <v>3360890</v>
      </c>
      <c r="R1494" s="71" t="s">
        <v>625</v>
      </c>
      <c r="S1494" s="71">
        <v>7414000005</v>
      </c>
      <c r="AB1494"/>
      <c r="AC1494"/>
    </row>
    <row r="1495" spans="1:29" x14ac:dyDescent="0.25">
      <c r="A1495" t="str">
        <f t="shared" si="24"/>
        <v xml:space="preserve">2141264VGK *               </v>
      </c>
      <c r="B1495" s="71">
        <v>420310</v>
      </c>
      <c r="C1495" s="71" t="s">
        <v>833</v>
      </c>
      <c r="D1495" s="71" t="s">
        <v>570</v>
      </c>
      <c r="E1495" s="71" t="s">
        <v>623</v>
      </c>
      <c r="F1495" s="71" t="s">
        <v>624</v>
      </c>
      <c r="G1495" s="74">
        <v>500000</v>
      </c>
      <c r="H1495" s="72">
        <v>9.6141520000000007</v>
      </c>
      <c r="I1495" s="73">
        <v>4807076</v>
      </c>
      <c r="J1495" s="72">
        <v>9.0305956599999995</v>
      </c>
      <c r="K1495" s="73">
        <v>291778.17</v>
      </c>
      <c r="L1495" s="74">
        <v>0</v>
      </c>
      <c r="M1495" s="73">
        <v>0</v>
      </c>
      <c r="N1495" s="74">
        <v>0</v>
      </c>
      <c r="O1495" s="73">
        <v>0</v>
      </c>
      <c r="P1495" s="74">
        <v>500000</v>
      </c>
      <c r="Q1495" s="73">
        <v>4807076</v>
      </c>
      <c r="R1495" s="71" t="s">
        <v>625</v>
      </c>
      <c r="S1495" s="71">
        <v>7414000005</v>
      </c>
      <c r="AB1495"/>
      <c r="AC1495"/>
    </row>
    <row r="1496" spans="1:29" x14ac:dyDescent="0.25">
      <c r="A1496" t="str">
        <f t="shared" si="24"/>
        <v xml:space="preserve">2141264WALMEX *            </v>
      </c>
      <c r="B1496" s="71">
        <v>420310</v>
      </c>
      <c r="C1496" s="71" t="s">
        <v>833</v>
      </c>
      <c r="D1496" s="71" t="s">
        <v>363</v>
      </c>
      <c r="E1496" s="71" t="s">
        <v>623</v>
      </c>
      <c r="F1496" s="71" t="s">
        <v>624</v>
      </c>
      <c r="G1496" s="74">
        <v>31388</v>
      </c>
      <c r="H1496" s="72">
        <v>9.4935880000000008</v>
      </c>
      <c r="I1496" s="73">
        <v>297984.74014399998</v>
      </c>
      <c r="J1496" s="72">
        <v>8.2405490399999994</v>
      </c>
      <c r="K1496" s="73">
        <v>39330.386876479999</v>
      </c>
      <c r="L1496" s="74">
        <v>0</v>
      </c>
      <c r="M1496" s="73">
        <v>0</v>
      </c>
      <c r="N1496" s="74">
        <v>0</v>
      </c>
      <c r="O1496" s="73">
        <v>0</v>
      </c>
      <c r="P1496" s="74">
        <v>31388</v>
      </c>
      <c r="Q1496" s="73">
        <v>297984.74014399998</v>
      </c>
      <c r="R1496" s="71" t="s">
        <v>625</v>
      </c>
      <c r="S1496" s="71">
        <v>7414000005</v>
      </c>
      <c r="AB1496"/>
      <c r="AC1496"/>
    </row>
    <row r="1497" spans="1:29" x14ac:dyDescent="0.25">
      <c r="A1497" t="str">
        <f t="shared" si="24"/>
        <v xml:space="preserve">420310CETES 240822        </v>
      </c>
      <c r="B1497" s="71">
        <v>420310</v>
      </c>
      <c r="C1497" s="71" t="s">
        <v>833</v>
      </c>
      <c r="D1497" s="71" t="s">
        <v>409</v>
      </c>
      <c r="E1497" s="71" t="s">
        <v>623</v>
      </c>
      <c r="F1497" s="71" t="s">
        <v>624</v>
      </c>
      <c r="G1497" s="74">
        <v>152677</v>
      </c>
      <c r="H1497" s="72">
        <v>9.3381629999999998</v>
      </c>
      <c r="I1497" s="73">
        <v>1425722.7123509999</v>
      </c>
      <c r="J1497" s="72">
        <v>8.320664959323409</v>
      </c>
      <c r="K1497" s="73">
        <v>155348.54835637999</v>
      </c>
      <c r="L1497" s="74">
        <v>0</v>
      </c>
      <c r="M1497" s="73">
        <v>0</v>
      </c>
      <c r="N1497" s="74">
        <v>0</v>
      </c>
      <c r="O1497" s="73">
        <v>0</v>
      </c>
      <c r="P1497" s="74">
        <v>152677</v>
      </c>
      <c r="Q1497" s="73">
        <v>1425722.7123509999</v>
      </c>
      <c r="R1497" s="71" t="s">
        <v>625</v>
      </c>
      <c r="S1497" s="71">
        <v>7414000005</v>
      </c>
      <c r="AB1497"/>
      <c r="AC1497"/>
    </row>
    <row r="1498" spans="1:29" x14ac:dyDescent="0.25">
      <c r="A1498" t="str">
        <f t="shared" si="24"/>
        <v xml:space="preserve">420310CETES 241003        </v>
      </c>
      <c r="B1498" s="71">
        <v>420310</v>
      </c>
      <c r="C1498" s="71" t="s">
        <v>833</v>
      </c>
      <c r="D1498" s="71" t="s">
        <v>364</v>
      </c>
      <c r="E1498" s="71" t="s">
        <v>623</v>
      </c>
      <c r="F1498" s="71" t="s">
        <v>624</v>
      </c>
      <c r="G1498" s="74">
        <v>156950</v>
      </c>
      <c r="H1498" s="72">
        <v>9.190137</v>
      </c>
      <c r="I1498" s="73">
        <v>1442392.0021500001</v>
      </c>
      <c r="J1498" s="72">
        <v>8.2168121392634603</v>
      </c>
      <c r="K1498" s="73">
        <v>152763.3368926</v>
      </c>
      <c r="L1498" s="74">
        <v>0</v>
      </c>
      <c r="M1498" s="73">
        <v>0</v>
      </c>
      <c r="N1498" s="74">
        <v>0</v>
      </c>
      <c r="O1498" s="73">
        <v>0</v>
      </c>
      <c r="P1498" s="74">
        <v>156950</v>
      </c>
      <c r="Q1498" s="73">
        <v>1442392.0021500001</v>
      </c>
      <c r="R1498" s="71" t="s">
        <v>625</v>
      </c>
      <c r="S1498" s="71">
        <v>7414000005</v>
      </c>
      <c r="AB1498"/>
      <c r="AC1498"/>
    </row>
    <row r="1499" spans="1:29" x14ac:dyDescent="0.25">
      <c r="A1499" t="str">
        <f t="shared" si="24"/>
        <v xml:space="preserve">420310CETES 241128        </v>
      </c>
      <c r="B1499" s="71">
        <v>420310</v>
      </c>
      <c r="C1499" s="71" t="s">
        <v>833</v>
      </c>
      <c r="D1499" s="71" t="s">
        <v>649</v>
      </c>
      <c r="E1499" s="71" t="s">
        <v>623</v>
      </c>
      <c r="F1499" s="71" t="s">
        <v>624</v>
      </c>
      <c r="G1499" s="74">
        <v>34040</v>
      </c>
      <c r="H1499" s="72">
        <v>9.0112480000000001</v>
      </c>
      <c r="I1499" s="73">
        <v>306742.88192000001</v>
      </c>
      <c r="J1499" s="72">
        <v>8.9969798000000001</v>
      </c>
      <c r="K1499" s="73">
        <v>485.689528</v>
      </c>
      <c r="L1499" s="74">
        <v>0</v>
      </c>
      <c r="M1499" s="73">
        <v>0</v>
      </c>
      <c r="N1499" s="74">
        <v>0</v>
      </c>
      <c r="O1499" s="73">
        <v>0</v>
      </c>
      <c r="P1499" s="74">
        <v>34040</v>
      </c>
      <c r="Q1499" s="73">
        <v>306742.88192000001</v>
      </c>
      <c r="R1499" s="71" t="s">
        <v>625</v>
      </c>
      <c r="S1499" s="71">
        <v>7414000005</v>
      </c>
      <c r="AB1499"/>
      <c r="AC1499"/>
    </row>
    <row r="1500" spans="1:29" x14ac:dyDescent="0.25">
      <c r="A1500" t="str">
        <f t="shared" si="24"/>
        <v xml:space="preserve">420310CETES 250123        </v>
      </c>
      <c r="B1500" s="71">
        <v>420310</v>
      </c>
      <c r="C1500" s="71" t="s">
        <v>833</v>
      </c>
      <c r="D1500" s="71" t="s">
        <v>613</v>
      </c>
      <c r="E1500" s="71" t="s">
        <v>623</v>
      </c>
      <c r="F1500" s="71" t="s">
        <v>624</v>
      </c>
      <c r="G1500" s="74">
        <v>64300</v>
      </c>
      <c r="H1500" s="72">
        <v>8.2580650000000002</v>
      </c>
      <c r="I1500" s="73">
        <v>530993.57949999999</v>
      </c>
      <c r="J1500" s="72">
        <v>8.2501711100000001</v>
      </c>
      <c r="K1500" s="73">
        <v>507.57712700000002</v>
      </c>
      <c r="L1500" s="74">
        <v>0</v>
      </c>
      <c r="M1500" s="73">
        <v>0</v>
      </c>
      <c r="N1500" s="74">
        <v>0</v>
      </c>
      <c r="O1500" s="73">
        <v>0</v>
      </c>
      <c r="P1500" s="74">
        <v>64300</v>
      </c>
      <c r="Q1500" s="73">
        <v>530993.57949999999</v>
      </c>
      <c r="R1500" s="71" t="s">
        <v>625</v>
      </c>
      <c r="S1500" s="71">
        <v>7414000005</v>
      </c>
      <c r="AB1500"/>
      <c r="AC1500"/>
    </row>
    <row r="1501" spans="1:29" x14ac:dyDescent="0.25">
      <c r="A1501" t="str">
        <f t="shared" si="24"/>
        <v xml:space="preserve">420310CETES 250403        </v>
      </c>
      <c r="B1501" s="71">
        <v>420310</v>
      </c>
      <c r="C1501" s="71" t="s">
        <v>833</v>
      </c>
      <c r="D1501" s="71" t="s">
        <v>419</v>
      </c>
      <c r="E1501" s="71" t="s">
        <v>623</v>
      </c>
      <c r="F1501" s="71" t="s">
        <v>624</v>
      </c>
      <c r="G1501" s="74">
        <v>0</v>
      </c>
      <c r="H1501" s="72">
        <v>0</v>
      </c>
      <c r="I1501" s="73">
        <v>0</v>
      </c>
      <c r="J1501" s="72">
        <v>0</v>
      </c>
      <c r="K1501" s="73">
        <v>0</v>
      </c>
      <c r="L1501" s="74">
        <v>0</v>
      </c>
      <c r="M1501" s="73">
        <v>0</v>
      </c>
      <c r="N1501" s="74">
        <v>0</v>
      </c>
      <c r="O1501" s="73">
        <v>0</v>
      </c>
      <c r="P1501" s="74">
        <v>0</v>
      </c>
      <c r="Q1501" s="73">
        <v>0</v>
      </c>
      <c r="R1501" s="71" t="s">
        <v>625</v>
      </c>
      <c r="S1501" s="71">
        <v>7414000005</v>
      </c>
      <c r="AB1501"/>
      <c r="AC1501"/>
    </row>
    <row r="1502" spans="1:29" x14ac:dyDescent="0.25">
      <c r="A1502" t="str">
        <f t="shared" si="24"/>
        <v xml:space="preserve">420310CETES 260219        </v>
      </c>
      <c r="B1502" s="71">
        <v>420310</v>
      </c>
      <c r="C1502" s="71" t="s">
        <v>833</v>
      </c>
      <c r="D1502" s="71" t="s">
        <v>459</v>
      </c>
      <c r="E1502" s="71" t="s">
        <v>623</v>
      </c>
      <c r="F1502" s="71" t="s">
        <v>624</v>
      </c>
      <c r="G1502" s="74">
        <v>2030000</v>
      </c>
      <c r="H1502" s="72">
        <v>4.5848760000000004</v>
      </c>
      <c r="I1502" s="73">
        <v>9307298.2799999993</v>
      </c>
      <c r="J1502" s="72">
        <v>3.9648600394088671</v>
      </c>
      <c r="K1502" s="73">
        <v>1717120</v>
      </c>
      <c r="L1502" s="74">
        <v>-100000</v>
      </c>
      <c r="M1502" s="73">
        <v>-458487.6</v>
      </c>
      <c r="N1502" s="74">
        <v>0</v>
      </c>
      <c r="O1502" s="73">
        <v>0</v>
      </c>
      <c r="P1502" s="74">
        <v>1930000</v>
      </c>
      <c r="Q1502" s="73">
        <v>8848810.6799999997</v>
      </c>
      <c r="R1502" s="71" t="s">
        <v>625</v>
      </c>
      <c r="S1502" s="71">
        <v>7414000005</v>
      </c>
      <c r="AB1502"/>
      <c r="AC1502"/>
    </row>
    <row r="1503" spans="1:29" x14ac:dyDescent="0.25">
      <c r="A1503" t="str">
        <f t="shared" si="24"/>
        <v xml:space="preserve">420310IENOVA *            </v>
      </c>
      <c r="B1503" s="71">
        <v>420310</v>
      </c>
      <c r="C1503" s="71" t="s">
        <v>833</v>
      </c>
      <c r="D1503" s="71" t="s">
        <v>389</v>
      </c>
      <c r="E1503" s="71" t="s">
        <v>623</v>
      </c>
      <c r="F1503" s="71" t="s">
        <v>624</v>
      </c>
      <c r="G1503" s="74">
        <v>3551953</v>
      </c>
      <c r="H1503" s="72">
        <v>3.3967719999999999</v>
      </c>
      <c r="I1503" s="73">
        <v>12065174.495716</v>
      </c>
      <c r="J1503" s="72">
        <v>3.2156814546814103</v>
      </c>
      <c r="K1503" s="73">
        <v>643225.10571599996</v>
      </c>
      <c r="L1503" s="74">
        <v>0</v>
      </c>
      <c r="M1503" s="73">
        <v>0</v>
      </c>
      <c r="N1503" s="74">
        <v>0</v>
      </c>
      <c r="O1503" s="73">
        <v>0</v>
      </c>
      <c r="P1503" s="74">
        <v>3551953</v>
      </c>
      <c r="Q1503" s="73">
        <v>12065174.495716</v>
      </c>
      <c r="R1503" s="71" t="s">
        <v>625</v>
      </c>
      <c r="S1503" s="71">
        <v>7414000005</v>
      </c>
      <c r="AB1503"/>
      <c r="AC1503"/>
    </row>
    <row r="1504" spans="1:29" x14ac:dyDescent="0.25">
      <c r="A1504" t="str">
        <f t="shared" si="24"/>
        <v xml:space="preserve">420310STER-OP ED          </v>
      </c>
      <c r="B1504" s="71">
        <v>536741</v>
      </c>
      <c r="C1504" s="71" t="s">
        <v>834</v>
      </c>
      <c r="D1504" s="71" t="s">
        <v>591</v>
      </c>
      <c r="E1504" s="71" t="s">
        <v>623</v>
      </c>
      <c r="F1504" s="71" t="s">
        <v>624</v>
      </c>
      <c r="G1504" s="74">
        <v>4000</v>
      </c>
      <c r="H1504" s="72">
        <v>9.9999999999999995E-7</v>
      </c>
      <c r="I1504" s="73">
        <v>4.0000000000000001E-3</v>
      </c>
      <c r="J1504" s="72">
        <v>0.87</v>
      </c>
      <c r="K1504" s="73">
        <v>-3479.9960000000001</v>
      </c>
      <c r="L1504" s="74">
        <v>0</v>
      </c>
      <c r="M1504" s="73">
        <v>0</v>
      </c>
      <c r="N1504" s="74">
        <v>0</v>
      </c>
      <c r="O1504" s="73">
        <v>0</v>
      </c>
      <c r="P1504" s="74">
        <v>4000</v>
      </c>
      <c r="Q1504" s="73">
        <v>4.0000000000000001E-3</v>
      </c>
      <c r="R1504" s="71" t="s">
        <v>625</v>
      </c>
      <c r="S1504" s="71">
        <v>7414000005</v>
      </c>
      <c r="AB1504"/>
      <c r="AC1504"/>
    </row>
    <row r="1505" spans="1:29" x14ac:dyDescent="0.25">
      <c r="A1505" t="str">
        <f t="shared" si="24"/>
        <v xml:space="preserve">420310STERGOB ED          </v>
      </c>
      <c r="B1505" s="71">
        <v>536741</v>
      </c>
      <c r="C1505" s="71" t="s">
        <v>834</v>
      </c>
      <c r="D1505" s="71" t="s">
        <v>592</v>
      </c>
      <c r="E1505" s="71" t="s">
        <v>623</v>
      </c>
      <c r="F1505" s="71" t="s">
        <v>624</v>
      </c>
      <c r="G1505" s="74">
        <v>67</v>
      </c>
      <c r="H1505" s="72">
        <v>55.2</v>
      </c>
      <c r="I1505" s="73">
        <v>3698.4</v>
      </c>
      <c r="J1505" s="72">
        <v>0</v>
      </c>
      <c r="K1505" s="73">
        <v>3698.4</v>
      </c>
      <c r="L1505" s="74">
        <v>0</v>
      </c>
      <c r="M1505" s="73">
        <v>0</v>
      </c>
      <c r="N1505" s="74">
        <v>0</v>
      </c>
      <c r="O1505" s="73">
        <v>0</v>
      </c>
      <c r="P1505" s="74">
        <v>67</v>
      </c>
      <c r="Q1505" s="73">
        <v>3698.4</v>
      </c>
      <c r="R1505" s="71" t="s">
        <v>625</v>
      </c>
      <c r="S1505" s="71">
        <v>7414000005</v>
      </c>
      <c r="AB1505"/>
      <c r="AC1505"/>
    </row>
    <row r="1506" spans="1:29" x14ac:dyDescent="0.25">
      <c r="A1506" t="str">
        <f t="shared" si="24"/>
        <v xml:space="preserve">536741ABACOGF A           </v>
      </c>
      <c r="B1506" s="71">
        <v>536741</v>
      </c>
      <c r="C1506" s="71" t="s">
        <v>834</v>
      </c>
      <c r="D1506" s="71" t="s">
        <v>593</v>
      </c>
      <c r="E1506" s="71" t="s">
        <v>623</v>
      </c>
      <c r="F1506" s="71" t="s">
        <v>624</v>
      </c>
      <c r="G1506" s="74">
        <v>75420</v>
      </c>
      <c r="H1506" s="72">
        <v>162</v>
      </c>
      <c r="I1506" s="73">
        <v>12218040</v>
      </c>
      <c r="J1506" s="72">
        <v>42.333333333333336</v>
      </c>
      <c r="K1506" s="73">
        <v>9025260</v>
      </c>
      <c r="L1506" s="74">
        <v>0</v>
      </c>
      <c r="M1506" s="73">
        <v>0</v>
      </c>
      <c r="N1506" s="74">
        <v>0</v>
      </c>
      <c r="O1506" s="73">
        <v>0</v>
      </c>
      <c r="P1506" s="74">
        <v>75420</v>
      </c>
      <c r="Q1506" s="73">
        <v>12218040</v>
      </c>
      <c r="R1506" s="71" t="s">
        <v>625</v>
      </c>
      <c r="S1506" s="71">
        <v>7414000005</v>
      </c>
      <c r="AB1506"/>
      <c r="AC1506"/>
    </row>
    <row r="1507" spans="1:29" x14ac:dyDescent="0.25">
      <c r="A1507" t="str">
        <f t="shared" si="24"/>
        <v xml:space="preserve">536741CABLE CPO           </v>
      </c>
      <c r="B1507" s="71">
        <v>536741</v>
      </c>
      <c r="C1507" s="71" t="s">
        <v>834</v>
      </c>
      <c r="D1507" s="71" t="s">
        <v>412</v>
      </c>
      <c r="E1507" s="71" t="s">
        <v>623</v>
      </c>
      <c r="F1507" s="71" t="s">
        <v>624</v>
      </c>
      <c r="G1507" s="74">
        <v>154874</v>
      </c>
      <c r="H1507" s="72">
        <v>3.137273</v>
      </c>
      <c r="I1507" s="73">
        <v>485882.01860200003</v>
      </c>
      <c r="J1507" s="72">
        <v>3.07793315856761</v>
      </c>
      <c r="K1507" s="73">
        <v>9190.1986020000004</v>
      </c>
      <c r="L1507" s="74">
        <v>0</v>
      </c>
      <c r="M1507" s="73">
        <v>0</v>
      </c>
      <c r="N1507" s="74">
        <v>0</v>
      </c>
      <c r="O1507" s="73">
        <v>0</v>
      </c>
      <c r="P1507" s="74">
        <v>154874</v>
      </c>
      <c r="Q1507" s="73">
        <v>485882.01860200003</v>
      </c>
      <c r="R1507" s="71" t="s">
        <v>625</v>
      </c>
      <c r="S1507" s="71">
        <v>7414000005</v>
      </c>
      <c r="AB1507"/>
      <c r="AC1507"/>
    </row>
    <row r="1508" spans="1:29" x14ac:dyDescent="0.25">
      <c r="A1508" t="str">
        <f t="shared" si="24"/>
        <v xml:space="preserve">536741FEMSA UB            </v>
      </c>
      <c r="B1508" s="71">
        <v>536741</v>
      </c>
      <c r="C1508" s="71" t="s">
        <v>834</v>
      </c>
      <c r="D1508" s="71" t="s">
        <v>594</v>
      </c>
      <c r="E1508" s="71" t="s">
        <v>623</v>
      </c>
      <c r="F1508" s="71" t="s">
        <v>624</v>
      </c>
      <c r="G1508" s="74">
        <v>1042</v>
      </c>
      <c r="H1508" s="72">
        <v>9.9999999999999995E-7</v>
      </c>
      <c r="I1508" s="73">
        <v>1.042E-3</v>
      </c>
      <c r="J1508" s="72">
        <v>0.96</v>
      </c>
      <c r="K1508" s="73">
        <v>-1000.318958</v>
      </c>
      <c r="L1508" s="74">
        <v>0</v>
      </c>
      <c r="M1508" s="73">
        <v>0</v>
      </c>
      <c r="N1508" s="74">
        <v>0</v>
      </c>
      <c r="O1508" s="73">
        <v>0</v>
      </c>
      <c r="P1508" s="74">
        <v>1042</v>
      </c>
      <c r="Q1508" s="73">
        <v>1.042E-3</v>
      </c>
      <c r="R1508" s="71" t="s">
        <v>625</v>
      </c>
      <c r="S1508" s="71">
        <v>7414000005</v>
      </c>
      <c r="AB1508"/>
      <c r="AC1508"/>
    </row>
    <row r="1509" spans="1:29" x14ac:dyDescent="0.25">
      <c r="A1509" t="str">
        <f t="shared" si="24"/>
        <v xml:space="preserve">536741STERGOB B0          </v>
      </c>
      <c r="B1509" s="71">
        <v>541079</v>
      </c>
      <c r="C1509" s="71" t="s">
        <v>835</v>
      </c>
      <c r="D1509" s="71" t="s">
        <v>357</v>
      </c>
      <c r="E1509" s="71" t="s">
        <v>623</v>
      </c>
      <c r="F1509" s="71" t="s">
        <v>624</v>
      </c>
      <c r="G1509" s="74">
        <v>10</v>
      </c>
      <c r="H1509" s="72">
        <v>168.64</v>
      </c>
      <c r="I1509" s="73">
        <v>1686.4</v>
      </c>
      <c r="J1509" s="72">
        <v>182.41300000000001</v>
      </c>
      <c r="K1509" s="73">
        <v>-137.72999999999999</v>
      </c>
      <c r="L1509" s="74">
        <v>0</v>
      </c>
      <c r="M1509" s="73">
        <v>0</v>
      </c>
      <c r="N1509" s="74">
        <v>0</v>
      </c>
      <c r="O1509" s="73">
        <v>0</v>
      </c>
      <c r="P1509" s="74">
        <v>10</v>
      </c>
      <c r="Q1509" s="73">
        <v>1686.4</v>
      </c>
      <c r="R1509" s="71" t="s">
        <v>625</v>
      </c>
      <c r="S1509" s="71">
        <v>7414000005</v>
      </c>
      <c r="AB1509"/>
      <c r="AC1509"/>
    </row>
    <row r="1510" spans="1:29" x14ac:dyDescent="0.25">
      <c r="A1510" t="str">
        <f t="shared" si="24"/>
        <v xml:space="preserve">536741VIDEO *             </v>
      </c>
      <c r="B1510" s="71">
        <v>541079</v>
      </c>
      <c r="C1510" s="71" t="s">
        <v>835</v>
      </c>
      <c r="D1510" s="71" t="s">
        <v>617</v>
      </c>
      <c r="E1510" s="71" t="s">
        <v>623</v>
      </c>
      <c r="F1510" s="71" t="s">
        <v>624</v>
      </c>
      <c r="G1510" s="74">
        <v>31</v>
      </c>
      <c r="H1510" s="72">
        <v>11.86</v>
      </c>
      <c r="I1510" s="73">
        <v>367.66</v>
      </c>
      <c r="J1510" s="72">
        <v>12.180645161290322</v>
      </c>
      <c r="K1510" s="73">
        <v>-9.94</v>
      </c>
      <c r="L1510" s="74">
        <v>0</v>
      </c>
      <c r="M1510" s="73">
        <v>0</v>
      </c>
      <c r="N1510" s="74">
        <v>0</v>
      </c>
      <c r="O1510" s="73">
        <v>0</v>
      </c>
      <c r="P1510" s="74">
        <v>31</v>
      </c>
      <c r="Q1510" s="73">
        <v>367.66</v>
      </c>
      <c r="R1510" s="71" t="s">
        <v>625</v>
      </c>
      <c r="S1510" s="71">
        <v>7414000005</v>
      </c>
      <c r="AB1510"/>
      <c r="AC1510"/>
    </row>
    <row r="1511" spans="1:29" x14ac:dyDescent="0.25">
      <c r="A1511" t="str">
        <f t="shared" si="24"/>
        <v xml:space="preserve">541079AC *                </v>
      </c>
      <c r="B1511" s="71">
        <v>541079</v>
      </c>
      <c r="C1511" s="71" t="s">
        <v>835</v>
      </c>
      <c r="D1511" s="71" t="s">
        <v>359</v>
      </c>
      <c r="E1511" s="71" t="s">
        <v>623</v>
      </c>
      <c r="F1511" s="71" t="s">
        <v>624</v>
      </c>
      <c r="G1511" s="74">
        <v>27</v>
      </c>
      <c r="H1511" s="72">
        <v>73.37</v>
      </c>
      <c r="I1511" s="73">
        <v>1980.99</v>
      </c>
      <c r="J1511" s="72">
        <v>60.647777777777776</v>
      </c>
      <c r="K1511" s="73">
        <v>343.5</v>
      </c>
      <c r="L1511" s="74">
        <v>0</v>
      </c>
      <c r="M1511" s="73">
        <v>0</v>
      </c>
      <c r="N1511" s="74">
        <v>0</v>
      </c>
      <c r="O1511" s="73">
        <v>0</v>
      </c>
      <c r="P1511" s="74">
        <v>27</v>
      </c>
      <c r="Q1511" s="73">
        <v>1980.99</v>
      </c>
      <c r="R1511" s="71" t="s">
        <v>625</v>
      </c>
      <c r="S1511" s="71">
        <v>7414000005</v>
      </c>
      <c r="AB1511"/>
      <c r="AC1511"/>
    </row>
    <row r="1512" spans="1:29" x14ac:dyDescent="0.25">
      <c r="A1512" t="str">
        <f t="shared" si="24"/>
        <v xml:space="preserve">541079ALPEK A             </v>
      </c>
      <c r="B1512" s="71">
        <v>541079</v>
      </c>
      <c r="C1512" s="71" t="s">
        <v>835</v>
      </c>
      <c r="D1512" s="71" t="s">
        <v>360</v>
      </c>
      <c r="E1512" s="71" t="s">
        <v>623</v>
      </c>
      <c r="F1512" s="71" t="s">
        <v>624</v>
      </c>
      <c r="G1512" s="74">
        <v>401</v>
      </c>
      <c r="H1512" s="72">
        <v>15.12</v>
      </c>
      <c r="I1512" s="73">
        <v>6063.12</v>
      </c>
      <c r="J1512" s="72">
        <v>16.028852867830423</v>
      </c>
      <c r="K1512" s="73">
        <v>-364.45</v>
      </c>
      <c r="L1512" s="74">
        <v>0</v>
      </c>
      <c r="M1512" s="73">
        <v>0</v>
      </c>
      <c r="N1512" s="74">
        <v>0</v>
      </c>
      <c r="O1512" s="73">
        <v>0</v>
      </c>
      <c r="P1512" s="74">
        <v>401</v>
      </c>
      <c r="Q1512" s="73">
        <v>6063.12</v>
      </c>
      <c r="R1512" s="71" t="s">
        <v>625</v>
      </c>
      <c r="S1512" s="71">
        <v>7414000005</v>
      </c>
      <c r="AB1512"/>
      <c r="AC1512"/>
    </row>
    <row r="1513" spans="1:29" x14ac:dyDescent="0.25">
      <c r="A1513" t="str">
        <f t="shared" si="24"/>
        <v xml:space="preserve">541079ALSEA *             </v>
      </c>
      <c r="B1513" s="71">
        <v>541079</v>
      </c>
      <c r="C1513" s="71" t="s">
        <v>835</v>
      </c>
      <c r="D1513" s="71" t="s">
        <v>551</v>
      </c>
      <c r="E1513" s="71" t="s">
        <v>623</v>
      </c>
      <c r="F1513" s="71" t="s">
        <v>624</v>
      </c>
      <c r="G1513" s="74">
        <v>8</v>
      </c>
      <c r="H1513" s="72">
        <v>525.09</v>
      </c>
      <c r="I1513" s="73">
        <v>4200.72</v>
      </c>
      <c r="J1513" s="72">
        <v>486.16125</v>
      </c>
      <c r="K1513" s="73">
        <v>311.43</v>
      </c>
      <c r="L1513" s="74">
        <v>0</v>
      </c>
      <c r="M1513" s="73">
        <v>0</v>
      </c>
      <c r="N1513" s="74">
        <v>0</v>
      </c>
      <c r="O1513" s="73">
        <v>0</v>
      </c>
      <c r="P1513" s="74">
        <v>8</v>
      </c>
      <c r="Q1513" s="73">
        <v>4200.72</v>
      </c>
      <c r="R1513" s="71" t="s">
        <v>625</v>
      </c>
      <c r="S1513" s="71">
        <v>7414000005</v>
      </c>
      <c r="AB1513"/>
      <c r="AC1513"/>
    </row>
    <row r="1514" spans="1:29" x14ac:dyDescent="0.25">
      <c r="A1514" t="str">
        <f t="shared" si="24"/>
        <v xml:space="preserve">541079AMX B               </v>
      </c>
      <c r="B1514" s="71">
        <v>541079</v>
      </c>
      <c r="C1514" s="71" t="s">
        <v>835</v>
      </c>
      <c r="D1514" s="71" t="s">
        <v>361</v>
      </c>
      <c r="E1514" s="71" t="s">
        <v>623</v>
      </c>
      <c r="F1514" s="71" t="s">
        <v>624</v>
      </c>
      <c r="G1514" s="74">
        <v>18</v>
      </c>
      <c r="H1514" s="72">
        <v>68.25</v>
      </c>
      <c r="I1514" s="73">
        <v>1228.5</v>
      </c>
      <c r="J1514" s="72">
        <v>73.893333333333331</v>
      </c>
      <c r="K1514" s="73">
        <v>-101.58</v>
      </c>
      <c r="L1514" s="74">
        <v>0</v>
      </c>
      <c r="M1514" s="73">
        <v>0</v>
      </c>
      <c r="N1514" s="74">
        <v>0</v>
      </c>
      <c r="O1514" s="73">
        <v>0</v>
      </c>
      <c r="P1514" s="74">
        <v>18</v>
      </c>
      <c r="Q1514" s="73">
        <v>1228.5</v>
      </c>
      <c r="R1514" s="71" t="s">
        <v>625</v>
      </c>
      <c r="S1514" s="71">
        <v>7414000005</v>
      </c>
      <c r="AB1514"/>
      <c r="AC1514"/>
    </row>
    <row r="1515" spans="1:29" x14ac:dyDescent="0.25">
      <c r="A1515" t="str">
        <f t="shared" si="24"/>
        <v xml:space="preserve">541079ASUR B              </v>
      </c>
      <c r="B1515" s="71">
        <v>541079</v>
      </c>
      <c r="C1515" s="71" t="s">
        <v>835</v>
      </c>
      <c r="D1515" s="71" t="s">
        <v>362</v>
      </c>
      <c r="E1515" s="71" t="s">
        <v>623</v>
      </c>
      <c r="F1515" s="71" t="s">
        <v>624</v>
      </c>
      <c r="G1515" s="74">
        <v>493</v>
      </c>
      <c r="H1515" s="72">
        <v>14.33</v>
      </c>
      <c r="I1515" s="73">
        <v>7064.69</v>
      </c>
      <c r="J1515" s="72">
        <v>11.934908722109533</v>
      </c>
      <c r="K1515" s="73">
        <v>1180.78</v>
      </c>
      <c r="L1515" s="74">
        <v>0</v>
      </c>
      <c r="M1515" s="73">
        <v>0</v>
      </c>
      <c r="N1515" s="74">
        <v>0</v>
      </c>
      <c r="O1515" s="73">
        <v>0</v>
      </c>
      <c r="P1515" s="74">
        <v>493</v>
      </c>
      <c r="Q1515" s="73">
        <v>7064.69</v>
      </c>
      <c r="R1515" s="71" t="s">
        <v>625</v>
      </c>
      <c r="S1515" s="71">
        <v>7414000005</v>
      </c>
      <c r="AB1515"/>
      <c r="AC1515"/>
    </row>
    <row r="1516" spans="1:29" x14ac:dyDescent="0.25">
      <c r="A1516" t="str">
        <f t="shared" si="24"/>
        <v xml:space="preserve">541079BIMBO A             </v>
      </c>
      <c r="B1516" s="71">
        <v>541079</v>
      </c>
      <c r="C1516" s="71" t="s">
        <v>835</v>
      </c>
      <c r="D1516" s="71" t="s">
        <v>595</v>
      </c>
      <c r="E1516" s="71" t="s">
        <v>623</v>
      </c>
      <c r="F1516" s="71" t="s">
        <v>624</v>
      </c>
      <c r="G1516" s="74">
        <v>109</v>
      </c>
      <c r="H1516" s="72">
        <v>9.9999999999999995E-7</v>
      </c>
      <c r="I1516" s="73">
        <v>1.0900000000000001E-4</v>
      </c>
      <c r="J1516" s="72">
        <v>0</v>
      </c>
      <c r="K1516" s="73">
        <v>1.0900000000000001E-4</v>
      </c>
      <c r="L1516" s="74">
        <v>0</v>
      </c>
      <c r="M1516" s="73">
        <v>0</v>
      </c>
      <c r="N1516" s="74">
        <v>0</v>
      </c>
      <c r="O1516" s="73">
        <v>0</v>
      </c>
      <c r="P1516" s="74">
        <v>109</v>
      </c>
      <c r="Q1516" s="73">
        <v>1.0900000000000001E-4</v>
      </c>
      <c r="R1516" s="71" t="s">
        <v>625</v>
      </c>
      <c r="S1516" s="71">
        <v>7414000005</v>
      </c>
      <c r="AB1516"/>
      <c r="AC1516"/>
    </row>
    <row r="1517" spans="1:29" x14ac:dyDescent="0.25">
      <c r="A1517" t="str">
        <f t="shared" si="24"/>
        <v xml:space="preserve">541079CEMEX CPO           </v>
      </c>
      <c r="B1517" s="71">
        <v>541079</v>
      </c>
      <c r="C1517" s="71" t="s">
        <v>835</v>
      </c>
      <c r="D1517" s="71" t="s">
        <v>369</v>
      </c>
      <c r="E1517" s="71" t="s">
        <v>623</v>
      </c>
      <c r="F1517" s="71" t="s">
        <v>624</v>
      </c>
      <c r="G1517" s="74">
        <v>37</v>
      </c>
      <c r="H1517" s="72">
        <v>207.81</v>
      </c>
      <c r="I1517" s="73">
        <v>7688.97</v>
      </c>
      <c r="J1517" s="72">
        <v>172.5072972972973</v>
      </c>
      <c r="K1517" s="73">
        <v>1306.2</v>
      </c>
      <c r="L1517" s="74">
        <v>0</v>
      </c>
      <c r="M1517" s="73">
        <v>0</v>
      </c>
      <c r="N1517" s="74">
        <v>0</v>
      </c>
      <c r="O1517" s="73">
        <v>0</v>
      </c>
      <c r="P1517" s="74">
        <v>37</v>
      </c>
      <c r="Q1517" s="73">
        <v>7688.97</v>
      </c>
      <c r="R1517" s="71" t="s">
        <v>625</v>
      </c>
      <c r="S1517" s="71">
        <v>7414000005</v>
      </c>
      <c r="AB1517"/>
      <c r="AC1517"/>
    </row>
    <row r="1518" spans="1:29" x14ac:dyDescent="0.25">
      <c r="A1518" t="str">
        <f t="shared" si="24"/>
        <v xml:space="preserve">541079COVARRA *           </v>
      </c>
      <c r="B1518" s="71">
        <v>541079</v>
      </c>
      <c r="C1518" s="71" t="s">
        <v>835</v>
      </c>
      <c r="D1518" s="71" t="s">
        <v>370</v>
      </c>
      <c r="E1518" s="71" t="s">
        <v>623</v>
      </c>
      <c r="F1518" s="71" t="s">
        <v>624</v>
      </c>
      <c r="G1518" s="74">
        <v>4</v>
      </c>
      <c r="H1518" s="72">
        <v>271.94</v>
      </c>
      <c r="I1518" s="73">
        <v>1087.76</v>
      </c>
      <c r="J1518" s="72">
        <v>283.35000000000002</v>
      </c>
      <c r="K1518" s="73">
        <v>-45.64</v>
      </c>
      <c r="L1518" s="74">
        <v>0</v>
      </c>
      <c r="M1518" s="73">
        <v>0</v>
      </c>
      <c r="N1518" s="74">
        <v>0</v>
      </c>
      <c r="O1518" s="73">
        <v>0</v>
      </c>
      <c r="P1518" s="74">
        <v>4</v>
      </c>
      <c r="Q1518" s="73">
        <v>1087.76</v>
      </c>
      <c r="R1518" s="71" t="s">
        <v>625</v>
      </c>
      <c r="S1518" s="71">
        <v>7414000005</v>
      </c>
      <c r="AB1518"/>
      <c r="AC1518"/>
    </row>
    <row r="1519" spans="1:29" x14ac:dyDescent="0.25">
      <c r="A1519" t="str">
        <f t="shared" si="24"/>
        <v xml:space="preserve">541079FEMSA UBD           </v>
      </c>
      <c r="B1519" s="71">
        <v>541079</v>
      </c>
      <c r="C1519" s="71" t="s">
        <v>835</v>
      </c>
      <c r="D1519" s="71" t="s">
        <v>371</v>
      </c>
      <c r="E1519" s="71" t="s">
        <v>623</v>
      </c>
      <c r="F1519" s="71" t="s">
        <v>624</v>
      </c>
      <c r="G1519" s="74">
        <v>13</v>
      </c>
      <c r="H1519" s="72">
        <v>193.15</v>
      </c>
      <c r="I1519" s="73">
        <v>2510.9499999999998</v>
      </c>
      <c r="J1519" s="72">
        <v>163.40769230769232</v>
      </c>
      <c r="K1519" s="73">
        <v>386.65</v>
      </c>
      <c r="L1519" s="74">
        <v>0</v>
      </c>
      <c r="M1519" s="73">
        <v>0</v>
      </c>
      <c r="N1519" s="74">
        <v>0</v>
      </c>
      <c r="O1519" s="73">
        <v>0</v>
      </c>
      <c r="P1519" s="74">
        <v>13</v>
      </c>
      <c r="Q1519" s="73">
        <v>2510.9499999999998</v>
      </c>
      <c r="R1519" s="71" t="s">
        <v>625</v>
      </c>
      <c r="S1519" s="71">
        <v>7414000005</v>
      </c>
      <c r="AB1519"/>
      <c r="AC1519"/>
    </row>
    <row r="1520" spans="1:29" x14ac:dyDescent="0.25">
      <c r="A1520" t="str">
        <f t="shared" si="24"/>
        <v xml:space="preserve">541079GAP B               </v>
      </c>
      <c r="B1520" s="71">
        <v>541079</v>
      </c>
      <c r="C1520" s="71" t="s">
        <v>835</v>
      </c>
      <c r="D1520" s="71" t="s">
        <v>372</v>
      </c>
      <c r="E1520" s="71" t="s">
        <v>623</v>
      </c>
      <c r="F1520" s="71" t="s">
        <v>624</v>
      </c>
      <c r="G1520" s="74">
        <v>91</v>
      </c>
      <c r="H1520" s="72">
        <v>27.12</v>
      </c>
      <c r="I1520" s="73">
        <v>2467.92</v>
      </c>
      <c r="J1520" s="72">
        <v>21.994175824175823</v>
      </c>
      <c r="K1520" s="73">
        <v>466.45</v>
      </c>
      <c r="L1520" s="74">
        <v>0</v>
      </c>
      <c r="M1520" s="73">
        <v>0</v>
      </c>
      <c r="N1520" s="74">
        <v>0</v>
      </c>
      <c r="O1520" s="73">
        <v>0</v>
      </c>
      <c r="P1520" s="74">
        <v>91</v>
      </c>
      <c r="Q1520" s="73">
        <v>2467.92</v>
      </c>
      <c r="R1520" s="71" t="s">
        <v>625</v>
      </c>
      <c r="S1520" s="71">
        <v>7414000005</v>
      </c>
      <c r="AB1520"/>
      <c r="AC1520"/>
    </row>
    <row r="1521" spans="1:29" x14ac:dyDescent="0.25">
      <c r="A1521" t="str">
        <f t="shared" si="24"/>
        <v xml:space="preserve">541079GCC *               </v>
      </c>
      <c r="B1521" s="71">
        <v>541079</v>
      </c>
      <c r="C1521" s="71" t="s">
        <v>835</v>
      </c>
      <c r="D1521" s="71" t="s">
        <v>373</v>
      </c>
      <c r="E1521" s="71" t="s">
        <v>623</v>
      </c>
      <c r="F1521" s="71" t="s">
        <v>624</v>
      </c>
      <c r="G1521" s="74">
        <v>58</v>
      </c>
      <c r="H1521" s="72">
        <v>176.44</v>
      </c>
      <c r="I1521" s="73">
        <v>10233.52</v>
      </c>
      <c r="J1521" s="72">
        <v>155.64327586206898</v>
      </c>
      <c r="K1521" s="73">
        <v>1206.21</v>
      </c>
      <c r="L1521" s="74">
        <v>0</v>
      </c>
      <c r="M1521" s="73">
        <v>0</v>
      </c>
      <c r="N1521" s="74">
        <v>0</v>
      </c>
      <c r="O1521" s="73">
        <v>0</v>
      </c>
      <c r="P1521" s="74">
        <v>58</v>
      </c>
      <c r="Q1521" s="73">
        <v>10233.52</v>
      </c>
      <c r="R1521" s="71" t="s">
        <v>625</v>
      </c>
      <c r="S1521" s="71">
        <v>7414000005</v>
      </c>
      <c r="AB1521"/>
      <c r="AC1521"/>
    </row>
    <row r="1522" spans="1:29" x14ac:dyDescent="0.25">
      <c r="A1522" t="str">
        <f t="shared" si="24"/>
        <v xml:space="preserve">541079GENTERA *           </v>
      </c>
      <c r="B1522" s="71">
        <v>541079</v>
      </c>
      <c r="C1522" s="71" t="s">
        <v>835</v>
      </c>
      <c r="D1522" s="71" t="s">
        <v>374</v>
      </c>
      <c r="E1522" s="71" t="s">
        <v>623</v>
      </c>
      <c r="F1522" s="71" t="s">
        <v>624</v>
      </c>
      <c r="G1522" s="74">
        <v>74</v>
      </c>
      <c r="H1522" s="72">
        <v>104.12</v>
      </c>
      <c r="I1522" s="73">
        <v>7704.88</v>
      </c>
      <c r="J1522" s="72">
        <v>81.302972972972967</v>
      </c>
      <c r="K1522" s="73">
        <v>1688.46</v>
      </c>
      <c r="L1522" s="74">
        <v>0</v>
      </c>
      <c r="M1522" s="73">
        <v>0</v>
      </c>
      <c r="N1522" s="74">
        <v>0</v>
      </c>
      <c r="O1522" s="73">
        <v>0</v>
      </c>
      <c r="P1522" s="74">
        <v>74</v>
      </c>
      <c r="Q1522" s="73">
        <v>7704.88</v>
      </c>
      <c r="R1522" s="71" t="s">
        <v>625</v>
      </c>
      <c r="S1522" s="71">
        <v>7414000005</v>
      </c>
      <c r="AB1522"/>
      <c r="AC1522"/>
    </row>
    <row r="1523" spans="1:29" x14ac:dyDescent="0.25">
      <c r="A1523" t="str">
        <f t="shared" si="24"/>
        <v xml:space="preserve">541079GFNORTE O           </v>
      </c>
      <c r="B1523" s="71">
        <v>541079</v>
      </c>
      <c r="C1523" s="71" t="s">
        <v>835</v>
      </c>
      <c r="D1523" s="71" t="s">
        <v>387</v>
      </c>
      <c r="E1523" s="71" t="s">
        <v>623</v>
      </c>
      <c r="F1523" s="71" t="s">
        <v>624</v>
      </c>
      <c r="G1523" s="74">
        <v>6</v>
      </c>
      <c r="H1523" s="72">
        <v>314.42</v>
      </c>
      <c r="I1523" s="73">
        <v>1886.52</v>
      </c>
      <c r="J1523" s="72">
        <v>281.48500000000001</v>
      </c>
      <c r="K1523" s="73">
        <v>197.61</v>
      </c>
      <c r="L1523" s="74">
        <v>0</v>
      </c>
      <c r="M1523" s="73">
        <v>0</v>
      </c>
      <c r="N1523" s="74">
        <v>0</v>
      </c>
      <c r="O1523" s="73">
        <v>0</v>
      </c>
      <c r="P1523" s="74">
        <v>6</v>
      </c>
      <c r="Q1523" s="73">
        <v>1886.52</v>
      </c>
      <c r="R1523" s="71" t="s">
        <v>625</v>
      </c>
      <c r="S1523" s="71">
        <v>7414000005</v>
      </c>
      <c r="AB1523"/>
      <c r="AC1523"/>
    </row>
    <row r="1524" spans="1:29" x14ac:dyDescent="0.25">
      <c r="A1524" t="str">
        <f t="shared" si="24"/>
        <v xml:space="preserve">541079GMEXICO B           </v>
      </c>
      <c r="B1524" s="71">
        <v>541079</v>
      </c>
      <c r="C1524" s="71" t="s">
        <v>835</v>
      </c>
      <c r="D1524" s="71" t="s">
        <v>503</v>
      </c>
      <c r="E1524" s="71" t="s">
        <v>623</v>
      </c>
      <c r="F1524" s="71" t="s">
        <v>624</v>
      </c>
      <c r="G1524" s="74">
        <v>41</v>
      </c>
      <c r="H1524" s="72">
        <v>43.85</v>
      </c>
      <c r="I1524" s="73">
        <v>1797.85</v>
      </c>
      <c r="J1524" s="72">
        <v>41.809024390243906</v>
      </c>
      <c r="K1524" s="73">
        <v>83.68</v>
      </c>
      <c r="L1524" s="74">
        <v>0</v>
      </c>
      <c r="M1524" s="73">
        <v>0</v>
      </c>
      <c r="N1524" s="74">
        <v>0</v>
      </c>
      <c r="O1524" s="73">
        <v>0</v>
      </c>
      <c r="P1524" s="74">
        <v>41</v>
      </c>
      <c r="Q1524" s="73">
        <v>1797.85</v>
      </c>
      <c r="R1524" s="71" t="s">
        <v>625</v>
      </c>
      <c r="S1524" s="71">
        <v>7414000005</v>
      </c>
      <c r="AB1524"/>
      <c r="AC1524"/>
    </row>
    <row r="1525" spans="1:29" x14ac:dyDescent="0.25">
      <c r="A1525" t="str">
        <f t="shared" si="24"/>
        <v xml:space="preserve">541079GRUMA B             </v>
      </c>
      <c r="B1525" s="71">
        <v>541079</v>
      </c>
      <c r="C1525" s="71" t="s">
        <v>835</v>
      </c>
      <c r="D1525" s="71" t="s">
        <v>419</v>
      </c>
      <c r="E1525" s="71" t="s">
        <v>623</v>
      </c>
      <c r="F1525" s="71" t="s">
        <v>624</v>
      </c>
      <c r="G1525" s="74">
        <v>0</v>
      </c>
      <c r="H1525" s="72">
        <v>0</v>
      </c>
      <c r="I1525" s="73">
        <v>0</v>
      </c>
      <c r="J1525" s="72">
        <v>0</v>
      </c>
      <c r="K1525" s="73">
        <v>0</v>
      </c>
      <c r="L1525" s="74">
        <v>0</v>
      </c>
      <c r="M1525" s="73">
        <v>0</v>
      </c>
      <c r="N1525" s="74">
        <v>0</v>
      </c>
      <c r="O1525" s="73">
        <v>0</v>
      </c>
      <c r="P1525" s="74">
        <v>0</v>
      </c>
      <c r="Q1525" s="73">
        <v>0</v>
      </c>
      <c r="R1525" s="71" t="s">
        <v>625</v>
      </c>
      <c r="S1525" s="71">
        <v>7414000005</v>
      </c>
      <c r="AB1525"/>
      <c r="AC1525"/>
    </row>
    <row r="1526" spans="1:29" x14ac:dyDescent="0.25">
      <c r="A1526" t="str">
        <f t="shared" si="24"/>
        <v xml:space="preserve">541079HERDEZ *            </v>
      </c>
      <c r="B1526" s="71">
        <v>541079</v>
      </c>
      <c r="C1526" s="71" t="s">
        <v>835</v>
      </c>
      <c r="D1526" s="71" t="s">
        <v>540</v>
      </c>
      <c r="E1526" s="71" t="s">
        <v>623</v>
      </c>
      <c r="F1526" s="71" t="s">
        <v>624</v>
      </c>
      <c r="G1526" s="74">
        <v>45</v>
      </c>
      <c r="H1526" s="72">
        <v>36.28</v>
      </c>
      <c r="I1526" s="73">
        <v>1632.6</v>
      </c>
      <c r="J1526" s="72">
        <v>39.894444444444446</v>
      </c>
      <c r="K1526" s="73">
        <v>-162.65</v>
      </c>
      <c r="L1526" s="74">
        <v>0</v>
      </c>
      <c r="M1526" s="73">
        <v>0</v>
      </c>
      <c r="N1526" s="74">
        <v>0</v>
      </c>
      <c r="O1526" s="73">
        <v>0</v>
      </c>
      <c r="P1526" s="74">
        <v>45</v>
      </c>
      <c r="Q1526" s="73">
        <v>1632.6</v>
      </c>
      <c r="R1526" s="71" t="s">
        <v>625</v>
      </c>
      <c r="S1526" s="71">
        <v>7414000005</v>
      </c>
      <c r="AB1526"/>
      <c r="AC1526"/>
    </row>
    <row r="1527" spans="1:29" x14ac:dyDescent="0.25">
      <c r="A1527" t="str">
        <f t="shared" si="24"/>
        <v xml:space="preserve">541079IENOVA *            </v>
      </c>
      <c r="B1527" s="71">
        <v>541079</v>
      </c>
      <c r="C1527" s="71" t="s">
        <v>835</v>
      </c>
      <c r="D1527" s="71" t="s">
        <v>553</v>
      </c>
      <c r="E1527" s="71" t="s">
        <v>623</v>
      </c>
      <c r="F1527" s="71" t="s">
        <v>624</v>
      </c>
      <c r="G1527" s="74">
        <v>6</v>
      </c>
      <c r="H1527" s="72">
        <v>136.35</v>
      </c>
      <c r="I1527" s="73">
        <v>818.1</v>
      </c>
      <c r="J1527" s="72">
        <v>119.82666666666667</v>
      </c>
      <c r="K1527" s="73">
        <v>99.14</v>
      </c>
      <c r="L1527" s="74">
        <v>0</v>
      </c>
      <c r="M1527" s="73">
        <v>0</v>
      </c>
      <c r="N1527" s="74">
        <v>0</v>
      </c>
      <c r="O1527" s="73">
        <v>0</v>
      </c>
      <c r="P1527" s="74">
        <v>6</v>
      </c>
      <c r="Q1527" s="73">
        <v>818.1</v>
      </c>
      <c r="R1527" s="71" t="s">
        <v>625</v>
      </c>
      <c r="S1527" s="71">
        <v>7414000005</v>
      </c>
      <c r="AB1527"/>
      <c r="AC1527"/>
    </row>
    <row r="1528" spans="1:29" x14ac:dyDescent="0.25">
      <c r="A1528" t="str">
        <f t="shared" si="24"/>
        <v xml:space="preserve">541079LACOMER UBC         </v>
      </c>
      <c r="B1528" s="71">
        <v>541079</v>
      </c>
      <c r="C1528" s="71" t="s">
        <v>835</v>
      </c>
      <c r="D1528" s="71" t="s">
        <v>541</v>
      </c>
      <c r="E1528" s="71" t="s">
        <v>623</v>
      </c>
      <c r="F1528" s="71" t="s">
        <v>624</v>
      </c>
      <c r="G1528" s="74">
        <v>14</v>
      </c>
      <c r="H1528" s="72">
        <v>156</v>
      </c>
      <c r="I1528" s="73">
        <v>2184</v>
      </c>
      <c r="J1528" s="72">
        <v>157.48857142857142</v>
      </c>
      <c r="K1528" s="73">
        <v>-20.84</v>
      </c>
      <c r="L1528" s="74">
        <v>0</v>
      </c>
      <c r="M1528" s="73">
        <v>0</v>
      </c>
      <c r="N1528" s="74">
        <v>0</v>
      </c>
      <c r="O1528" s="73">
        <v>0</v>
      </c>
      <c r="P1528" s="74">
        <v>14</v>
      </c>
      <c r="Q1528" s="73">
        <v>2184</v>
      </c>
      <c r="R1528" s="71" t="s">
        <v>625</v>
      </c>
      <c r="S1528" s="71">
        <v>7414000005</v>
      </c>
      <c r="AB1528"/>
      <c r="AC1528"/>
    </row>
    <row r="1529" spans="1:29" x14ac:dyDescent="0.25">
      <c r="A1529" t="str">
        <f t="shared" si="24"/>
        <v xml:space="preserve">541079LIVEPOL C-1         </v>
      </c>
      <c r="B1529" s="71">
        <v>541079</v>
      </c>
      <c r="C1529" s="71" t="s">
        <v>835</v>
      </c>
      <c r="D1529" s="71" t="s">
        <v>596</v>
      </c>
      <c r="E1529" s="71" t="s">
        <v>623</v>
      </c>
      <c r="F1529" s="71" t="s">
        <v>624</v>
      </c>
      <c r="G1529" s="74">
        <v>82879</v>
      </c>
      <c r="H1529" s="72">
        <v>3.5222039999999999</v>
      </c>
      <c r="I1529" s="73">
        <v>291916.74531600002</v>
      </c>
      <c r="J1529" s="72">
        <v>3.4572158206542065</v>
      </c>
      <c r="K1529" s="73">
        <v>5386.1553160000003</v>
      </c>
      <c r="L1529" s="74">
        <v>0</v>
      </c>
      <c r="M1529" s="73">
        <v>0</v>
      </c>
      <c r="N1529" s="74">
        <v>0</v>
      </c>
      <c r="O1529" s="73">
        <v>0</v>
      </c>
      <c r="P1529" s="74">
        <v>82879</v>
      </c>
      <c r="Q1529" s="73">
        <v>291916.74531600002</v>
      </c>
      <c r="R1529" s="71" t="s">
        <v>625</v>
      </c>
      <c r="S1529" s="71">
        <v>7414000005</v>
      </c>
      <c r="AB1529"/>
      <c r="AC1529"/>
    </row>
    <row r="1530" spans="1:29" x14ac:dyDescent="0.25">
      <c r="A1530" t="str">
        <f t="shared" si="24"/>
        <v xml:space="preserve">541079R A                 </v>
      </c>
      <c r="B1530" s="71">
        <v>541079</v>
      </c>
      <c r="C1530" s="71" t="s">
        <v>835</v>
      </c>
      <c r="D1530" s="71" t="s">
        <v>500</v>
      </c>
      <c r="E1530" s="71" t="s">
        <v>623</v>
      </c>
      <c r="F1530" s="71" t="s">
        <v>624</v>
      </c>
      <c r="G1530" s="74">
        <v>58</v>
      </c>
      <c r="H1530" s="72">
        <v>31.41</v>
      </c>
      <c r="I1530" s="73">
        <v>1821.78</v>
      </c>
      <c r="J1530" s="72">
        <v>32.163103448275862</v>
      </c>
      <c r="K1530" s="73">
        <v>-43.68</v>
      </c>
      <c r="L1530" s="74">
        <v>0</v>
      </c>
      <c r="M1530" s="73">
        <v>0</v>
      </c>
      <c r="N1530" s="74">
        <v>0</v>
      </c>
      <c r="O1530" s="73">
        <v>0</v>
      </c>
      <c r="P1530" s="74">
        <v>58</v>
      </c>
      <c r="Q1530" s="73">
        <v>1821.78</v>
      </c>
      <c r="R1530" s="71" t="s">
        <v>625</v>
      </c>
      <c r="S1530" s="71">
        <v>7414000005</v>
      </c>
      <c r="AB1530"/>
      <c r="AC1530"/>
    </row>
    <row r="1531" spans="1:29" x14ac:dyDescent="0.25">
      <c r="A1531" t="str">
        <f t="shared" si="24"/>
        <v xml:space="preserve">541079STRGOB2 B0          </v>
      </c>
      <c r="B1531" s="71">
        <v>541079</v>
      </c>
      <c r="C1531" s="71" t="s">
        <v>835</v>
      </c>
      <c r="D1531" s="71" t="s">
        <v>400</v>
      </c>
      <c r="E1531" s="71" t="s">
        <v>623</v>
      </c>
      <c r="F1531" s="71" t="s">
        <v>624</v>
      </c>
      <c r="G1531" s="74">
        <v>46</v>
      </c>
      <c r="H1531" s="72">
        <v>58.67</v>
      </c>
      <c r="I1531" s="73">
        <v>2698.82</v>
      </c>
      <c r="J1531" s="72">
        <v>44.979130434782611</v>
      </c>
      <c r="K1531" s="73">
        <v>629.78</v>
      </c>
      <c r="L1531" s="74">
        <v>0</v>
      </c>
      <c r="M1531" s="73">
        <v>0</v>
      </c>
      <c r="N1531" s="74">
        <v>0</v>
      </c>
      <c r="O1531" s="73">
        <v>0</v>
      </c>
      <c r="P1531" s="74">
        <v>46</v>
      </c>
      <c r="Q1531" s="73">
        <v>2698.82</v>
      </c>
      <c r="R1531" s="71" t="s">
        <v>625</v>
      </c>
      <c r="S1531" s="71">
        <v>7414000005</v>
      </c>
      <c r="AB1531"/>
      <c r="AC1531"/>
    </row>
    <row r="1532" spans="1:29" x14ac:dyDescent="0.25">
      <c r="A1532" t="str">
        <f t="shared" si="24"/>
        <v xml:space="preserve">541079TRAXION A           </v>
      </c>
      <c r="B1532" s="71">
        <v>541079</v>
      </c>
      <c r="C1532" s="71" t="s">
        <v>835</v>
      </c>
      <c r="D1532" s="71" t="s">
        <v>403</v>
      </c>
      <c r="E1532" s="71" t="s">
        <v>623</v>
      </c>
      <c r="F1532" s="71" t="s">
        <v>624</v>
      </c>
      <c r="G1532" s="74">
        <v>105</v>
      </c>
      <c r="H1532" s="72">
        <v>65.260000000000005</v>
      </c>
      <c r="I1532" s="73">
        <v>6852.3</v>
      </c>
      <c r="J1532" s="72">
        <v>71.204761904761909</v>
      </c>
      <c r="K1532" s="73">
        <v>-624.20000000000005</v>
      </c>
      <c r="L1532" s="74">
        <v>0</v>
      </c>
      <c r="M1532" s="73">
        <v>0</v>
      </c>
      <c r="N1532" s="74">
        <v>0</v>
      </c>
      <c r="O1532" s="73">
        <v>0</v>
      </c>
      <c r="P1532" s="74">
        <v>105</v>
      </c>
      <c r="Q1532" s="73">
        <v>6852.3</v>
      </c>
      <c r="R1532" s="71" t="s">
        <v>625</v>
      </c>
      <c r="S1532" s="71">
        <v>7414000005</v>
      </c>
      <c r="AB1532"/>
      <c r="AC1532"/>
    </row>
    <row r="1533" spans="1:29" x14ac:dyDescent="0.25">
      <c r="A1533" t="str">
        <f t="shared" si="24"/>
        <v xml:space="preserve">541079VESTA *             </v>
      </c>
      <c r="B1533" s="71">
        <v>59181</v>
      </c>
      <c r="C1533" s="71" t="s">
        <v>836</v>
      </c>
      <c r="D1533" s="71" t="s">
        <v>597</v>
      </c>
      <c r="E1533" s="71" t="s">
        <v>623</v>
      </c>
      <c r="F1533" s="71" t="s">
        <v>624</v>
      </c>
      <c r="G1533" s="74">
        <v>4300</v>
      </c>
      <c r="H1533" s="72">
        <v>9.9999999999999995E-7</v>
      </c>
      <c r="I1533" s="73">
        <v>4.3E-3</v>
      </c>
      <c r="J1533" s="72">
        <v>100.07</v>
      </c>
      <c r="K1533" s="73">
        <v>-430300.99570000003</v>
      </c>
      <c r="L1533" s="74">
        <v>0</v>
      </c>
      <c r="M1533" s="73">
        <v>0</v>
      </c>
      <c r="N1533" s="74">
        <v>0</v>
      </c>
      <c r="O1533" s="73">
        <v>0</v>
      </c>
      <c r="P1533" s="74">
        <v>4300</v>
      </c>
      <c r="Q1533" s="73">
        <v>4.3E-3</v>
      </c>
      <c r="R1533" s="71" t="s">
        <v>625</v>
      </c>
      <c r="S1533" s="71">
        <v>7414000005</v>
      </c>
      <c r="AB1533"/>
      <c r="AC1533"/>
    </row>
    <row r="1534" spans="1:29" x14ac:dyDescent="0.25">
      <c r="A1534" t="str">
        <f t="shared" si="24"/>
        <v xml:space="preserve">541079WALMEX *            </v>
      </c>
      <c r="B1534" s="71">
        <v>59181</v>
      </c>
      <c r="C1534" s="71" t="s">
        <v>836</v>
      </c>
      <c r="D1534" s="71" t="s">
        <v>389</v>
      </c>
      <c r="E1534" s="71" t="s">
        <v>623</v>
      </c>
      <c r="F1534" s="71" t="s">
        <v>624</v>
      </c>
      <c r="G1534" s="74">
        <v>103815</v>
      </c>
      <c r="H1534" s="72">
        <v>3.3967719999999999</v>
      </c>
      <c r="I1534" s="73">
        <v>352635.88517999998</v>
      </c>
      <c r="J1534" s="72">
        <v>3.3719921013341039</v>
      </c>
      <c r="K1534" s="73">
        <v>2572.5251800000001</v>
      </c>
      <c r="L1534" s="74">
        <v>0</v>
      </c>
      <c r="M1534" s="73">
        <v>0</v>
      </c>
      <c r="N1534" s="74">
        <v>0</v>
      </c>
      <c r="O1534" s="73">
        <v>0</v>
      </c>
      <c r="P1534" s="74">
        <v>103815</v>
      </c>
      <c r="Q1534" s="73">
        <v>352635.88517999998</v>
      </c>
      <c r="R1534" s="71" t="s">
        <v>625</v>
      </c>
      <c r="S1534" s="71">
        <v>7414000005</v>
      </c>
      <c r="AB1534"/>
      <c r="AC1534"/>
    </row>
    <row r="1535" spans="1:29" x14ac:dyDescent="0.25">
      <c r="A1535" t="str">
        <f t="shared" si="24"/>
        <v xml:space="preserve">59181CREYCB 07-2         </v>
      </c>
      <c r="B1535" s="71">
        <v>59181</v>
      </c>
      <c r="C1535" s="71" t="s">
        <v>836</v>
      </c>
      <c r="D1535" s="71" t="s">
        <v>405</v>
      </c>
      <c r="E1535" s="71" t="s">
        <v>623</v>
      </c>
      <c r="F1535" s="71" t="s">
        <v>624</v>
      </c>
      <c r="G1535" s="74">
        <v>1405059</v>
      </c>
      <c r="H1535" s="72">
        <v>3.6096119999999998</v>
      </c>
      <c r="I1535" s="73">
        <v>5071717.8271080004</v>
      </c>
      <c r="J1535" s="72">
        <v>2.9150258957097175</v>
      </c>
      <c r="K1535" s="73">
        <v>975934.45710799994</v>
      </c>
      <c r="L1535" s="74">
        <v>0</v>
      </c>
      <c r="M1535" s="73">
        <v>0</v>
      </c>
      <c r="N1535" s="74">
        <v>0</v>
      </c>
      <c r="O1535" s="73">
        <v>0</v>
      </c>
      <c r="P1535" s="74">
        <v>1405059</v>
      </c>
      <c r="Q1535" s="73">
        <v>5071717.8271080004</v>
      </c>
      <c r="R1535" s="71" t="s">
        <v>625</v>
      </c>
      <c r="S1535" s="71">
        <v>7414000005</v>
      </c>
      <c r="AB1535"/>
      <c r="AC1535"/>
    </row>
    <row r="1536" spans="1:29" x14ac:dyDescent="0.25">
      <c r="A1536" t="str">
        <f t="shared" si="24"/>
        <v xml:space="preserve">59181STERGOB ED          </v>
      </c>
      <c r="B1536" s="71">
        <v>59181</v>
      </c>
      <c r="C1536" s="71" t="s">
        <v>836</v>
      </c>
      <c r="D1536" s="71" t="s">
        <v>407</v>
      </c>
      <c r="E1536" s="71" t="s">
        <v>623</v>
      </c>
      <c r="F1536" s="71" t="s">
        <v>624</v>
      </c>
      <c r="G1536" s="74">
        <v>595924</v>
      </c>
      <c r="H1536" s="72">
        <v>2.7668819999999998</v>
      </c>
      <c r="I1536" s="73">
        <v>1648851.388968</v>
      </c>
      <c r="J1536" s="72">
        <v>2.4074613709130697</v>
      </c>
      <c r="K1536" s="73">
        <v>214187.378968</v>
      </c>
      <c r="L1536" s="74">
        <v>0</v>
      </c>
      <c r="M1536" s="73">
        <v>0</v>
      </c>
      <c r="N1536" s="74">
        <v>0</v>
      </c>
      <c r="O1536" s="73">
        <v>0</v>
      </c>
      <c r="P1536" s="74">
        <v>595924</v>
      </c>
      <c r="Q1536" s="73">
        <v>1648851.388968</v>
      </c>
      <c r="R1536" s="71" t="s">
        <v>625</v>
      </c>
      <c r="S1536" s="71">
        <v>7414000005</v>
      </c>
      <c r="AB1536"/>
      <c r="AC1536"/>
    </row>
    <row r="1537" spans="1:29" x14ac:dyDescent="0.25">
      <c r="A1537" t="str">
        <f t="shared" si="24"/>
        <v xml:space="preserve">59181SVIVE35 ED          </v>
      </c>
      <c r="B1537" s="71">
        <v>64518</v>
      </c>
      <c r="C1537" s="71" t="s">
        <v>837</v>
      </c>
      <c r="D1537" s="71" t="s">
        <v>375</v>
      </c>
      <c r="E1537" s="71" t="s">
        <v>623</v>
      </c>
      <c r="F1537" s="71" t="s">
        <v>624</v>
      </c>
      <c r="G1537" s="74">
        <v>5910</v>
      </c>
      <c r="H1537" s="72">
        <v>98.730349000000004</v>
      </c>
      <c r="I1537" s="73">
        <v>583496.36259000003</v>
      </c>
      <c r="J1537" s="72">
        <v>104.81191507</v>
      </c>
      <c r="K1537" s="73">
        <v>-35942.055473699998</v>
      </c>
      <c r="L1537" s="74">
        <v>0</v>
      </c>
      <c r="M1537" s="73">
        <v>0</v>
      </c>
      <c r="N1537" s="74">
        <v>0</v>
      </c>
      <c r="O1537" s="73">
        <v>0</v>
      </c>
      <c r="P1537" s="74">
        <v>5910</v>
      </c>
      <c r="Q1537" s="73">
        <v>583496.36259000003</v>
      </c>
      <c r="R1537" s="71" t="s">
        <v>625</v>
      </c>
      <c r="S1537" s="71">
        <v>7414000005</v>
      </c>
      <c r="AB1537"/>
      <c r="AC1537"/>
    </row>
    <row r="1538" spans="1:29" x14ac:dyDescent="0.25">
      <c r="A1538" t="str">
        <f t="shared" si="24"/>
        <v xml:space="preserve">59181SVIVE60 ED          </v>
      </c>
      <c r="B1538" s="71">
        <v>64518</v>
      </c>
      <c r="C1538" s="71" t="s">
        <v>837</v>
      </c>
      <c r="D1538" s="71" t="s">
        <v>376</v>
      </c>
      <c r="E1538" s="71" t="s">
        <v>623</v>
      </c>
      <c r="F1538" s="71" t="s">
        <v>624</v>
      </c>
      <c r="G1538" s="74">
        <v>1120</v>
      </c>
      <c r="H1538" s="72">
        <v>99.247497999999993</v>
      </c>
      <c r="I1538" s="73">
        <v>111157.19776</v>
      </c>
      <c r="J1538" s="72">
        <v>315.84649010082143</v>
      </c>
      <c r="K1538" s="73">
        <v>464905.26667292003</v>
      </c>
      <c r="L1538" s="74">
        <v>0</v>
      </c>
      <c r="M1538" s="73">
        <v>0</v>
      </c>
      <c r="N1538" s="74">
        <v>0</v>
      </c>
      <c r="O1538" s="73">
        <v>0</v>
      </c>
      <c r="P1538" s="74">
        <v>1120</v>
      </c>
      <c r="Q1538" s="73">
        <v>111157.19776</v>
      </c>
      <c r="R1538" s="71" t="s">
        <v>625</v>
      </c>
      <c r="S1538" s="71">
        <v>7414000005</v>
      </c>
      <c r="AB1538"/>
      <c r="AC1538"/>
    </row>
    <row r="1539" spans="1:29" x14ac:dyDescent="0.25">
      <c r="A1539" t="str">
        <f t="shared" si="24"/>
        <v xml:space="preserve">64518GOBFED 240905       </v>
      </c>
      <c r="B1539" s="71">
        <v>64518</v>
      </c>
      <c r="C1539" s="71" t="s">
        <v>837</v>
      </c>
      <c r="D1539" s="71" t="s">
        <v>377</v>
      </c>
      <c r="E1539" s="71" t="s">
        <v>623</v>
      </c>
      <c r="F1539" s="71" t="s">
        <v>624</v>
      </c>
      <c r="G1539" s="74">
        <v>10000</v>
      </c>
      <c r="H1539" s="72">
        <v>94.973146999999997</v>
      </c>
      <c r="I1539" s="73">
        <v>949731.47</v>
      </c>
      <c r="J1539" s="72">
        <v>89.268734649999999</v>
      </c>
      <c r="K1539" s="73">
        <v>57044.123500000002</v>
      </c>
      <c r="L1539" s="74">
        <v>0</v>
      </c>
      <c r="M1539" s="73">
        <v>0</v>
      </c>
      <c r="N1539" s="74">
        <v>0</v>
      </c>
      <c r="O1539" s="73">
        <v>0</v>
      </c>
      <c r="P1539" s="74">
        <v>10000</v>
      </c>
      <c r="Q1539" s="73">
        <v>949731.47</v>
      </c>
      <c r="R1539" s="71" t="s">
        <v>625</v>
      </c>
      <c r="S1539" s="71">
        <v>7414000005</v>
      </c>
      <c r="AB1539"/>
      <c r="AC1539"/>
    </row>
    <row r="1540" spans="1:29" x14ac:dyDescent="0.25">
      <c r="A1540" t="str">
        <f t="shared" si="24"/>
        <v xml:space="preserve">64518GOBFED 241205       </v>
      </c>
      <c r="B1540" s="71">
        <v>64518</v>
      </c>
      <c r="C1540" s="71" t="s">
        <v>837</v>
      </c>
      <c r="D1540" s="71" t="s">
        <v>378</v>
      </c>
      <c r="E1540" s="71" t="s">
        <v>623</v>
      </c>
      <c r="F1540" s="71" t="s">
        <v>624</v>
      </c>
      <c r="G1540" s="74">
        <v>25555</v>
      </c>
      <c r="H1540" s="72">
        <v>91.911821000000003</v>
      </c>
      <c r="I1540" s="73">
        <v>2348806.5856550001</v>
      </c>
      <c r="J1540" s="72">
        <v>93.2088459</v>
      </c>
      <c r="K1540" s="73">
        <v>-33145.4713195</v>
      </c>
      <c r="L1540" s="74">
        <v>0</v>
      </c>
      <c r="M1540" s="73">
        <v>0</v>
      </c>
      <c r="N1540" s="74">
        <v>0</v>
      </c>
      <c r="O1540" s="73">
        <v>0</v>
      </c>
      <c r="P1540" s="74">
        <v>25555</v>
      </c>
      <c r="Q1540" s="73">
        <v>2348806.5856550001</v>
      </c>
      <c r="R1540" s="71" t="s">
        <v>625</v>
      </c>
      <c r="S1540" s="71">
        <v>7414000005</v>
      </c>
      <c r="AB1540"/>
      <c r="AC1540"/>
    </row>
    <row r="1541" spans="1:29" x14ac:dyDescent="0.25">
      <c r="A1541" t="str">
        <f t="shared" si="24"/>
        <v xml:space="preserve">64518GOBFED 250306       </v>
      </c>
      <c r="B1541" s="71">
        <v>64518</v>
      </c>
      <c r="C1541" s="71" t="s">
        <v>837</v>
      </c>
      <c r="D1541" s="71" t="s">
        <v>379</v>
      </c>
      <c r="E1541" s="71" t="s">
        <v>623</v>
      </c>
      <c r="F1541" s="71" t="s">
        <v>624</v>
      </c>
      <c r="G1541" s="74">
        <v>2010</v>
      </c>
      <c r="H1541" s="72">
        <v>88.698122999999995</v>
      </c>
      <c r="I1541" s="73">
        <v>178283.22722999999</v>
      </c>
      <c r="J1541" s="72">
        <v>90.900324080000004</v>
      </c>
      <c r="K1541" s="73">
        <v>-4426.4241708</v>
      </c>
      <c r="L1541" s="74">
        <v>0</v>
      </c>
      <c r="M1541" s="73">
        <v>0</v>
      </c>
      <c r="N1541" s="74">
        <v>0</v>
      </c>
      <c r="O1541" s="73">
        <v>0</v>
      </c>
      <c r="P1541" s="74">
        <v>2010</v>
      </c>
      <c r="Q1541" s="73">
        <v>178283.22722999999</v>
      </c>
      <c r="R1541" s="71" t="s">
        <v>625</v>
      </c>
      <c r="S1541" s="71">
        <v>7414000005</v>
      </c>
      <c r="AB1541"/>
      <c r="AC1541"/>
    </row>
    <row r="1542" spans="1:29" x14ac:dyDescent="0.25">
      <c r="A1542" t="str">
        <f t="shared" si="24"/>
        <v xml:space="preserve">64518GOBFED 260305       </v>
      </c>
      <c r="B1542" s="71">
        <v>64518</v>
      </c>
      <c r="C1542" s="71" t="s">
        <v>837</v>
      </c>
      <c r="D1542" s="71" t="s">
        <v>380</v>
      </c>
      <c r="E1542" s="71" t="s">
        <v>623</v>
      </c>
      <c r="F1542" s="71" t="s">
        <v>624</v>
      </c>
      <c r="G1542" s="74">
        <v>20130</v>
      </c>
      <c r="H1542" s="72">
        <v>93.314192000000006</v>
      </c>
      <c r="I1542" s="73">
        <v>1878414.68496</v>
      </c>
      <c r="J1542" s="72">
        <v>94.420573836751117</v>
      </c>
      <c r="K1542" s="73">
        <v>-22271.466373800002</v>
      </c>
      <c r="L1542" s="74">
        <v>0</v>
      </c>
      <c r="M1542" s="73">
        <v>0</v>
      </c>
      <c r="N1542" s="74">
        <v>0</v>
      </c>
      <c r="O1542" s="73">
        <v>0</v>
      </c>
      <c r="P1542" s="74">
        <v>20130</v>
      </c>
      <c r="Q1542" s="73">
        <v>1878414.68496</v>
      </c>
      <c r="R1542" s="71" t="s">
        <v>625</v>
      </c>
      <c r="S1542" s="71">
        <v>7414000005</v>
      </c>
      <c r="AB1542"/>
      <c r="AC1542"/>
    </row>
    <row r="1543" spans="1:29" x14ac:dyDescent="0.25">
      <c r="A1543" t="str">
        <f t="shared" ref="A1543:A1606" si="25">B1541&amp;D1541</f>
        <v xml:space="preserve">64518GOBFED 270304       </v>
      </c>
      <c r="B1543" s="71">
        <v>64518</v>
      </c>
      <c r="C1543" s="71" t="s">
        <v>837</v>
      </c>
      <c r="D1543" s="71" t="s">
        <v>381</v>
      </c>
      <c r="E1543" s="71" t="s">
        <v>623</v>
      </c>
      <c r="F1543" s="71" t="s">
        <v>624</v>
      </c>
      <c r="G1543" s="74">
        <v>980</v>
      </c>
      <c r="H1543" s="72">
        <v>94.870157000000006</v>
      </c>
      <c r="I1543" s="73">
        <v>92972.753859999997</v>
      </c>
      <c r="J1543" s="72">
        <v>110.15461827</v>
      </c>
      <c r="K1543" s="73">
        <v>-14978.7720446</v>
      </c>
      <c r="L1543" s="74">
        <v>0</v>
      </c>
      <c r="M1543" s="73">
        <v>0</v>
      </c>
      <c r="N1543" s="74">
        <v>0</v>
      </c>
      <c r="O1543" s="73">
        <v>0</v>
      </c>
      <c r="P1543" s="74">
        <v>980</v>
      </c>
      <c r="Q1543" s="73">
        <v>92972.753859999997</v>
      </c>
      <c r="R1543" s="71" t="s">
        <v>625</v>
      </c>
      <c r="S1543" s="71">
        <v>7414000005</v>
      </c>
      <c r="AB1543"/>
      <c r="AC1543"/>
    </row>
    <row r="1544" spans="1:29" x14ac:dyDescent="0.25">
      <c r="A1544" t="str">
        <f t="shared" si="25"/>
        <v xml:space="preserve">64518GOBFED 270603       </v>
      </c>
      <c r="B1544" s="71">
        <v>64518</v>
      </c>
      <c r="C1544" s="71" t="s">
        <v>837</v>
      </c>
      <c r="D1544" s="71" t="s">
        <v>382</v>
      </c>
      <c r="E1544" s="71" t="s">
        <v>623</v>
      </c>
      <c r="F1544" s="71" t="s">
        <v>624</v>
      </c>
      <c r="G1544" s="74">
        <v>15123</v>
      </c>
      <c r="H1544" s="72">
        <v>89.489464999999996</v>
      </c>
      <c r="I1544" s="73">
        <v>1353349.1791950001</v>
      </c>
      <c r="J1544" s="72">
        <v>83.461737027988491</v>
      </c>
      <c r="K1544" s="73">
        <v>91157.330120729996</v>
      </c>
      <c r="L1544" s="74">
        <v>0</v>
      </c>
      <c r="M1544" s="73">
        <v>0</v>
      </c>
      <c r="N1544" s="74">
        <v>0</v>
      </c>
      <c r="O1544" s="73">
        <v>0</v>
      </c>
      <c r="P1544" s="74">
        <v>15123</v>
      </c>
      <c r="Q1544" s="73">
        <v>1353349.1791950001</v>
      </c>
      <c r="R1544" s="71" t="s">
        <v>625</v>
      </c>
      <c r="S1544" s="71">
        <v>7414000005</v>
      </c>
      <c r="AB1544"/>
      <c r="AC1544"/>
    </row>
    <row r="1545" spans="1:29" x14ac:dyDescent="0.25">
      <c r="A1545" t="str">
        <f t="shared" si="25"/>
        <v xml:space="preserve">64518GOBFED 290531       </v>
      </c>
      <c r="B1545" s="71">
        <v>64518</v>
      </c>
      <c r="C1545" s="71" t="s">
        <v>837</v>
      </c>
      <c r="D1545" s="71" t="s">
        <v>427</v>
      </c>
      <c r="E1545" s="71" t="s">
        <v>623</v>
      </c>
      <c r="F1545" s="71" t="s">
        <v>624</v>
      </c>
      <c r="G1545" s="74">
        <v>2735</v>
      </c>
      <c r="H1545" s="72">
        <v>86.469353999999996</v>
      </c>
      <c r="I1545" s="73">
        <v>236493.68319000001</v>
      </c>
      <c r="J1545" s="72">
        <v>113.4670266</v>
      </c>
      <c r="K1545" s="73">
        <v>-73838.634560999999</v>
      </c>
      <c r="L1545" s="74">
        <v>0</v>
      </c>
      <c r="M1545" s="73">
        <v>0</v>
      </c>
      <c r="N1545" s="74">
        <v>0</v>
      </c>
      <c r="O1545" s="73">
        <v>0</v>
      </c>
      <c r="P1545" s="74">
        <v>2735</v>
      </c>
      <c r="Q1545" s="73">
        <v>236493.68319000001</v>
      </c>
      <c r="R1545" s="71" t="s">
        <v>625</v>
      </c>
      <c r="S1545" s="71">
        <v>7414000005</v>
      </c>
      <c r="AB1545"/>
      <c r="AC1545"/>
    </row>
    <row r="1546" spans="1:29" x14ac:dyDescent="0.25">
      <c r="A1546" t="str">
        <f t="shared" si="25"/>
        <v xml:space="preserve">64518GOBFED 310529       </v>
      </c>
      <c r="B1546" s="71">
        <v>64518</v>
      </c>
      <c r="C1546" s="71" t="s">
        <v>837</v>
      </c>
      <c r="D1546" s="71" t="s">
        <v>418</v>
      </c>
      <c r="E1546" s="71" t="s">
        <v>623</v>
      </c>
      <c r="F1546" s="71" t="s">
        <v>624</v>
      </c>
      <c r="G1546" s="74">
        <v>950</v>
      </c>
      <c r="H1546" s="72">
        <v>101.45096599999999</v>
      </c>
      <c r="I1546" s="73">
        <v>96378.417700000005</v>
      </c>
      <c r="J1546" s="72">
        <v>126.46131133</v>
      </c>
      <c r="K1546" s="73">
        <v>-23759.828063500001</v>
      </c>
      <c r="L1546" s="74">
        <v>0</v>
      </c>
      <c r="M1546" s="73">
        <v>0</v>
      </c>
      <c r="N1546" s="74">
        <v>0</v>
      </c>
      <c r="O1546" s="73">
        <v>0</v>
      </c>
      <c r="P1546" s="74">
        <v>950</v>
      </c>
      <c r="Q1546" s="73">
        <v>96378.417700000005</v>
      </c>
      <c r="R1546" s="71" t="s">
        <v>625</v>
      </c>
      <c r="S1546" s="71">
        <v>7414000005</v>
      </c>
      <c r="AB1546"/>
      <c r="AC1546"/>
    </row>
    <row r="1547" spans="1:29" x14ac:dyDescent="0.25">
      <c r="A1547" t="str">
        <f t="shared" si="25"/>
        <v xml:space="preserve">64518GOBFED 341123       </v>
      </c>
      <c r="B1547" s="71">
        <v>64518</v>
      </c>
      <c r="C1547" s="71" t="s">
        <v>837</v>
      </c>
      <c r="D1547" s="71" t="s">
        <v>408</v>
      </c>
      <c r="E1547" s="71" t="s">
        <v>623</v>
      </c>
      <c r="F1547" s="71" t="s">
        <v>624</v>
      </c>
      <c r="G1547" s="74">
        <v>605</v>
      </c>
      <c r="H1547" s="72">
        <v>89.643172000000007</v>
      </c>
      <c r="I1547" s="73">
        <v>54234.119059999997</v>
      </c>
      <c r="J1547" s="72">
        <v>103.43579450999999</v>
      </c>
      <c r="K1547" s="73">
        <v>-8344.5366185500006</v>
      </c>
      <c r="L1547" s="74">
        <v>0</v>
      </c>
      <c r="M1547" s="73">
        <v>0</v>
      </c>
      <c r="N1547" s="74">
        <v>0</v>
      </c>
      <c r="O1547" s="73">
        <v>0</v>
      </c>
      <c r="P1547" s="74">
        <v>605</v>
      </c>
      <c r="Q1547" s="73">
        <v>54234.119059999997</v>
      </c>
      <c r="R1547" s="71" t="s">
        <v>625</v>
      </c>
      <c r="S1547" s="71">
        <v>7414000005</v>
      </c>
      <c r="AB1547"/>
      <c r="AC1547"/>
    </row>
    <row r="1548" spans="1:29" x14ac:dyDescent="0.25">
      <c r="A1548" t="str">
        <f t="shared" si="25"/>
        <v xml:space="preserve">64518GOBFED 361120       </v>
      </c>
      <c r="B1548" s="71">
        <v>64518</v>
      </c>
      <c r="C1548" s="71" t="s">
        <v>837</v>
      </c>
      <c r="D1548" s="71" t="s">
        <v>384</v>
      </c>
      <c r="E1548" s="71" t="s">
        <v>623</v>
      </c>
      <c r="F1548" s="71" t="s">
        <v>624</v>
      </c>
      <c r="G1548" s="74">
        <v>1843</v>
      </c>
      <c r="H1548" s="72">
        <v>81.738860000000003</v>
      </c>
      <c r="I1548" s="73">
        <v>150644.71898000001</v>
      </c>
      <c r="J1548" s="72">
        <v>98.027098190000004</v>
      </c>
      <c r="K1548" s="73">
        <v>-30019.222984169999</v>
      </c>
      <c r="L1548" s="74">
        <v>0</v>
      </c>
      <c r="M1548" s="73">
        <v>0</v>
      </c>
      <c r="N1548" s="74">
        <v>0</v>
      </c>
      <c r="O1548" s="73">
        <v>0</v>
      </c>
      <c r="P1548" s="74">
        <v>1843</v>
      </c>
      <c r="Q1548" s="73">
        <v>150644.71898000001</v>
      </c>
      <c r="R1548" s="71" t="s">
        <v>625</v>
      </c>
      <c r="S1548" s="71">
        <v>7414000005</v>
      </c>
      <c r="AB1548"/>
      <c r="AC1548"/>
    </row>
    <row r="1549" spans="1:29" x14ac:dyDescent="0.25">
      <c r="A1549" t="str">
        <f t="shared" si="25"/>
        <v xml:space="preserve">64518GOBFED 381118       </v>
      </c>
      <c r="B1549" s="71">
        <v>64518</v>
      </c>
      <c r="C1549" s="71" t="s">
        <v>837</v>
      </c>
      <c r="D1549" s="71" t="s">
        <v>385</v>
      </c>
      <c r="E1549" s="71" t="s">
        <v>623</v>
      </c>
      <c r="F1549" s="71" t="s">
        <v>624</v>
      </c>
      <c r="G1549" s="74">
        <v>85</v>
      </c>
      <c r="H1549" s="72">
        <v>83.200761</v>
      </c>
      <c r="I1549" s="73">
        <v>7072.0646850000003</v>
      </c>
      <c r="J1549" s="72">
        <v>102.56996688</v>
      </c>
      <c r="K1549" s="73">
        <v>-1646.3824998</v>
      </c>
      <c r="L1549" s="74">
        <v>0</v>
      </c>
      <c r="M1549" s="73">
        <v>0</v>
      </c>
      <c r="N1549" s="74">
        <v>0</v>
      </c>
      <c r="O1549" s="73">
        <v>0</v>
      </c>
      <c r="P1549" s="74">
        <v>85</v>
      </c>
      <c r="Q1549" s="73">
        <v>7072.0646850000003</v>
      </c>
      <c r="R1549" s="71" t="s">
        <v>625</v>
      </c>
      <c r="S1549" s="71">
        <v>7414000005</v>
      </c>
      <c r="AB1549"/>
      <c r="AC1549"/>
    </row>
    <row r="1550" spans="1:29" x14ac:dyDescent="0.25">
      <c r="A1550" t="str">
        <f t="shared" si="25"/>
        <v xml:space="preserve">64518GOBFED 421113       </v>
      </c>
      <c r="B1550" s="71">
        <v>64518</v>
      </c>
      <c r="C1550" s="71" t="s">
        <v>837</v>
      </c>
      <c r="D1550" s="71" t="s">
        <v>429</v>
      </c>
      <c r="E1550" s="71" t="s">
        <v>623</v>
      </c>
      <c r="F1550" s="71" t="s">
        <v>624</v>
      </c>
      <c r="G1550" s="74">
        <v>10000</v>
      </c>
      <c r="H1550" s="72">
        <v>98.007834000000003</v>
      </c>
      <c r="I1550" s="73">
        <v>980078.34</v>
      </c>
      <c r="J1550" s="72">
        <v>86.248249549999997</v>
      </c>
      <c r="K1550" s="73">
        <v>117595.84450000001</v>
      </c>
      <c r="L1550" s="74">
        <v>0</v>
      </c>
      <c r="M1550" s="73">
        <v>0</v>
      </c>
      <c r="N1550" s="74">
        <v>0</v>
      </c>
      <c r="O1550" s="73">
        <v>0</v>
      </c>
      <c r="P1550" s="74">
        <v>10000</v>
      </c>
      <c r="Q1550" s="73">
        <v>980078.34</v>
      </c>
      <c r="R1550" s="71" t="s">
        <v>625</v>
      </c>
      <c r="S1550" s="71">
        <v>7414000005</v>
      </c>
      <c r="AB1550"/>
      <c r="AC1550"/>
    </row>
    <row r="1551" spans="1:29" x14ac:dyDescent="0.25">
      <c r="A1551" t="str">
        <f t="shared" si="25"/>
        <v xml:space="preserve">64518GOBFED 471107       </v>
      </c>
      <c r="B1551" s="71">
        <v>64518</v>
      </c>
      <c r="C1551" s="71" t="s">
        <v>837</v>
      </c>
      <c r="D1551" s="71" t="s">
        <v>389</v>
      </c>
      <c r="E1551" s="71" t="s">
        <v>623</v>
      </c>
      <c r="F1551" s="71" t="s">
        <v>624</v>
      </c>
      <c r="G1551" s="74">
        <v>15736059</v>
      </c>
      <c r="H1551" s="72">
        <v>3.3967719999999999</v>
      </c>
      <c r="I1551" s="73">
        <v>53451804.601548001</v>
      </c>
      <c r="J1551" s="72">
        <v>2.8005271173678237</v>
      </c>
      <c r="K1551" s="73">
        <v>9382544.6515480001</v>
      </c>
      <c r="L1551" s="74">
        <v>0</v>
      </c>
      <c r="M1551" s="73">
        <v>0</v>
      </c>
      <c r="N1551" s="74">
        <v>0</v>
      </c>
      <c r="O1551" s="73">
        <v>0</v>
      </c>
      <c r="P1551" s="74">
        <v>15736059</v>
      </c>
      <c r="Q1551" s="73">
        <v>53451804.601548001</v>
      </c>
      <c r="R1551" s="71" t="s">
        <v>625</v>
      </c>
      <c r="S1551" s="71">
        <v>7414000005</v>
      </c>
      <c r="AB1551"/>
      <c r="AC1551"/>
    </row>
    <row r="1552" spans="1:29" x14ac:dyDescent="0.25">
      <c r="A1552" t="str">
        <f t="shared" si="25"/>
        <v xml:space="preserve">64518PEMEX 13-2          </v>
      </c>
      <c r="B1552" s="71">
        <v>64518</v>
      </c>
      <c r="C1552" s="71" t="s">
        <v>837</v>
      </c>
      <c r="D1552" s="71" t="s">
        <v>482</v>
      </c>
      <c r="E1552" s="71" t="s">
        <v>623</v>
      </c>
      <c r="F1552" s="71" t="s">
        <v>624</v>
      </c>
      <c r="G1552" s="74">
        <v>4763003</v>
      </c>
      <c r="H1552" s="72">
        <v>2.7842250000000002</v>
      </c>
      <c r="I1552" s="73">
        <v>13261272.027674999</v>
      </c>
      <c r="J1552" s="72">
        <v>1.4806143519120185</v>
      </c>
      <c r="K1552" s="73">
        <v>6209101.4276750004</v>
      </c>
      <c r="L1552" s="74">
        <v>0</v>
      </c>
      <c r="M1552" s="73">
        <v>0</v>
      </c>
      <c r="N1552" s="74">
        <v>0</v>
      </c>
      <c r="O1552" s="73">
        <v>0</v>
      </c>
      <c r="P1552" s="74">
        <v>4763003</v>
      </c>
      <c r="Q1552" s="73">
        <v>13261272.027674999</v>
      </c>
      <c r="R1552" s="71" t="s">
        <v>625</v>
      </c>
      <c r="S1552" s="71">
        <v>7414000005</v>
      </c>
      <c r="AB1552"/>
      <c r="AC1552"/>
    </row>
    <row r="1553" spans="1:29" x14ac:dyDescent="0.25">
      <c r="A1553" t="str">
        <f t="shared" si="25"/>
        <v xml:space="preserve">64518STERGOB ED          </v>
      </c>
      <c r="B1553" s="71">
        <v>64518</v>
      </c>
      <c r="C1553" s="71" t="s">
        <v>837</v>
      </c>
      <c r="D1553" s="71" t="s">
        <v>466</v>
      </c>
      <c r="E1553" s="71" t="s">
        <v>623</v>
      </c>
      <c r="F1553" s="71" t="s">
        <v>624</v>
      </c>
      <c r="G1553" s="74">
        <v>564</v>
      </c>
      <c r="H1553" s="72">
        <v>256.05011500000001</v>
      </c>
      <c r="I1553" s="73">
        <v>144412.26486</v>
      </c>
      <c r="J1553" s="72">
        <v>487.32003911999999</v>
      </c>
      <c r="K1553" s="73">
        <v>-130436.23720367999</v>
      </c>
      <c r="L1553" s="74">
        <v>0</v>
      </c>
      <c r="M1553" s="73">
        <v>0</v>
      </c>
      <c r="N1553" s="74">
        <v>0</v>
      </c>
      <c r="O1553" s="73">
        <v>0</v>
      </c>
      <c r="P1553" s="74">
        <v>564</v>
      </c>
      <c r="Q1553" s="73">
        <v>144412.26486</v>
      </c>
      <c r="R1553" s="71" t="s">
        <v>625</v>
      </c>
      <c r="S1553" s="71">
        <v>7414000005</v>
      </c>
      <c r="AB1553"/>
      <c r="AC1553"/>
    </row>
    <row r="1554" spans="1:29" x14ac:dyDescent="0.25">
      <c r="A1554" t="str">
        <f t="shared" si="25"/>
        <v xml:space="preserve">64518SVIVE60 C3          </v>
      </c>
      <c r="B1554" s="71">
        <v>64518</v>
      </c>
      <c r="C1554" s="71" t="s">
        <v>837</v>
      </c>
      <c r="D1554" s="71" t="s">
        <v>391</v>
      </c>
      <c r="E1554" s="71" t="s">
        <v>623</v>
      </c>
      <c r="F1554" s="71" t="s">
        <v>624</v>
      </c>
      <c r="G1554" s="74">
        <v>1840</v>
      </c>
      <c r="H1554" s="72">
        <v>775.69178699999998</v>
      </c>
      <c r="I1554" s="73">
        <v>1427272.8880799999</v>
      </c>
      <c r="J1554" s="72">
        <v>619.14773060902178</v>
      </c>
      <c r="K1554" s="73">
        <v>288041.06375939999</v>
      </c>
      <c r="L1554" s="74">
        <v>0</v>
      </c>
      <c r="M1554" s="73">
        <v>0</v>
      </c>
      <c r="N1554" s="74">
        <v>0</v>
      </c>
      <c r="O1554" s="73">
        <v>0</v>
      </c>
      <c r="P1554" s="74">
        <v>1840</v>
      </c>
      <c r="Q1554" s="73">
        <v>1427272.8880799999</v>
      </c>
      <c r="R1554" s="71" t="s">
        <v>625</v>
      </c>
      <c r="S1554" s="71">
        <v>7414000005</v>
      </c>
      <c r="AB1554"/>
      <c r="AC1554"/>
    </row>
    <row r="1555" spans="1:29" x14ac:dyDescent="0.25">
      <c r="A1555" t="str">
        <f t="shared" si="25"/>
        <v xml:space="preserve">64518TFOVICB 15U         </v>
      </c>
      <c r="B1555" s="71">
        <v>64518</v>
      </c>
      <c r="C1555" s="71" t="s">
        <v>837</v>
      </c>
      <c r="D1555" s="71" t="s">
        <v>392</v>
      </c>
      <c r="E1555" s="71" t="s">
        <v>623</v>
      </c>
      <c r="F1555" s="71" t="s">
        <v>624</v>
      </c>
      <c r="G1555" s="74">
        <v>1540</v>
      </c>
      <c r="H1555" s="72">
        <v>747.17843200000004</v>
      </c>
      <c r="I1555" s="73">
        <v>1150654.78528</v>
      </c>
      <c r="J1555" s="72">
        <v>712.00273322876626</v>
      </c>
      <c r="K1555" s="73">
        <v>54170.576107699999</v>
      </c>
      <c r="L1555" s="74">
        <v>0</v>
      </c>
      <c r="M1555" s="73">
        <v>0</v>
      </c>
      <c r="N1555" s="74">
        <v>0</v>
      </c>
      <c r="O1555" s="73">
        <v>0</v>
      </c>
      <c r="P1555" s="74">
        <v>1540</v>
      </c>
      <c r="Q1555" s="73">
        <v>1150654.78528</v>
      </c>
      <c r="R1555" s="71" t="s">
        <v>625</v>
      </c>
      <c r="S1555" s="71">
        <v>7414000005</v>
      </c>
      <c r="AB1555"/>
      <c r="AC1555"/>
    </row>
    <row r="1556" spans="1:29" x14ac:dyDescent="0.25">
      <c r="A1556" t="str">
        <f t="shared" si="25"/>
        <v xml:space="preserve">64518UDIBONO 251204      </v>
      </c>
      <c r="B1556" s="71">
        <v>64518</v>
      </c>
      <c r="C1556" s="71" t="s">
        <v>837</v>
      </c>
      <c r="D1556" s="71" t="s">
        <v>393</v>
      </c>
      <c r="E1556" s="71" t="s">
        <v>623</v>
      </c>
      <c r="F1556" s="71" t="s">
        <v>624</v>
      </c>
      <c r="G1556" s="74">
        <v>2320</v>
      </c>
      <c r="H1556" s="72">
        <v>765.92388300000005</v>
      </c>
      <c r="I1556" s="73">
        <v>1776943.4085599999</v>
      </c>
      <c r="J1556" s="72">
        <v>608.64914745525857</v>
      </c>
      <c r="K1556" s="73">
        <v>364877.38646379998</v>
      </c>
      <c r="L1556" s="74">
        <v>0</v>
      </c>
      <c r="M1556" s="73">
        <v>0</v>
      </c>
      <c r="N1556" s="74">
        <v>0</v>
      </c>
      <c r="O1556" s="73">
        <v>0</v>
      </c>
      <c r="P1556" s="74">
        <v>2320</v>
      </c>
      <c r="Q1556" s="73">
        <v>1776943.4085599999</v>
      </c>
      <c r="R1556" s="71" t="s">
        <v>625</v>
      </c>
      <c r="S1556" s="71">
        <v>7414000005</v>
      </c>
      <c r="AB1556"/>
      <c r="AC1556"/>
    </row>
    <row r="1557" spans="1:29" x14ac:dyDescent="0.25">
      <c r="A1557" t="str">
        <f t="shared" si="25"/>
        <v xml:space="preserve">64518UDIBONO 261203      </v>
      </c>
      <c r="B1557" s="71">
        <v>64518</v>
      </c>
      <c r="C1557" s="71" t="s">
        <v>837</v>
      </c>
      <c r="D1557" s="71" t="s">
        <v>394</v>
      </c>
      <c r="E1557" s="71" t="s">
        <v>623</v>
      </c>
      <c r="F1557" s="71" t="s">
        <v>624</v>
      </c>
      <c r="G1557" s="74">
        <v>570</v>
      </c>
      <c r="H1557" s="72">
        <v>684.88915799999995</v>
      </c>
      <c r="I1557" s="73">
        <v>390386.82006</v>
      </c>
      <c r="J1557" s="72">
        <v>666.02637400000003</v>
      </c>
      <c r="K1557" s="73">
        <v>10751.78688</v>
      </c>
      <c r="L1557" s="74">
        <v>0</v>
      </c>
      <c r="M1557" s="73">
        <v>0</v>
      </c>
      <c r="N1557" s="74">
        <v>0</v>
      </c>
      <c r="O1557" s="73">
        <v>0</v>
      </c>
      <c r="P1557" s="74">
        <v>570</v>
      </c>
      <c r="Q1557" s="73">
        <v>390386.82006</v>
      </c>
      <c r="R1557" s="71" t="s">
        <v>625</v>
      </c>
      <c r="S1557" s="71">
        <v>7414000005</v>
      </c>
      <c r="AB1557"/>
      <c r="AC1557"/>
    </row>
    <row r="1558" spans="1:29" x14ac:dyDescent="0.25">
      <c r="A1558" t="str">
        <f t="shared" si="25"/>
        <v xml:space="preserve">64518UDIBONO 281130      </v>
      </c>
      <c r="B1558" s="71">
        <v>64518</v>
      </c>
      <c r="C1558" s="71" t="s">
        <v>837</v>
      </c>
      <c r="D1558" s="71" t="s">
        <v>395</v>
      </c>
      <c r="E1558" s="71" t="s">
        <v>623</v>
      </c>
      <c r="F1558" s="71" t="s">
        <v>624</v>
      </c>
      <c r="G1558" s="74">
        <v>408</v>
      </c>
      <c r="H1558" s="72">
        <v>772.926965</v>
      </c>
      <c r="I1558" s="73">
        <v>315354.20172000001</v>
      </c>
      <c r="J1558" s="72">
        <v>586.09956034000004</v>
      </c>
      <c r="K1558" s="73">
        <v>76225.581101279997</v>
      </c>
      <c r="L1558" s="74">
        <v>0</v>
      </c>
      <c r="M1558" s="73">
        <v>0</v>
      </c>
      <c r="N1558" s="74">
        <v>0</v>
      </c>
      <c r="O1558" s="73">
        <v>0</v>
      </c>
      <c r="P1558" s="74">
        <v>408</v>
      </c>
      <c r="Q1558" s="73">
        <v>315354.20172000001</v>
      </c>
      <c r="R1558" s="71" t="s">
        <v>625</v>
      </c>
      <c r="S1558" s="71">
        <v>7414000005</v>
      </c>
      <c r="AB1558"/>
      <c r="AC1558"/>
    </row>
    <row r="1559" spans="1:29" x14ac:dyDescent="0.25">
      <c r="A1559" t="str">
        <f t="shared" si="25"/>
        <v xml:space="preserve">64518UDIBONO 311127      </v>
      </c>
      <c r="B1559" s="71">
        <v>64518</v>
      </c>
      <c r="C1559" s="71" t="s">
        <v>837</v>
      </c>
      <c r="D1559" s="71" t="s">
        <v>396</v>
      </c>
      <c r="E1559" s="71" t="s">
        <v>623</v>
      </c>
      <c r="F1559" s="71" t="s">
        <v>624</v>
      </c>
      <c r="G1559" s="74">
        <v>0</v>
      </c>
      <c r="H1559" s="72">
        <v>0</v>
      </c>
      <c r="I1559" s="73">
        <v>0</v>
      </c>
      <c r="J1559" s="72">
        <v>0</v>
      </c>
      <c r="K1559" s="73">
        <v>0</v>
      </c>
      <c r="L1559" s="74">
        <v>0</v>
      </c>
      <c r="M1559" s="73">
        <v>0</v>
      </c>
      <c r="N1559" s="74">
        <v>0</v>
      </c>
      <c r="O1559" s="73">
        <v>0</v>
      </c>
      <c r="P1559" s="74">
        <v>0</v>
      </c>
      <c r="Q1559" s="73">
        <v>0</v>
      </c>
      <c r="R1559" s="71" t="s">
        <v>625</v>
      </c>
      <c r="S1559" s="71">
        <v>7414000005</v>
      </c>
      <c r="AB1559"/>
      <c r="AC1559"/>
    </row>
    <row r="1560" spans="1:29" x14ac:dyDescent="0.25">
      <c r="A1560" t="str">
        <f t="shared" si="25"/>
        <v xml:space="preserve">64518UDIBONO 351122      </v>
      </c>
      <c r="B1560" s="71">
        <v>64518</v>
      </c>
      <c r="C1560" s="71" t="s">
        <v>837</v>
      </c>
      <c r="D1560" s="71" t="s">
        <v>397</v>
      </c>
      <c r="E1560" s="71" t="s">
        <v>623</v>
      </c>
      <c r="F1560" s="71" t="s">
        <v>624</v>
      </c>
      <c r="G1560" s="74">
        <v>2867</v>
      </c>
      <c r="H1560" s="72">
        <v>635.96311900000001</v>
      </c>
      <c r="I1560" s="73">
        <v>1823306.262173</v>
      </c>
      <c r="J1560" s="72">
        <v>647.93802047999998</v>
      </c>
      <c r="K1560" s="73">
        <v>-34332.042543160002</v>
      </c>
      <c r="L1560" s="74">
        <v>0</v>
      </c>
      <c r="M1560" s="73">
        <v>0</v>
      </c>
      <c r="N1560" s="74">
        <v>0</v>
      </c>
      <c r="O1560" s="73">
        <v>0</v>
      </c>
      <c r="P1560" s="74">
        <v>2867</v>
      </c>
      <c r="Q1560" s="73">
        <v>1823306.262173</v>
      </c>
      <c r="R1560" s="71" t="s">
        <v>625</v>
      </c>
      <c r="S1560" s="71">
        <v>7414000005</v>
      </c>
      <c r="AB1560"/>
      <c r="AC1560"/>
    </row>
    <row r="1561" spans="1:29" x14ac:dyDescent="0.25">
      <c r="A1561" t="str">
        <f t="shared" si="25"/>
        <v xml:space="preserve">64518UDIBONO 401115      </v>
      </c>
      <c r="B1561" s="71">
        <v>64518</v>
      </c>
      <c r="C1561" s="71" t="s">
        <v>837</v>
      </c>
      <c r="D1561" s="71" t="s">
        <v>398</v>
      </c>
      <c r="E1561" s="71" t="s">
        <v>623</v>
      </c>
      <c r="F1561" s="71" t="s">
        <v>624</v>
      </c>
      <c r="G1561" s="74">
        <v>872</v>
      </c>
      <c r="H1561" s="72">
        <v>709.36974099999998</v>
      </c>
      <c r="I1561" s="73">
        <v>618570.41415199998</v>
      </c>
      <c r="J1561" s="72">
        <v>653.27192515000002</v>
      </c>
      <c r="K1561" s="73">
        <v>48917.295421199997</v>
      </c>
      <c r="L1561" s="74">
        <v>0</v>
      </c>
      <c r="M1561" s="73">
        <v>0</v>
      </c>
      <c r="N1561" s="74">
        <v>0</v>
      </c>
      <c r="O1561" s="73">
        <v>0</v>
      </c>
      <c r="P1561" s="74">
        <v>872</v>
      </c>
      <c r="Q1561" s="73">
        <v>618570.41415199998</v>
      </c>
      <c r="R1561" s="71" t="s">
        <v>625</v>
      </c>
      <c r="S1561" s="71">
        <v>7414000005</v>
      </c>
      <c r="AB1561"/>
      <c r="AC1561"/>
    </row>
    <row r="1562" spans="1:29" x14ac:dyDescent="0.25">
      <c r="A1562" t="str">
        <f t="shared" si="25"/>
        <v xml:space="preserve">64518UDIBONO 431112      </v>
      </c>
      <c r="B1562" s="71">
        <v>64518</v>
      </c>
      <c r="C1562" s="71" t="s">
        <v>837</v>
      </c>
      <c r="D1562" s="71" t="s">
        <v>399</v>
      </c>
      <c r="E1562" s="71" t="s">
        <v>623</v>
      </c>
      <c r="F1562" s="71" t="s">
        <v>624</v>
      </c>
      <c r="G1562" s="74">
        <v>3237</v>
      </c>
      <c r="H1562" s="72">
        <v>694.41118700000004</v>
      </c>
      <c r="I1562" s="73">
        <v>2247809.012319</v>
      </c>
      <c r="J1562" s="72">
        <v>726.98370775236947</v>
      </c>
      <c r="K1562" s="73">
        <v>-105437.24967542</v>
      </c>
      <c r="L1562" s="74">
        <v>0</v>
      </c>
      <c r="M1562" s="73">
        <v>0</v>
      </c>
      <c r="N1562" s="74">
        <v>0</v>
      </c>
      <c r="O1562" s="73">
        <v>0</v>
      </c>
      <c r="P1562" s="74">
        <v>3237</v>
      </c>
      <c r="Q1562" s="73">
        <v>2247809.012319</v>
      </c>
      <c r="R1562" s="71" t="s">
        <v>625</v>
      </c>
      <c r="S1562" s="71">
        <v>7414000005</v>
      </c>
      <c r="AB1562"/>
      <c r="AC1562"/>
    </row>
    <row r="1563" spans="1:29" x14ac:dyDescent="0.25">
      <c r="A1563" t="str">
        <f t="shared" si="25"/>
        <v xml:space="preserve">64518UDIBONO 461108      </v>
      </c>
      <c r="B1563" s="71">
        <v>65723</v>
      </c>
      <c r="C1563" s="71" t="s">
        <v>838</v>
      </c>
      <c r="D1563" s="71" t="s">
        <v>598</v>
      </c>
      <c r="E1563" s="71" t="s">
        <v>623</v>
      </c>
      <c r="F1563" s="71" t="s">
        <v>624</v>
      </c>
      <c r="G1563" s="74">
        <v>0</v>
      </c>
      <c r="H1563" s="72">
        <v>0</v>
      </c>
      <c r="I1563" s="73">
        <v>0</v>
      </c>
      <c r="J1563" s="72">
        <v>0</v>
      </c>
      <c r="K1563" s="73">
        <v>0</v>
      </c>
      <c r="L1563" s="74">
        <v>0</v>
      </c>
      <c r="M1563" s="73">
        <v>0</v>
      </c>
      <c r="N1563" s="74">
        <v>0</v>
      </c>
      <c r="O1563" s="73">
        <v>0</v>
      </c>
      <c r="P1563" s="74">
        <v>0</v>
      </c>
      <c r="Q1563" s="73">
        <v>0</v>
      </c>
      <c r="R1563" s="71" t="s">
        <v>625</v>
      </c>
      <c r="S1563" s="71">
        <v>7414000005</v>
      </c>
      <c r="AB1563"/>
      <c r="AC1563"/>
    </row>
    <row r="1564" spans="1:29" x14ac:dyDescent="0.25">
      <c r="A1564" t="str">
        <f t="shared" si="25"/>
        <v xml:space="preserve">64518UDIBONO 501103      </v>
      </c>
      <c r="B1564" s="71">
        <v>65723</v>
      </c>
      <c r="C1564" s="71" t="s">
        <v>838</v>
      </c>
      <c r="D1564" s="71" t="s">
        <v>376</v>
      </c>
      <c r="E1564" s="71" t="s">
        <v>623</v>
      </c>
      <c r="F1564" s="71" t="s">
        <v>624</v>
      </c>
      <c r="G1564" s="74">
        <v>0</v>
      </c>
      <c r="H1564" s="72">
        <v>0</v>
      </c>
      <c r="I1564" s="73">
        <v>0</v>
      </c>
      <c r="J1564" s="72">
        <v>0</v>
      </c>
      <c r="K1564" s="73">
        <v>0</v>
      </c>
      <c r="L1564" s="74">
        <v>0</v>
      </c>
      <c r="M1564" s="73">
        <v>0</v>
      </c>
      <c r="N1564" s="74">
        <v>0</v>
      </c>
      <c r="O1564" s="73">
        <v>0</v>
      </c>
      <c r="P1564" s="74">
        <v>0</v>
      </c>
      <c r="Q1564" s="73">
        <v>0</v>
      </c>
      <c r="R1564" s="71" t="s">
        <v>625</v>
      </c>
      <c r="S1564" s="71">
        <v>7414000005</v>
      </c>
      <c r="AB1564"/>
      <c r="AC1564"/>
    </row>
    <row r="1565" spans="1:29" x14ac:dyDescent="0.25">
      <c r="A1565" t="str">
        <f t="shared" si="25"/>
        <v xml:space="preserve">65723FOVISCB 19-2U       </v>
      </c>
      <c r="B1565" s="71">
        <v>65723</v>
      </c>
      <c r="C1565" s="71" t="s">
        <v>838</v>
      </c>
      <c r="D1565" s="71" t="s">
        <v>382</v>
      </c>
      <c r="E1565" s="71" t="s">
        <v>623</v>
      </c>
      <c r="F1565" s="71" t="s">
        <v>624</v>
      </c>
      <c r="G1565" s="74">
        <v>0</v>
      </c>
      <c r="H1565" s="72">
        <v>0</v>
      </c>
      <c r="I1565" s="73">
        <v>0</v>
      </c>
      <c r="J1565" s="72">
        <v>0</v>
      </c>
      <c r="K1565" s="73">
        <v>0</v>
      </c>
      <c r="L1565" s="74">
        <v>0</v>
      </c>
      <c r="M1565" s="73">
        <v>0</v>
      </c>
      <c r="N1565" s="74">
        <v>0</v>
      </c>
      <c r="O1565" s="73">
        <v>0</v>
      </c>
      <c r="P1565" s="74">
        <v>0</v>
      </c>
      <c r="Q1565" s="73">
        <v>0</v>
      </c>
      <c r="R1565" s="71" t="s">
        <v>625</v>
      </c>
      <c r="S1565" s="71">
        <v>7414000005</v>
      </c>
      <c r="AB1565"/>
      <c r="AC1565"/>
    </row>
    <row r="1566" spans="1:29" x14ac:dyDescent="0.25">
      <c r="A1566" t="str">
        <f t="shared" si="25"/>
        <v xml:space="preserve">65723GOBFED 241205       </v>
      </c>
      <c r="B1566" s="71">
        <v>65723</v>
      </c>
      <c r="C1566" s="71" t="s">
        <v>838</v>
      </c>
      <c r="D1566" s="71" t="s">
        <v>396</v>
      </c>
      <c r="E1566" s="71" t="s">
        <v>623</v>
      </c>
      <c r="F1566" s="71" t="s">
        <v>624</v>
      </c>
      <c r="G1566" s="74">
        <v>0</v>
      </c>
      <c r="H1566" s="72">
        <v>0</v>
      </c>
      <c r="I1566" s="73">
        <v>0</v>
      </c>
      <c r="J1566" s="72">
        <v>0</v>
      </c>
      <c r="K1566" s="73">
        <v>0</v>
      </c>
      <c r="L1566" s="74">
        <v>0</v>
      </c>
      <c r="M1566" s="73">
        <v>0</v>
      </c>
      <c r="N1566" s="74">
        <v>0</v>
      </c>
      <c r="O1566" s="73">
        <v>0</v>
      </c>
      <c r="P1566" s="74">
        <v>0</v>
      </c>
      <c r="Q1566" s="73">
        <v>0</v>
      </c>
      <c r="R1566" s="71" t="s">
        <v>625</v>
      </c>
      <c r="S1566" s="71">
        <v>7414000005</v>
      </c>
      <c r="AB1566"/>
      <c r="AC1566"/>
    </row>
    <row r="1567" spans="1:29" x14ac:dyDescent="0.25">
      <c r="A1567" t="str">
        <f t="shared" si="25"/>
        <v xml:space="preserve">65723GOBFED 310529       </v>
      </c>
      <c r="B1567" s="71">
        <v>71358</v>
      </c>
      <c r="C1567" s="71" t="s">
        <v>839</v>
      </c>
      <c r="D1567" s="71" t="s">
        <v>376</v>
      </c>
      <c r="E1567" s="71" t="s">
        <v>623</v>
      </c>
      <c r="F1567" s="71" t="s">
        <v>624</v>
      </c>
      <c r="G1567" s="74">
        <v>0</v>
      </c>
      <c r="H1567" s="72">
        <v>0</v>
      </c>
      <c r="I1567" s="73">
        <v>0</v>
      </c>
      <c r="J1567" s="72">
        <v>0</v>
      </c>
      <c r="K1567" s="73">
        <v>0</v>
      </c>
      <c r="L1567" s="74">
        <v>0</v>
      </c>
      <c r="M1567" s="73">
        <v>0</v>
      </c>
      <c r="N1567" s="74">
        <v>0</v>
      </c>
      <c r="O1567" s="73">
        <v>0</v>
      </c>
      <c r="P1567" s="74">
        <v>0</v>
      </c>
      <c r="Q1567" s="73">
        <v>0</v>
      </c>
      <c r="R1567" s="71" t="s">
        <v>625</v>
      </c>
      <c r="S1567" s="71">
        <v>7414000005</v>
      </c>
      <c r="AB1567"/>
      <c r="AC1567"/>
    </row>
    <row r="1568" spans="1:29" x14ac:dyDescent="0.25">
      <c r="A1568" t="str">
        <f t="shared" si="25"/>
        <v xml:space="preserve">65723UDIBONO 401115      </v>
      </c>
      <c r="B1568" s="71">
        <v>71358</v>
      </c>
      <c r="C1568" s="71" t="s">
        <v>839</v>
      </c>
      <c r="D1568" s="71" t="s">
        <v>382</v>
      </c>
      <c r="E1568" s="71" t="s">
        <v>623</v>
      </c>
      <c r="F1568" s="71" t="s">
        <v>624</v>
      </c>
      <c r="G1568" s="74">
        <v>0</v>
      </c>
      <c r="H1568" s="72">
        <v>0</v>
      </c>
      <c r="I1568" s="73">
        <v>0</v>
      </c>
      <c r="J1568" s="72">
        <v>0</v>
      </c>
      <c r="K1568" s="73">
        <v>0</v>
      </c>
      <c r="L1568" s="74">
        <v>0</v>
      </c>
      <c r="M1568" s="73">
        <v>0</v>
      </c>
      <c r="N1568" s="74">
        <v>0</v>
      </c>
      <c r="O1568" s="73">
        <v>0</v>
      </c>
      <c r="P1568" s="74">
        <v>0</v>
      </c>
      <c r="Q1568" s="73">
        <v>0</v>
      </c>
      <c r="R1568" s="71" t="s">
        <v>625</v>
      </c>
      <c r="S1568" s="71">
        <v>7414000005</v>
      </c>
      <c r="AB1568"/>
      <c r="AC1568"/>
    </row>
    <row r="1569" spans="1:29" x14ac:dyDescent="0.25">
      <c r="A1569" t="str">
        <f t="shared" si="25"/>
        <v xml:space="preserve">71358GOBFED 241205       </v>
      </c>
      <c r="B1569" s="71">
        <v>71358</v>
      </c>
      <c r="C1569" s="71" t="s">
        <v>839</v>
      </c>
      <c r="D1569" s="71" t="s">
        <v>396</v>
      </c>
      <c r="E1569" s="71" t="s">
        <v>623</v>
      </c>
      <c r="F1569" s="71" t="s">
        <v>624</v>
      </c>
      <c r="G1569" s="74">
        <v>0</v>
      </c>
      <c r="H1569" s="72">
        <v>0</v>
      </c>
      <c r="I1569" s="73">
        <v>0</v>
      </c>
      <c r="J1569" s="72">
        <v>0</v>
      </c>
      <c r="K1569" s="73">
        <v>0</v>
      </c>
      <c r="L1569" s="74">
        <v>0</v>
      </c>
      <c r="M1569" s="73">
        <v>0</v>
      </c>
      <c r="N1569" s="74">
        <v>0</v>
      </c>
      <c r="O1569" s="73">
        <v>0</v>
      </c>
      <c r="P1569" s="74">
        <v>0</v>
      </c>
      <c r="Q1569" s="73">
        <v>0</v>
      </c>
      <c r="R1569" s="71" t="s">
        <v>625</v>
      </c>
      <c r="S1569" s="71">
        <v>7414000005</v>
      </c>
      <c r="AB1569"/>
      <c r="AC1569"/>
    </row>
    <row r="1570" spans="1:29" x14ac:dyDescent="0.25">
      <c r="A1570" t="str">
        <f t="shared" si="25"/>
        <v xml:space="preserve">71358GOBFED 310529       </v>
      </c>
      <c r="B1570" s="71">
        <v>71610</v>
      </c>
      <c r="C1570" s="71" t="s">
        <v>840</v>
      </c>
      <c r="D1570" s="71" t="s">
        <v>470</v>
      </c>
      <c r="E1570" s="71" t="s">
        <v>623</v>
      </c>
      <c r="F1570" s="71" t="s">
        <v>624</v>
      </c>
      <c r="G1570" s="74">
        <v>0</v>
      </c>
      <c r="H1570" s="72">
        <v>0</v>
      </c>
      <c r="I1570" s="73">
        <v>0</v>
      </c>
      <c r="J1570" s="72">
        <v>0</v>
      </c>
      <c r="K1570" s="73">
        <v>0</v>
      </c>
      <c r="L1570" s="74">
        <v>0</v>
      </c>
      <c r="M1570" s="73">
        <v>0</v>
      </c>
      <c r="N1570" s="74">
        <v>0</v>
      </c>
      <c r="O1570" s="73">
        <v>0</v>
      </c>
      <c r="P1570" s="74">
        <v>0</v>
      </c>
      <c r="Q1570" s="73">
        <v>0</v>
      </c>
      <c r="R1570" s="71" t="s">
        <v>625</v>
      </c>
      <c r="S1570" s="71">
        <v>7414000005</v>
      </c>
      <c r="AB1570"/>
      <c r="AC1570"/>
    </row>
    <row r="1571" spans="1:29" x14ac:dyDescent="0.25">
      <c r="A1571" t="str">
        <f t="shared" si="25"/>
        <v xml:space="preserve">71358UDIBONO 401115      </v>
      </c>
      <c r="B1571" s="71">
        <v>71610</v>
      </c>
      <c r="C1571" s="71" t="s">
        <v>840</v>
      </c>
      <c r="D1571" s="71" t="s">
        <v>376</v>
      </c>
      <c r="E1571" s="71" t="s">
        <v>623</v>
      </c>
      <c r="F1571" s="71" t="s">
        <v>624</v>
      </c>
      <c r="G1571" s="74">
        <v>0</v>
      </c>
      <c r="H1571" s="72">
        <v>0</v>
      </c>
      <c r="I1571" s="73">
        <v>0</v>
      </c>
      <c r="J1571" s="72">
        <v>0</v>
      </c>
      <c r="K1571" s="73">
        <v>0</v>
      </c>
      <c r="L1571" s="74">
        <v>0</v>
      </c>
      <c r="M1571" s="73">
        <v>0</v>
      </c>
      <c r="N1571" s="74">
        <v>0</v>
      </c>
      <c r="O1571" s="73">
        <v>0</v>
      </c>
      <c r="P1571" s="74">
        <v>0</v>
      </c>
      <c r="Q1571" s="73">
        <v>0</v>
      </c>
      <c r="R1571" s="71" t="s">
        <v>625</v>
      </c>
      <c r="S1571" s="71">
        <v>7414000005</v>
      </c>
      <c r="AB1571"/>
      <c r="AC1571"/>
    </row>
    <row r="1572" spans="1:29" x14ac:dyDescent="0.25">
      <c r="A1572" t="str">
        <f t="shared" si="25"/>
        <v xml:space="preserve">71610CETES 131017        </v>
      </c>
      <c r="B1572" s="71">
        <v>71610</v>
      </c>
      <c r="C1572" s="71" t="s">
        <v>840</v>
      </c>
      <c r="D1572" s="71" t="s">
        <v>382</v>
      </c>
      <c r="E1572" s="71" t="s">
        <v>623</v>
      </c>
      <c r="F1572" s="71" t="s">
        <v>624</v>
      </c>
      <c r="G1572" s="74">
        <v>0</v>
      </c>
      <c r="H1572" s="72">
        <v>0</v>
      </c>
      <c r="I1572" s="73">
        <v>0</v>
      </c>
      <c r="J1572" s="72">
        <v>0</v>
      </c>
      <c r="K1572" s="73">
        <v>0</v>
      </c>
      <c r="L1572" s="74">
        <v>0</v>
      </c>
      <c r="M1572" s="73">
        <v>0</v>
      </c>
      <c r="N1572" s="74">
        <v>0</v>
      </c>
      <c r="O1572" s="73">
        <v>0</v>
      </c>
      <c r="P1572" s="74">
        <v>0</v>
      </c>
      <c r="Q1572" s="73">
        <v>0</v>
      </c>
      <c r="R1572" s="71" t="s">
        <v>625</v>
      </c>
      <c r="S1572" s="71">
        <v>7414000005</v>
      </c>
      <c r="AB1572"/>
      <c r="AC1572"/>
    </row>
    <row r="1573" spans="1:29" x14ac:dyDescent="0.25">
      <c r="A1573" t="str">
        <f t="shared" si="25"/>
        <v xml:space="preserve">71610GOBFED 241205       </v>
      </c>
      <c r="B1573" s="71">
        <v>71610</v>
      </c>
      <c r="C1573" s="71" t="s">
        <v>840</v>
      </c>
      <c r="D1573" s="71" t="s">
        <v>396</v>
      </c>
      <c r="E1573" s="71" t="s">
        <v>623</v>
      </c>
      <c r="F1573" s="71" t="s">
        <v>624</v>
      </c>
      <c r="G1573" s="74">
        <v>0</v>
      </c>
      <c r="H1573" s="72">
        <v>0</v>
      </c>
      <c r="I1573" s="73">
        <v>0</v>
      </c>
      <c r="J1573" s="72">
        <v>0</v>
      </c>
      <c r="K1573" s="73">
        <v>0</v>
      </c>
      <c r="L1573" s="74">
        <v>0</v>
      </c>
      <c r="M1573" s="73">
        <v>0</v>
      </c>
      <c r="N1573" s="74">
        <v>0</v>
      </c>
      <c r="O1573" s="73">
        <v>0</v>
      </c>
      <c r="P1573" s="74">
        <v>0</v>
      </c>
      <c r="Q1573" s="73">
        <v>0</v>
      </c>
      <c r="R1573" s="71" t="s">
        <v>625</v>
      </c>
      <c r="S1573" s="71">
        <v>7414000005</v>
      </c>
      <c r="AB1573"/>
      <c r="AC1573"/>
    </row>
    <row r="1574" spans="1:29" x14ac:dyDescent="0.25">
      <c r="A1574" t="str">
        <f t="shared" si="25"/>
        <v xml:space="preserve">71610GOBFED 310529       </v>
      </c>
      <c r="B1574" s="71">
        <v>72636</v>
      </c>
      <c r="C1574" s="71" t="s">
        <v>841</v>
      </c>
      <c r="D1574" s="71" t="s">
        <v>358</v>
      </c>
      <c r="E1574" s="71" t="s">
        <v>623</v>
      </c>
      <c r="F1574" s="71" t="s">
        <v>624</v>
      </c>
      <c r="G1574" s="74">
        <v>65</v>
      </c>
      <c r="H1574" s="72">
        <v>1786.5</v>
      </c>
      <c r="I1574" s="73">
        <v>116122.5</v>
      </c>
      <c r="J1574" s="72">
        <v>1492.6649230769231</v>
      </c>
      <c r="K1574" s="73">
        <v>19099.28</v>
      </c>
      <c r="L1574" s="74">
        <v>0</v>
      </c>
      <c r="M1574" s="73">
        <v>0</v>
      </c>
      <c r="N1574" s="74">
        <v>0</v>
      </c>
      <c r="O1574" s="73">
        <v>0</v>
      </c>
      <c r="P1574" s="74">
        <v>65</v>
      </c>
      <c r="Q1574" s="73">
        <v>116122.5</v>
      </c>
      <c r="R1574" s="71" t="s">
        <v>625</v>
      </c>
      <c r="S1574" s="71">
        <v>7414000005</v>
      </c>
      <c r="AB1574"/>
      <c r="AC1574"/>
    </row>
    <row r="1575" spans="1:29" x14ac:dyDescent="0.25">
      <c r="A1575" t="str">
        <f t="shared" si="25"/>
        <v xml:space="preserve">71610UDIBONO 401115      </v>
      </c>
      <c r="B1575" s="71">
        <v>72636</v>
      </c>
      <c r="C1575" s="71" t="s">
        <v>841</v>
      </c>
      <c r="D1575" s="71" t="s">
        <v>422</v>
      </c>
      <c r="E1575" s="71" t="s">
        <v>623</v>
      </c>
      <c r="F1575" s="71" t="s">
        <v>624</v>
      </c>
      <c r="G1575" s="74">
        <v>10</v>
      </c>
      <c r="H1575" s="72">
        <v>97.654420999999999</v>
      </c>
      <c r="I1575" s="73">
        <v>976.54421000000002</v>
      </c>
      <c r="J1575" s="72">
        <v>98.224185000000006</v>
      </c>
      <c r="K1575" s="73">
        <v>-5.6976399999999998</v>
      </c>
      <c r="L1575" s="74">
        <v>0</v>
      </c>
      <c r="M1575" s="73">
        <v>0</v>
      </c>
      <c r="N1575" s="74">
        <v>0</v>
      </c>
      <c r="O1575" s="73">
        <v>0</v>
      </c>
      <c r="P1575" s="74">
        <v>10</v>
      </c>
      <c r="Q1575" s="73">
        <v>976.54421000000002</v>
      </c>
      <c r="R1575" s="71" t="s">
        <v>625</v>
      </c>
      <c r="S1575" s="71">
        <v>7414000005</v>
      </c>
      <c r="AB1575"/>
      <c r="AC1575"/>
    </row>
    <row r="1576" spans="1:29" x14ac:dyDescent="0.25">
      <c r="A1576" t="str">
        <f t="shared" si="25"/>
        <v xml:space="preserve">72636ACWI *              </v>
      </c>
      <c r="B1576" s="71">
        <v>72636</v>
      </c>
      <c r="C1576" s="71" t="s">
        <v>841</v>
      </c>
      <c r="D1576" s="71" t="s">
        <v>363</v>
      </c>
      <c r="E1576" s="71" t="s">
        <v>623</v>
      </c>
      <c r="F1576" s="71" t="s">
        <v>624</v>
      </c>
      <c r="G1576" s="74">
        <v>1149</v>
      </c>
      <c r="H1576" s="72">
        <v>9.4935880000000008</v>
      </c>
      <c r="I1576" s="73">
        <v>10908.132611999999</v>
      </c>
      <c r="J1576" s="72">
        <v>8.4405498100000003</v>
      </c>
      <c r="K1576" s="73">
        <v>1209.94088031</v>
      </c>
      <c r="L1576" s="74">
        <v>0</v>
      </c>
      <c r="M1576" s="73">
        <v>0</v>
      </c>
      <c r="N1576" s="74">
        <v>0</v>
      </c>
      <c r="O1576" s="73">
        <v>0</v>
      </c>
      <c r="P1576" s="74">
        <v>1149</v>
      </c>
      <c r="Q1576" s="73">
        <v>10908.132611999999</v>
      </c>
      <c r="R1576" s="71" t="s">
        <v>625</v>
      </c>
      <c r="S1576" s="71">
        <v>7414000005</v>
      </c>
      <c r="AB1576"/>
      <c r="AC1576"/>
    </row>
    <row r="1577" spans="1:29" x14ac:dyDescent="0.25">
      <c r="A1577" t="str">
        <f t="shared" si="25"/>
        <v xml:space="preserve">72636CETELEM 22          </v>
      </c>
      <c r="B1577" s="71">
        <v>72636</v>
      </c>
      <c r="C1577" s="71" t="s">
        <v>841</v>
      </c>
      <c r="D1577" s="71" t="s">
        <v>409</v>
      </c>
      <c r="E1577" s="71" t="s">
        <v>623</v>
      </c>
      <c r="F1577" s="71" t="s">
        <v>624</v>
      </c>
      <c r="G1577" s="74">
        <v>1600</v>
      </c>
      <c r="H1577" s="72">
        <v>9.3381629999999998</v>
      </c>
      <c r="I1577" s="73">
        <v>14941.060799999999</v>
      </c>
      <c r="J1577" s="72">
        <v>8.3307969100000001</v>
      </c>
      <c r="K1577" s="73">
        <v>1611.785744</v>
      </c>
      <c r="L1577" s="74">
        <v>0</v>
      </c>
      <c r="M1577" s="73">
        <v>0</v>
      </c>
      <c r="N1577" s="74">
        <v>0</v>
      </c>
      <c r="O1577" s="73">
        <v>0</v>
      </c>
      <c r="P1577" s="74">
        <v>1600</v>
      </c>
      <c r="Q1577" s="73">
        <v>14941.060799999999</v>
      </c>
      <c r="R1577" s="71" t="s">
        <v>625</v>
      </c>
      <c r="S1577" s="71">
        <v>7414000005</v>
      </c>
      <c r="AB1577"/>
      <c r="AC1577"/>
    </row>
    <row r="1578" spans="1:29" x14ac:dyDescent="0.25">
      <c r="A1578" t="str">
        <f t="shared" si="25"/>
        <v xml:space="preserve">72636CETES 241003        </v>
      </c>
      <c r="B1578" s="71">
        <v>72636</v>
      </c>
      <c r="C1578" s="71" t="s">
        <v>841</v>
      </c>
      <c r="D1578" s="71" t="s">
        <v>375</v>
      </c>
      <c r="E1578" s="71" t="s">
        <v>623</v>
      </c>
      <c r="F1578" s="71" t="s">
        <v>624</v>
      </c>
      <c r="G1578" s="74">
        <v>13</v>
      </c>
      <c r="H1578" s="72">
        <v>98.730349000000004</v>
      </c>
      <c r="I1578" s="73">
        <v>1283.494537</v>
      </c>
      <c r="J1578" s="72">
        <v>100.3572301</v>
      </c>
      <c r="K1578" s="73">
        <v>-21.149454299999999</v>
      </c>
      <c r="L1578" s="74">
        <v>0</v>
      </c>
      <c r="M1578" s="73">
        <v>0</v>
      </c>
      <c r="N1578" s="74">
        <v>0</v>
      </c>
      <c r="O1578" s="73">
        <v>0</v>
      </c>
      <c r="P1578" s="74">
        <v>13</v>
      </c>
      <c r="Q1578" s="73">
        <v>1283.494537</v>
      </c>
      <c r="R1578" s="71" t="s">
        <v>625</v>
      </c>
      <c r="S1578" s="71">
        <v>7414000005</v>
      </c>
      <c r="AB1578"/>
      <c r="AC1578"/>
    </row>
    <row r="1579" spans="1:29" x14ac:dyDescent="0.25">
      <c r="A1579" t="str">
        <f t="shared" si="25"/>
        <v xml:space="preserve">72636CETES 241128        </v>
      </c>
      <c r="B1579" s="71">
        <v>72636</v>
      </c>
      <c r="C1579" s="71" t="s">
        <v>841</v>
      </c>
      <c r="D1579" s="71" t="s">
        <v>376</v>
      </c>
      <c r="E1579" s="71" t="s">
        <v>623</v>
      </c>
      <c r="F1579" s="71" t="s">
        <v>624</v>
      </c>
      <c r="G1579" s="74">
        <v>70</v>
      </c>
      <c r="H1579" s="72">
        <v>99.247497999999993</v>
      </c>
      <c r="I1579" s="73">
        <v>6947.3248599999997</v>
      </c>
      <c r="J1579" s="72">
        <v>111.35703942857143</v>
      </c>
      <c r="K1579" s="73">
        <v>-847.66790000000003</v>
      </c>
      <c r="L1579" s="74">
        <v>0</v>
      </c>
      <c r="M1579" s="73">
        <v>0</v>
      </c>
      <c r="N1579" s="74">
        <v>0</v>
      </c>
      <c r="O1579" s="73">
        <v>0</v>
      </c>
      <c r="P1579" s="74">
        <v>70</v>
      </c>
      <c r="Q1579" s="73">
        <v>6947.3248599999997</v>
      </c>
      <c r="R1579" s="71" t="s">
        <v>625</v>
      </c>
      <c r="S1579" s="71">
        <v>7414000005</v>
      </c>
      <c r="AB1579"/>
      <c r="AC1579"/>
    </row>
    <row r="1580" spans="1:29" x14ac:dyDescent="0.25">
      <c r="A1580" t="str">
        <f t="shared" si="25"/>
        <v xml:space="preserve">72636GOBFED 240905       </v>
      </c>
      <c r="B1580" s="71">
        <v>72636</v>
      </c>
      <c r="C1580" s="71" t="s">
        <v>841</v>
      </c>
      <c r="D1580" s="71" t="s">
        <v>377</v>
      </c>
      <c r="E1580" s="71" t="s">
        <v>623</v>
      </c>
      <c r="F1580" s="71" t="s">
        <v>624</v>
      </c>
      <c r="G1580" s="74">
        <v>20</v>
      </c>
      <c r="H1580" s="72">
        <v>94.973146999999997</v>
      </c>
      <c r="I1580" s="73">
        <v>1899.4629399999999</v>
      </c>
      <c r="J1580" s="72">
        <v>89.754779659999997</v>
      </c>
      <c r="K1580" s="73">
        <v>104.36734680000001</v>
      </c>
      <c r="L1580" s="74">
        <v>0</v>
      </c>
      <c r="M1580" s="73">
        <v>0</v>
      </c>
      <c r="N1580" s="74">
        <v>0</v>
      </c>
      <c r="O1580" s="73">
        <v>0</v>
      </c>
      <c r="P1580" s="74">
        <v>20</v>
      </c>
      <c r="Q1580" s="73">
        <v>1899.4629399999999</v>
      </c>
      <c r="R1580" s="71" t="s">
        <v>625</v>
      </c>
      <c r="S1580" s="71">
        <v>7414000005</v>
      </c>
      <c r="AB1580"/>
      <c r="AC1580"/>
    </row>
    <row r="1581" spans="1:29" x14ac:dyDescent="0.25">
      <c r="A1581" t="str">
        <f t="shared" si="25"/>
        <v xml:space="preserve">72636GOBFED 241205       </v>
      </c>
      <c r="B1581" s="71">
        <v>72636</v>
      </c>
      <c r="C1581" s="71" t="s">
        <v>841</v>
      </c>
      <c r="D1581" s="71" t="s">
        <v>378</v>
      </c>
      <c r="E1581" s="71" t="s">
        <v>623</v>
      </c>
      <c r="F1581" s="71" t="s">
        <v>624</v>
      </c>
      <c r="G1581" s="74">
        <v>88</v>
      </c>
      <c r="H1581" s="72">
        <v>91.911821000000003</v>
      </c>
      <c r="I1581" s="73">
        <v>8088.2402480000001</v>
      </c>
      <c r="J1581" s="72">
        <v>93.2088459</v>
      </c>
      <c r="K1581" s="73">
        <v>-114.13819119999999</v>
      </c>
      <c r="L1581" s="74">
        <v>0</v>
      </c>
      <c r="M1581" s="73">
        <v>0</v>
      </c>
      <c r="N1581" s="74">
        <v>0</v>
      </c>
      <c r="O1581" s="73">
        <v>0</v>
      </c>
      <c r="P1581" s="74">
        <v>88</v>
      </c>
      <c r="Q1581" s="73">
        <v>8088.2402480000001</v>
      </c>
      <c r="R1581" s="71" t="s">
        <v>625</v>
      </c>
      <c r="S1581" s="71">
        <v>7414000005</v>
      </c>
      <c r="AB1581"/>
      <c r="AC1581"/>
    </row>
    <row r="1582" spans="1:29" x14ac:dyDescent="0.25">
      <c r="A1582" t="str">
        <f t="shared" si="25"/>
        <v xml:space="preserve">72636GOBFED 250306       </v>
      </c>
      <c r="B1582" s="71">
        <v>72636</v>
      </c>
      <c r="C1582" s="71" t="s">
        <v>841</v>
      </c>
      <c r="D1582" s="71" t="s">
        <v>499</v>
      </c>
      <c r="E1582" s="71" t="s">
        <v>623</v>
      </c>
      <c r="F1582" s="71" t="s">
        <v>624</v>
      </c>
      <c r="G1582" s="74">
        <v>50</v>
      </c>
      <c r="H1582" s="72">
        <v>92.954503000000003</v>
      </c>
      <c r="I1582" s="73">
        <v>4647.7251500000002</v>
      </c>
      <c r="J1582" s="72">
        <v>93.270420958000003</v>
      </c>
      <c r="K1582" s="73">
        <v>-15.7958979</v>
      </c>
      <c r="L1582" s="74">
        <v>0</v>
      </c>
      <c r="M1582" s="73">
        <v>0</v>
      </c>
      <c r="N1582" s="74">
        <v>0</v>
      </c>
      <c r="O1582" s="73">
        <v>0</v>
      </c>
      <c r="P1582" s="74">
        <v>50</v>
      </c>
      <c r="Q1582" s="73">
        <v>4647.7251500000002</v>
      </c>
      <c r="R1582" s="71" t="s">
        <v>625</v>
      </c>
      <c r="S1582" s="71">
        <v>7414000005</v>
      </c>
      <c r="AB1582"/>
      <c r="AC1582"/>
    </row>
    <row r="1583" spans="1:29" x14ac:dyDescent="0.25">
      <c r="A1583" t="str">
        <f t="shared" si="25"/>
        <v xml:space="preserve">72636GOBFED 260305       </v>
      </c>
      <c r="B1583" s="71">
        <v>72636</v>
      </c>
      <c r="C1583" s="71" t="s">
        <v>841</v>
      </c>
      <c r="D1583" s="71" t="s">
        <v>379</v>
      </c>
      <c r="E1583" s="71" t="s">
        <v>623</v>
      </c>
      <c r="F1583" s="71" t="s">
        <v>624</v>
      </c>
      <c r="G1583" s="74">
        <v>49</v>
      </c>
      <c r="H1583" s="72">
        <v>88.698122999999995</v>
      </c>
      <c r="I1583" s="73">
        <v>4346.2080269999997</v>
      </c>
      <c r="J1583" s="72">
        <v>85.58755992591837</v>
      </c>
      <c r="K1583" s="73">
        <v>152.41759063000001</v>
      </c>
      <c r="L1583" s="74">
        <v>0</v>
      </c>
      <c r="M1583" s="73">
        <v>0</v>
      </c>
      <c r="N1583" s="74">
        <v>0</v>
      </c>
      <c r="O1583" s="73">
        <v>0</v>
      </c>
      <c r="P1583" s="74">
        <v>49</v>
      </c>
      <c r="Q1583" s="73">
        <v>4346.2080269999997</v>
      </c>
      <c r="R1583" s="71" t="s">
        <v>625</v>
      </c>
      <c r="S1583" s="71">
        <v>7414000005</v>
      </c>
      <c r="AB1583"/>
      <c r="AC1583"/>
    </row>
    <row r="1584" spans="1:29" x14ac:dyDescent="0.25">
      <c r="A1584" t="str">
        <f t="shared" si="25"/>
        <v xml:space="preserve">72636GOBFED 260903       </v>
      </c>
      <c r="B1584" s="71">
        <v>72636</v>
      </c>
      <c r="C1584" s="71" t="s">
        <v>841</v>
      </c>
      <c r="D1584" s="71" t="s">
        <v>380</v>
      </c>
      <c r="E1584" s="71" t="s">
        <v>623</v>
      </c>
      <c r="F1584" s="71" t="s">
        <v>624</v>
      </c>
      <c r="G1584" s="74">
        <v>141</v>
      </c>
      <c r="H1584" s="72">
        <v>93.314192000000006</v>
      </c>
      <c r="I1584" s="73">
        <v>13157.301072</v>
      </c>
      <c r="J1584" s="72">
        <v>94.238964733120568</v>
      </c>
      <c r="K1584" s="73">
        <v>-130.39295537000001</v>
      </c>
      <c r="L1584" s="74">
        <v>0</v>
      </c>
      <c r="M1584" s="73">
        <v>0</v>
      </c>
      <c r="N1584" s="74">
        <v>0</v>
      </c>
      <c r="O1584" s="73">
        <v>0</v>
      </c>
      <c r="P1584" s="74">
        <v>141</v>
      </c>
      <c r="Q1584" s="73">
        <v>13157.301072</v>
      </c>
      <c r="R1584" s="71" t="s">
        <v>625</v>
      </c>
      <c r="S1584" s="71">
        <v>7414000005</v>
      </c>
      <c r="AB1584"/>
      <c r="AC1584"/>
    </row>
    <row r="1585" spans="1:29" x14ac:dyDescent="0.25">
      <c r="A1585" t="str">
        <f t="shared" si="25"/>
        <v xml:space="preserve">72636GOBFED 270304       </v>
      </c>
      <c r="B1585" s="71">
        <v>72636</v>
      </c>
      <c r="C1585" s="71" t="s">
        <v>841</v>
      </c>
      <c r="D1585" s="71" t="s">
        <v>507</v>
      </c>
      <c r="E1585" s="71" t="s">
        <v>623</v>
      </c>
      <c r="F1585" s="71" t="s">
        <v>624</v>
      </c>
      <c r="G1585" s="74">
        <v>39</v>
      </c>
      <c r="H1585" s="72">
        <v>94.864168000000006</v>
      </c>
      <c r="I1585" s="73">
        <v>3699.7025520000002</v>
      </c>
      <c r="J1585" s="72">
        <v>96.596719710000002</v>
      </c>
      <c r="K1585" s="73">
        <v>-67.56951669</v>
      </c>
      <c r="L1585" s="74">
        <v>0</v>
      </c>
      <c r="M1585" s="73">
        <v>0</v>
      </c>
      <c r="N1585" s="74">
        <v>0</v>
      </c>
      <c r="O1585" s="73">
        <v>0</v>
      </c>
      <c r="P1585" s="74">
        <v>39</v>
      </c>
      <c r="Q1585" s="73">
        <v>3699.7025520000002</v>
      </c>
      <c r="R1585" s="71" t="s">
        <v>625</v>
      </c>
      <c r="S1585" s="71">
        <v>7414000005</v>
      </c>
      <c r="AB1585"/>
      <c r="AC1585"/>
    </row>
    <row r="1586" spans="1:29" x14ac:dyDescent="0.25">
      <c r="A1586" t="str">
        <f t="shared" si="25"/>
        <v xml:space="preserve">72636GOBFED 270603       </v>
      </c>
      <c r="B1586" s="71">
        <v>72636</v>
      </c>
      <c r="C1586" s="71" t="s">
        <v>841</v>
      </c>
      <c r="D1586" s="71" t="s">
        <v>381</v>
      </c>
      <c r="E1586" s="71" t="s">
        <v>623</v>
      </c>
      <c r="F1586" s="71" t="s">
        <v>624</v>
      </c>
      <c r="G1586" s="74">
        <v>313</v>
      </c>
      <c r="H1586" s="72">
        <v>94.870157000000006</v>
      </c>
      <c r="I1586" s="73">
        <v>29694.359141000001</v>
      </c>
      <c r="J1586" s="72">
        <v>97.013094704568687</v>
      </c>
      <c r="K1586" s="73">
        <v>-670.73950152999998</v>
      </c>
      <c r="L1586" s="74">
        <v>0</v>
      </c>
      <c r="M1586" s="73">
        <v>0</v>
      </c>
      <c r="N1586" s="74">
        <v>0</v>
      </c>
      <c r="O1586" s="73">
        <v>0</v>
      </c>
      <c r="P1586" s="74">
        <v>313</v>
      </c>
      <c r="Q1586" s="73">
        <v>29694.359141000001</v>
      </c>
      <c r="R1586" s="71" t="s">
        <v>625</v>
      </c>
      <c r="S1586" s="71">
        <v>7414000005</v>
      </c>
      <c r="AB1586"/>
      <c r="AC1586"/>
    </row>
    <row r="1587" spans="1:29" x14ac:dyDescent="0.25">
      <c r="A1587" t="str">
        <f t="shared" si="25"/>
        <v xml:space="preserve">72636GOBFED 290301       </v>
      </c>
      <c r="B1587" s="71">
        <v>72636</v>
      </c>
      <c r="C1587" s="71" t="s">
        <v>841</v>
      </c>
      <c r="D1587" s="71" t="s">
        <v>382</v>
      </c>
      <c r="E1587" s="71" t="s">
        <v>623</v>
      </c>
      <c r="F1587" s="71" t="s">
        <v>624</v>
      </c>
      <c r="G1587" s="74">
        <v>154</v>
      </c>
      <c r="H1587" s="72">
        <v>89.489464999999996</v>
      </c>
      <c r="I1587" s="73">
        <v>13781.37761</v>
      </c>
      <c r="J1587" s="72">
        <v>89.354387602207794</v>
      </c>
      <c r="K1587" s="73">
        <v>20.801919259999998</v>
      </c>
      <c r="L1587" s="74">
        <v>0</v>
      </c>
      <c r="M1587" s="73">
        <v>0</v>
      </c>
      <c r="N1587" s="74">
        <v>0</v>
      </c>
      <c r="O1587" s="73">
        <v>0</v>
      </c>
      <c r="P1587" s="74">
        <v>154</v>
      </c>
      <c r="Q1587" s="73">
        <v>13781.37761</v>
      </c>
      <c r="R1587" s="71" t="s">
        <v>625</v>
      </c>
      <c r="S1587" s="71">
        <v>7414000005</v>
      </c>
      <c r="AB1587"/>
      <c r="AC1587"/>
    </row>
    <row r="1588" spans="1:29" x14ac:dyDescent="0.25">
      <c r="A1588" t="str">
        <f t="shared" si="25"/>
        <v xml:space="preserve">72636GOBFED 290531       </v>
      </c>
      <c r="B1588" s="71">
        <v>72636</v>
      </c>
      <c r="C1588" s="71" t="s">
        <v>841</v>
      </c>
      <c r="D1588" s="71" t="s">
        <v>383</v>
      </c>
      <c r="E1588" s="71" t="s">
        <v>623</v>
      </c>
      <c r="F1588" s="71" t="s">
        <v>624</v>
      </c>
      <c r="G1588" s="74">
        <v>270</v>
      </c>
      <c r="H1588" s="72">
        <v>86.197128000000006</v>
      </c>
      <c r="I1588" s="73">
        <v>23273.224559999999</v>
      </c>
      <c r="J1588" s="72">
        <v>89.686593819999999</v>
      </c>
      <c r="K1588" s="73">
        <v>-942.15577140000005</v>
      </c>
      <c r="L1588" s="74">
        <v>0</v>
      </c>
      <c r="M1588" s="73">
        <v>0</v>
      </c>
      <c r="N1588" s="74">
        <v>0</v>
      </c>
      <c r="O1588" s="73">
        <v>0</v>
      </c>
      <c r="P1588" s="74">
        <v>270</v>
      </c>
      <c r="Q1588" s="73">
        <v>23273.224559999999</v>
      </c>
      <c r="R1588" s="71" t="s">
        <v>625</v>
      </c>
      <c r="S1588" s="71">
        <v>7414000005</v>
      </c>
      <c r="AB1588"/>
      <c r="AC1588"/>
    </row>
    <row r="1589" spans="1:29" x14ac:dyDescent="0.25">
      <c r="A1589" t="str">
        <f t="shared" si="25"/>
        <v xml:space="preserve">72636GOBFED 310529       </v>
      </c>
      <c r="B1589" s="71">
        <v>72636</v>
      </c>
      <c r="C1589" s="71" t="s">
        <v>841</v>
      </c>
      <c r="D1589" s="71" t="s">
        <v>427</v>
      </c>
      <c r="E1589" s="71" t="s">
        <v>623</v>
      </c>
      <c r="F1589" s="71" t="s">
        <v>624</v>
      </c>
      <c r="G1589" s="74">
        <v>133</v>
      </c>
      <c r="H1589" s="72">
        <v>86.469353999999996</v>
      </c>
      <c r="I1589" s="73">
        <v>11500.424082</v>
      </c>
      <c r="J1589" s="72">
        <v>91.365268857894733</v>
      </c>
      <c r="K1589" s="73">
        <v>-651.15667610000003</v>
      </c>
      <c r="L1589" s="74">
        <v>0</v>
      </c>
      <c r="M1589" s="73">
        <v>0</v>
      </c>
      <c r="N1589" s="74">
        <v>0</v>
      </c>
      <c r="O1589" s="73">
        <v>0</v>
      </c>
      <c r="P1589" s="74">
        <v>133</v>
      </c>
      <c r="Q1589" s="73">
        <v>11500.424082</v>
      </c>
      <c r="R1589" s="71" t="s">
        <v>625</v>
      </c>
      <c r="S1589" s="71">
        <v>7414000005</v>
      </c>
      <c r="AB1589"/>
      <c r="AC1589"/>
    </row>
    <row r="1590" spans="1:29" x14ac:dyDescent="0.25">
      <c r="A1590" t="str">
        <f t="shared" si="25"/>
        <v xml:space="preserve">72636GOBFED 330526       </v>
      </c>
      <c r="B1590" s="71">
        <v>72636</v>
      </c>
      <c r="C1590" s="71" t="s">
        <v>841</v>
      </c>
      <c r="D1590" s="71" t="s">
        <v>418</v>
      </c>
      <c r="E1590" s="71" t="s">
        <v>623</v>
      </c>
      <c r="F1590" s="71" t="s">
        <v>624</v>
      </c>
      <c r="G1590" s="74">
        <v>3</v>
      </c>
      <c r="H1590" s="72">
        <v>101.45096599999999</v>
      </c>
      <c r="I1590" s="73">
        <v>304.35289799999998</v>
      </c>
      <c r="J1590" s="72">
        <v>114.11447106</v>
      </c>
      <c r="K1590" s="73">
        <v>-37.990515180000003</v>
      </c>
      <c r="L1590" s="74">
        <v>0</v>
      </c>
      <c r="M1590" s="73">
        <v>0</v>
      </c>
      <c r="N1590" s="74">
        <v>0</v>
      </c>
      <c r="O1590" s="73">
        <v>0</v>
      </c>
      <c r="P1590" s="74">
        <v>3</v>
      </c>
      <c r="Q1590" s="73">
        <v>304.35289799999998</v>
      </c>
      <c r="R1590" s="71" t="s">
        <v>625</v>
      </c>
      <c r="S1590" s="71">
        <v>7414000005</v>
      </c>
      <c r="AB1590"/>
      <c r="AC1590"/>
    </row>
    <row r="1591" spans="1:29" x14ac:dyDescent="0.25">
      <c r="A1591" t="str">
        <f t="shared" si="25"/>
        <v xml:space="preserve">72636GOBFED 341123       </v>
      </c>
      <c r="B1591" s="71">
        <v>72636</v>
      </c>
      <c r="C1591" s="71" t="s">
        <v>841</v>
      </c>
      <c r="D1591" s="71" t="s">
        <v>408</v>
      </c>
      <c r="E1591" s="71" t="s">
        <v>623</v>
      </c>
      <c r="F1591" s="71" t="s">
        <v>624</v>
      </c>
      <c r="G1591" s="74">
        <v>5</v>
      </c>
      <c r="H1591" s="72">
        <v>89.643172000000007</v>
      </c>
      <c r="I1591" s="73">
        <v>448.21586000000002</v>
      </c>
      <c r="J1591" s="72">
        <v>108.47711812999999</v>
      </c>
      <c r="K1591" s="73">
        <v>-94.169730650000005</v>
      </c>
      <c r="L1591" s="74">
        <v>0</v>
      </c>
      <c r="M1591" s="73">
        <v>0</v>
      </c>
      <c r="N1591" s="74">
        <v>0</v>
      </c>
      <c r="O1591" s="73">
        <v>0</v>
      </c>
      <c r="P1591" s="74">
        <v>5</v>
      </c>
      <c r="Q1591" s="73">
        <v>448.21586000000002</v>
      </c>
      <c r="R1591" s="71" t="s">
        <v>625</v>
      </c>
      <c r="S1591" s="71">
        <v>7414000005</v>
      </c>
      <c r="AB1591"/>
      <c r="AC1591"/>
    </row>
    <row r="1592" spans="1:29" x14ac:dyDescent="0.25">
      <c r="A1592" t="str">
        <f t="shared" si="25"/>
        <v xml:space="preserve">72636GOBFED 361120       </v>
      </c>
      <c r="B1592" s="71">
        <v>72636</v>
      </c>
      <c r="C1592" s="71" t="s">
        <v>841</v>
      </c>
      <c r="D1592" s="71" t="s">
        <v>384</v>
      </c>
      <c r="E1592" s="71" t="s">
        <v>623</v>
      </c>
      <c r="F1592" s="71" t="s">
        <v>624</v>
      </c>
      <c r="G1592" s="74">
        <v>202</v>
      </c>
      <c r="H1592" s="72">
        <v>81.738860000000003</v>
      </c>
      <c r="I1592" s="73">
        <v>16511.24972</v>
      </c>
      <c r="J1592" s="72">
        <v>86.643181343564351</v>
      </c>
      <c r="K1592" s="73">
        <v>-990.67291139999998</v>
      </c>
      <c r="L1592" s="74">
        <v>0</v>
      </c>
      <c r="M1592" s="73">
        <v>0</v>
      </c>
      <c r="N1592" s="74">
        <v>0</v>
      </c>
      <c r="O1592" s="73">
        <v>0</v>
      </c>
      <c r="P1592" s="74">
        <v>202</v>
      </c>
      <c r="Q1592" s="73">
        <v>16511.24972</v>
      </c>
      <c r="R1592" s="71" t="s">
        <v>625</v>
      </c>
      <c r="S1592" s="71">
        <v>7414000005</v>
      </c>
      <c r="AB1592"/>
      <c r="AC1592"/>
    </row>
    <row r="1593" spans="1:29" x14ac:dyDescent="0.25">
      <c r="A1593" t="str">
        <f t="shared" si="25"/>
        <v xml:space="preserve">72636GOBFED 381118       </v>
      </c>
      <c r="B1593" s="71">
        <v>72636</v>
      </c>
      <c r="C1593" s="71" t="s">
        <v>841</v>
      </c>
      <c r="D1593" s="71" t="s">
        <v>385</v>
      </c>
      <c r="E1593" s="71" t="s">
        <v>623</v>
      </c>
      <c r="F1593" s="71" t="s">
        <v>624</v>
      </c>
      <c r="G1593" s="74">
        <v>53</v>
      </c>
      <c r="H1593" s="72">
        <v>83.200761</v>
      </c>
      <c r="I1593" s="73">
        <v>4409.6403330000003</v>
      </c>
      <c r="J1593" s="72">
        <v>93.041834525849055</v>
      </c>
      <c r="K1593" s="73">
        <v>-521.57689687000004</v>
      </c>
      <c r="L1593" s="74">
        <v>0</v>
      </c>
      <c r="M1593" s="73">
        <v>0</v>
      </c>
      <c r="N1593" s="74">
        <v>0</v>
      </c>
      <c r="O1593" s="73">
        <v>0</v>
      </c>
      <c r="P1593" s="74">
        <v>53</v>
      </c>
      <c r="Q1593" s="73">
        <v>4409.6403330000003</v>
      </c>
      <c r="R1593" s="71" t="s">
        <v>625</v>
      </c>
      <c r="S1593" s="71">
        <v>7414000005</v>
      </c>
      <c r="AB1593"/>
      <c r="AC1593"/>
    </row>
    <row r="1594" spans="1:29" x14ac:dyDescent="0.25">
      <c r="A1594" t="str">
        <f t="shared" si="25"/>
        <v xml:space="preserve">72636GOBFED 421113       </v>
      </c>
      <c r="B1594" s="71">
        <v>72636</v>
      </c>
      <c r="C1594" s="71" t="s">
        <v>841</v>
      </c>
      <c r="D1594" s="71" t="s">
        <v>386</v>
      </c>
      <c r="E1594" s="71" t="s">
        <v>623</v>
      </c>
      <c r="F1594" s="71" t="s">
        <v>624</v>
      </c>
      <c r="G1594" s="74">
        <v>42</v>
      </c>
      <c r="H1594" s="72">
        <v>82.159907000000004</v>
      </c>
      <c r="I1594" s="73">
        <v>3450.7160939999999</v>
      </c>
      <c r="J1594" s="72">
        <v>86.420874420000004</v>
      </c>
      <c r="K1594" s="73">
        <v>-178.96063164</v>
      </c>
      <c r="L1594" s="74">
        <v>0</v>
      </c>
      <c r="M1594" s="73">
        <v>0</v>
      </c>
      <c r="N1594" s="74">
        <v>0</v>
      </c>
      <c r="O1594" s="73">
        <v>0</v>
      </c>
      <c r="P1594" s="74">
        <v>42</v>
      </c>
      <c r="Q1594" s="73">
        <v>3450.7160939999999</v>
      </c>
      <c r="R1594" s="71" t="s">
        <v>625</v>
      </c>
      <c r="S1594" s="71">
        <v>7414000005</v>
      </c>
      <c r="AB1594"/>
      <c r="AC1594"/>
    </row>
    <row r="1595" spans="1:29" x14ac:dyDescent="0.25">
      <c r="A1595" t="str">
        <f t="shared" si="25"/>
        <v xml:space="preserve">72636GOBFED 471107       </v>
      </c>
      <c r="B1595" s="71">
        <v>72636</v>
      </c>
      <c r="C1595" s="71" t="s">
        <v>841</v>
      </c>
      <c r="D1595" s="71" t="s">
        <v>430</v>
      </c>
      <c r="E1595" s="71" t="s">
        <v>623</v>
      </c>
      <c r="F1595" s="71" t="s">
        <v>624</v>
      </c>
      <c r="G1595" s="74">
        <v>37900</v>
      </c>
      <c r="H1595" s="72">
        <v>3.1390400000000001</v>
      </c>
      <c r="I1595" s="73">
        <v>118969.61599999999</v>
      </c>
      <c r="J1595" s="72">
        <v>2.3708472295514511</v>
      </c>
      <c r="K1595" s="73">
        <v>29114.506000000001</v>
      </c>
      <c r="L1595" s="74">
        <v>0</v>
      </c>
      <c r="M1595" s="73">
        <v>0</v>
      </c>
      <c r="N1595" s="74">
        <v>0</v>
      </c>
      <c r="O1595" s="73">
        <v>0</v>
      </c>
      <c r="P1595" s="74">
        <v>37900</v>
      </c>
      <c r="Q1595" s="73">
        <v>118969.61599999999</v>
      </c>
      <c r="R1595" s="71" t="s">
        <v>625</v>
      </c>
      <c r="S1595" s="71">
        <v>7414000005</v>
      </c>
      <c r="AB1595"/>
      <c r="AC1595"/>
    </row>
    <row r="1596" spans="1:29" x14ac:dyDescent="0.25">
      <c r="A1596" t="str">
        <f t="shared" si="25"/>
        <v xml:space="preserve">72636GOBFED 530731       </v>
      </c>
      <c r="B1596" s="71">
        <v>72636</v>
      </c>
      <c r="C1596" s="71" t="s">
        <v>841</v>
      </c>
      <c r="D1596" s="71" t="s">
        <v>389</v>
      </c>
      <c r="E1596" s="71" t="s">
        <v>623</v>
      </c>
      <c r="F1596" s="71" t="s">
        <v>624</v>
      </c>
      <c r="G1596" s="74">
        <v>28105</v>
      </c>
      <c r="H1596" s="72">
        <v>3.3967719999999999</v>
      </c>
      <c r="I1596" s="73">
        <v>95466.277059999993</v>
      </c>
      <c r="J1596" s="72">
        <v>3.2662109944849669</v>
      </c>
      <c r="K1596" s="73">
        <v>3669.4170600000002</v>
      </c>
      <c r="L1596" s="74">
        <v>0</v>
      </c>
      <c r="M1596" s="73">
        <v>0</v>
      </c>
      <c r="N1596" s="74">
        <v>0</v>
      </c>
      <c r="O1596" s="73">
        <v>0</v>
      </c>
      <c r="P1596" s="74">
        <v>28105</v>
      </c>
      <c r="Q1596" s="73">
        <v>95466.277059999993</v>
      </c>
      <c r="R1596" s="71" t="s">
        <v>625</v>
      </c>
      <c r="S1596" s="71">
        <v>7414000005</v>
      </c>
      <c r="AB1596"/>
      <c r="AC1596"/>
    </row>
    <row r="1597" spans="1:29" x14ac:dyDescent="0.25">
      <c r="A1597" t="str">
        <f t="shared" si="25"/>
        <v xml:space="preserve">72636ST&amp;ER-C ED          </v>
      </c>
      <c r="B1597" s="71">
        <v>72636</v>
      </c>
      <c r="C1597" s="71" t="s">
        <v>841</v>
      </c>
      <c r="D1597" s="71" t="s">
        <v>391</v>
      </c>
      <c r="E1597" s="71" t="s">
        <v>623</v>
      </c>
      <c r="F1597" s="71" t="s">
        <v>624</v>
      </c>
      <c r="G1597" s="74">
        <v>6</v>
      </c>
      <c r="H1597" s="72">
        <v>775.69178699999998</v>
      </c>
      <c r="I1597" s="73">
        <v>4654.1507220000003</v>
      </c>
      <c r="J1597" s="72">
        <v>766.69784126000002</v>
      </c>
      <c r="K1597" s="73">
        <v>53.963674439999998</v>
      </c>
      <c r="L1597" s="74">
        <v>0</v>
      </c>
      <c r="M1597" s="73">
        <v>0</v>
      </c>
      <c r="N1597" s="74">
        <v>0</v>
      </c>
      <c r="O1597" s="73">
        <v>0</v>
      </c>
      <c r="P1597" s="74">
        <v>6</v>
      </c>
      <c r="Q1597" s="73">
        <v>4654.1507220000003</v>
      </c>
      <c r="R1597" s="71" t="s">
        <v>625</v>
      </c>
      <c r="S1597" s="71">
        <v>7414000005</v>
      </c>
      <c r="AB1597"/>
      <c r="AC1597"/>
    </row>
    <row r="1598" spans="1:29" x14ac:dyDescent="0.25">
      <c r="A1598" t="str">
        <f t="shared" si="25"/>
        <v xml:space="preserve">72636STERGOB ED          </v>
      </c>
      <c r="B1598" s="71">
        <v>72636</v>
      </c>
      <c r="C1598" s="71" t="s">
        <v>841</v>
      </c>
      <c r="D1598" s="71" t="s">
        <v>392</v>
      </c>
      <c r="E1598" s="71" t="s">
        <v>623</v>
      </c>
      <c r="F1598" s="71" t="s">
        <v>624</v>
      </c>
      <c r="G1598" s="74">
        <v>12</v>
      </c>
      <c r="H1598" s="72">
        <v>747.17843200000004</v>
      </c>
      <c r="I1598" s="73">
        <v>8966.1411840000001</v>
      </c>
      <c r="J1598" s="72">
        <v>730.99471579999999</v>
      </c>
      <c r="K1598" s="73">
        <v>194.20459439999999</v>
      </c>
      <c r="L1598" s="74">
        <v>0</v>
      </c>
      <c r="M1598" s="73">
        <v>0</v>
      </c>
      <c r="N1598" s="74">
        <v>0</v>
      </c>
      <c r="O1598" s="73">
        <v>0</v>
      </c>
      <c r="P1598" s="74">
        <v>12</v>
      </c>
      <c r="Q1598" s="73">
        <v>8966.1411840000001</v>
      </c>
      <c r="R1598" s="71" t="s">
        <v>625</v>
      </c>
      <c r="S1598" s="71">
        <v>7414000005</v>
      </c>
      <c r="AB1598"/>
      <c r="AC1598"/>
    </row>
    <row r="1599" spans="1:29" x14ac:dyDescent="0.25">
      <c r="A1599" t="str">
        <f t="shared" si="25"/>
        <v xml:space="preserve">72636UDIBONO 251204      </v>
      </c>
      <c r="B1599" s="71">
        <v>72636</v>
      </c>
      <c r="C1599" s="71" t="s">
        <v>841</v>
      </c>
      <c r="D1599" s="71" t="s">
        <v>393</v>
      </c>
      <c r="E1599" s="71" t="s">
        <v>623</v>
      </c>
      <c r="F1599" s="71" t="s">
        <v>624</v>
      </c>
      <c r="G1599" s="74">
        <v>3</v>
      </c>
      <c r="H1599" s="72">
        <v>765.92388300000005</v>
      </c>
      <c r="I1599" s="73">
        <v>2297.7716489999998</v>
      </c>
      <c r="J1599" s="72">
        <v>634.98991012333329</v>
      </c>
      <c r="K1599" s="73">
        <v>392.80191862999999</v>
      </c>
      <c r="L1599" s="74">
        <v>0</v>
      </c>
      <c r="M1599" s="73">
        <v>0</v>
      </c>
      <c r="N1599" s="74">
        <v>0</v>
      </c>
      <c r="O1599" s="73">
        <v>0</v>
      </c>
      <c r="P1599" s="74">
        <v>3</v>
      </c>
      <c r="Q1599" s="73">
        <v>2297.7716489999998</v>
      </c>
      <c r="R1599" s="71" t="s">
        <v>625</v>
      </c>
      <c r="S1599" s="71">
        <v>7414000005</v>
      </c>
      <c r="AB1599"/>
      <c r="AC1599"/>
    </row>
    <row r="1600" spans="1:29" x14ac:dyDescent="0.25">
      <c r="A1600" t="str">
        <f t="shared" si="25"/>
        <v xml:space="preserve">72636UDIBONO 261203      </v>
      </c>
      <c r="B1600" s="71">
        <v>72636</v>
      </c>
      <c r="C1600" s="71" t="s">
        <v>841</v>
      </c>
      <c r="D1600" s="71" t="s">
        <v>394</v>
      </c>
      <c r="E1600" s="71" t="s">
        <v>623</v>
      </c>
      <c r="F1600" s="71" t="s">
        <v>624</v>
      </c>
      <c r="G1600" s="74">
        <v>22</v>
      </c>
      <c r="H1600" s="72">
        <v>684.88915799999995</v>
      </c>
      <c r="I1600" s="73">
        <v>15067.561476000001</v>
      </c>
      <c r="J1600" s="72">
        <v>674.82119490000002</v>
      </c>
      <c r="K1600" s="73">
        <v>221.4951882</v>
      </c>
      <c r="L1600" s="74">
        <v>0</v>
      </c>
      <c r="M1600" s="73">
        <v>0</v>
      </c>
      <c r="N1600" s="74">
        <v>0</v>
      </c>
      <c r="O1600" s="73">
        <v>0</v>
      </c>
      <c r="P1600" s="74">
        <v>22</v>
      </c>
      <c r="Q1600" s="73">
        <v>15067.561476000001</v>
      </c>
      <c r="R1600" s="71" t="s">
        <v>625</v>
      </c>
      <c r="S1600" s="71">
        <v>7414000005</v>
      </c>
      <c r="AB1600"/>
      <c r="AC1600"/>
    </row>
    <row r="1601" spans="1:29" x14ac:dyDescent="0.25">
      <c r="A1601" t="str">
        <f t="shared" si="25"/>
        <v xml:space="preserve">72636UDIBONO 281130      </v>
      </c>
      <c r="B1601" s="71">
        <v>72636</v>
      </c>
      <c r="C1601" s="71" t="s">
        <v>841</v>
      </c>
      <c r="D1601" s="71" t="s">
        <v>395</v>
      </c>
      <c r="E1601" s="71" t="s">
        <v>623</v>
      </c>
      <c r="F1601" s="71" t="s">
        <v>624</v>
      </c>
      <c r="G1601" s="74">
        <v>13</v>
      </c>
      <c r="H1601" s="72">
        <v>772.926965</v>
      </c>
      <c r="I1601" s="73">
        <v>10048.050545</v>
      </c>
      <c r="J1601" s="72">
        <v>803.51182437</v>
      </c>
      <c r="K1601" s="73">
        <v>-397.60317180999999</v>
      </c>
      <c r="L1601" s="74">
        <v>0</v>
      </c>
      <c r="M1601" s="73">
        <v>0</v>
      </c>
      <c r="N1601" s="74">
        <v>0</v>
      </c>
      <c r="O1601" s="73">
        <v>0</v>
      </c>
      <c r="P1601" s="74">
        <v>13</v>
      </c>
      <c r="Q1601" s="73">
        <v>10048.050545</v>
      </c>
      <c r="R1601" s="71" t="s">
        <v>625</v>
      </c>
      <c r="S1601" s="71">
        <v>7414000005</v>
      </c>
      <c r="AB1601"/>
      <c r="AC1601"/>
    </row>
    <row r="1602" spans="1:29" x14ac:dyDescent="0.25">
      <c r="A1602" t="str">
        <f t="shared" si="25"/>
        <v xml:space="preserve">72636UDIBONO 311127      </v>
      </c>
      <c r="B1602" s="71">
        <v>72636</v>
      </c>
      <c r="C1602" s="71" t="s">
        <v>841</v>
      </c>
      <c r="D1602" s="71" t="s">
        <v>396</v>
      </c>
      <c r="E1602" s="71" t="s">
        <v>623</v>
      </c>
      <c r="F1602" s="71" t="s">
        <v>624</v>
      </c>
      <c r="G1602" s="74">
        <v>13</v>
      </c>
      <c r="H1602" s="72">
        <v>721.59464000000003</v>
      </c>
      <c r="I1602" s="73">
        <v>9380.7303200000006</v>
      </c>
      <c r="J1602" s="72">
        <v>756.22640349384619</v>
      </c>
      <c r="K1602" s="73">
        <v>-450.21292541999998</v>
      </c>
      <c r="L1602" s="74">
        <v>0</v>
      </c>
      <c r="M1602" s="73">
        <v>0</v>
      </c>
      <c r="N1602" s="74">
        <v>0</v>
      </c>
      <c r="O1602" s="73">
        <v>0</v>
      </c>
      <c r="P1602" s="74">
        <v>13</v>
      </c>
      <c r="Q1602" s="73">
        <v>9380.7303200000006</v>
      </c>
      <c r="R1602" s="71" t="s">
        <v>625</v>
      </c>
      <c r="S1602" s="71">
        <v>7414000005</v>
      </c>
      <c r="AB1602"/>
      <c r="AC1602"/>
    </row>
    <row r="1603" spans="1:29" x14ac:dyDescent="0.25">
      <c r="A1603" t="str">
        <f t="shared" si="25"/>
        <v xml:space="preserve">72636UDIBONO 351122      </v>
      </c>
      <c r="B1603" s="71">
        <v>72636</v>
      </c>
      <c r="C1603" s="71" t="s">
        <v>841</v>
      </c>
      <c r="D1603" s="71" t="s">
        <v>397</v>
      </c>
      <c r="E1603" s="71" t="s">
        <v>623</v>
      </c>
      <c r="F1603" s="71" t="s">
        <v>624</v>
      </c>
      <c r="G1603" s="74">
        <v>3</v>
      </c>
      <c r="H1603" s="72">
        <v>635.96311900000001</v>
      </c>
      <c r="I1603" s="73">
        <v>1907.889357</v>
      </c>
      <c r="J1603" s="72">
        <v>673.26646482000001</v>
      </c>
      <c r="K1603" s="73">
        <v>-111.91003746</v>
      </c>
      <c r="L1603" s="74">
        <v>0</v>
      </c>
      <c r="M1603" s="73">
        <v>0</v>
      </c>
      <c r="N1603" s="74">
        <v>0</v>
      </c>
      <c r="O1603" s="73">
        <v>0</v>
      </c>
      <c r="P1603" s="74">
        <v>3</v>
      </c>
      <c r="Q1603" s="73">
        <v>1907.889357</v>
      </c>
      <c r="R1603" s="71" t="s">
        <v>625</v>
      </c>
      <c r="S1603" s="71">
        <v>7414000005</v>
      </c>
      <c r="AB1603"/>
      <c r="AC1603"/>
    </row>
    <row r="1604" spans="1:29" x14ac:dyDescent="0.25">
      <c r="A1604" t="str">
        <f t="shared" si="25"/>
        <v xml:space="preserve">72636UDIBONO 401115      </v>
      </c>
      <c r="B1604" s="71">
        <v>72636</v>
      </c>
      <c r="C1604" s="71" t="s">
        <v>841</v>
      </c>
      <c r="D1604" s="71" t="s">
        <v>398</v>
      </c>
      <c r="E1604" s="71" t="s">
        <v>623</v>
      </c>
      <c r="F1604" s="71" t="s">
        <v>624</v>
      </c>
      <c r="G1604" s="74">
        <v>15</v>
      </c>
      <c r="H1604" s="72">
        <v>709.36974099999998</v>
      </c>
      <c r="I1604" s="73">
        <v>10640.546114999999</v>
      </c>
      <c r="J1604" s="72">
        <v>725.54515143866672</v>
      </c>
      <c r="K1604" s="73">
        <v>-242.63115658000001</v>
      </c>
      <c r="L1604" s="74">
        <v>0</v>
      </c>
      <c r="M1604" s="73">
        <v>0</v>
      </c>
      <c r="N1604" s="74">
        <v>0</v>
      </c>
      <c r="O1604" s="73">
        <v>0</v>
      </c>
      <c r="P1604" s="74">
        <v>15</v>
      </c>
      <c r="Q1604" s="73">
        <v>10640.546114999999</v>
      </c>
      <c r="R1604" s="71" t="s">
        <v>625</v>
      </c>
      <c r="S1604" s="71">
        <v>7414000005</v>
      </c>
      <c r="AB1604"/>
      <c r="AC1604"/>
    </row>
    <row r="1605" spans="1:29" x14ac:dyDescent="0.25">
      <c r="A1605" t="str">
        <f t="shared" si="25"/>
        <v xml:space="preserve">72636UDIBONO 431112      </v>
      </c>
      <c r="B1605" s="71">
        <v>72636</v>
      </c>
      <c r="C1605" s="71" t="s">
        <v>841</v>
      </c>
      <c r="D1605" s="71" t="s">
        <v>399</v>
      </c>
      <c r="E1605" s="71" t="s">
        <v>623</v>
      </c>
      <c r="F1605" s="71" t="s">
        <v>624</v>
      </c>
      <c r="G1605" s="74">
        <v>33</v>
      </c>
      <c r="H1605" s="72">
        <v>694.41118700000004</v>
      </c>
      <c r="I1605" s="73">
        <v>22915.569170999999</v>
      </c>
      <c r="J1605" s="72">
        <v>722.62972981424241</v>
      </c>
      <c r="K1605" s="73">
        <v>-931.21191286999999</v>
      </c>
      <c r="L1605" s="74">
        <v>0</v>
      </c>
      <c r="M1605" s="73">
        <v>0</v>
      </c>
      <c r="N1605" s="74">
        <v>0</v>
      </c>
      <c r="O1605" s="73">
        <v>0</v>
      </c>
      <c r="P1605" s="74">
        <v>33</v>
      </c>
      <c r="Q1605" s="73">
        <v>22915.569170999999</v>
      </c>
      <c r="R1605" s="71" t="s">
        <v>625</v>
      </c>
      <c r="S1605" s="71">
        <v>7414000005</v>
      </c>
      <c r="AB1605"/>
      <c r="AC1605"/>
    </row>
    <row r="1606" spans="1:29" x14ac:dyDescent="0.25">
      <c r="A1606" t="str">
        <f t="shared" si="25"/>
        <v xml:space="preserve">72636UDIBONO 461108      </v>
      </c>
      <c r="B1606" s="71">
        <v>72637</v>
      </c>
      <c r="C1606" s="71" t="s">
        <v>842</v>
      </c>
      <c r="D1606" s="71" t="s">
        <v>357</v>
      </c>
      <c r="E1606" s="71" t="s">
        <v>623</v>
      </c>
      <c r="F1606" s="71" t="s">
        <v>624</v>
      </c>
      <c r="G1606" s="74">
        <v>3100</v>
      </c>
      <c r="H1606" s="72">
        <v>168.64</v>
      </c>
      <c r="I1606" s="73">
        <v>522784</v>
      </c>
      <c r="J1606" s="72">
        <v>178.5266935483871</v>
      </c>
      <c r="K1606" s="73">
        <v>-30648.75</v>
      </c>
      <c r="L1606" s="74">
        <v>0</v>
      </c>
      <c r="M1606" s="73">
        <v>0</v>
      </c>
      <c r="N1606" s="74">
        <v>0</v>
      </c>
      <c r="O1606" s="73">
        <v>0</v>
      </c>
      <c r="P1606" s="74">
        <v>3100</v>
      </c>
      <c r="Q1606" s="73">
        <v>522784</v>
      </c>
      <c r="R1606" s="71" t="s">
        <v>625</v>
      </c>
      <c r="S1606" s="71">
        <v>7414000005</v>
      </c>
      <c r="AB1606"/>
      <c r="AC1606"/>
    </row>
    <row r="1607" spans="1:29" x14ac:dyDescent="0.25">
      <c r="A1607" t="str">
        <f t="shared" ref="A1607:A1670" si="26">B1605&amp;D1605</f>
        <v xml:space="preserve">72636UDIBONO 501103      </v>
      </c>
      <c r="B1607" s="71">
        <v>72637</v>
      </c>
      <c r="C1607" s="71" t="s">
        <v>842</v>
      </c>
      <c r="D1607" s="71" t="s">
        <v>358</v>
      </c>
      <c r="E1607" s="71" t="s">
        <v>623</v>
      </c>
      <c r="F1607" s="71" t="s">
        <v>624</v>
      </c>
      <c r="G1607" s="74">
        <v>3700</v>
      </c>
      <c r="H1607" s="72">
        <v>1786.5</v>
      </c>
      <c r="I1607" s="73">
        <v>6610050</v>
      </c>
      <c r="J1607" s="72">
        <v>1826.7352432432433</v>
      </c>
      <c r="K1607" s="73">
        <v>-148870.39999999999</v>
      </c>
      <c r="L1607" s="74">
        <v>0</v>
      </c>
      <c r="M1607" s="73">
        <v>0</v>
      </c>
      <c r="N1607" s="74">
        <v>0</v>
      </c>
      <c r="O1607" s="73">
        <v>0</v>
      </c>
      <c r="P1607" s="74">
        <v>3700</v>
      </c>
      <c r="Q1607" s="73">
        <v>6610050</v>
      </c>
      <c r="R1607" s="71" t="s">
        <v>625</v>
      </c>
      <c r="S1607" s="71">
        <v>7414000005</v>
      </c>
      <c r="AB1607"/>
      <c r="AC1607"/>
    </row>
    <row r="1608" spans="1:29" x14ac:dyDescent="0.25">
      <c r="A1608" t="str">
        <f t="shared" si="26"/>
        <v xml:space="preserve">72637AC *                </v>
      </c>
      <c r="B1608" s="71">
        <v>72637</v>
      </c>
      <c r="C1608" s="71" t="s">
        <v>842</v>
      </c>
      <c r="D1608" s="71" t="s">
        <v>617</v>
      </c>
      <c r="E1608" s="71" t="s">
        <v>623</v>
      </c>
      <c r="F1608" s="71" t="s">
        <v>624</v>
      </c>
      <c r="G1608" s="74">
        <v>9800</v>
      </c>
      <c r="H1608" s="72">
        <v>11.86</v>
      </c>
      <c r="I1608" s="73">
        <v>116228</v>
      </c>
      <c r="J1608" s="72">
        <v>12.184011224489796</v>
      </c>
      <c r="K1608" s="73">
        <v>-3175.31</v>
      </c>
      <c r="L1608" s="74">
        <v>0</v>
      </c>
      <c r="M1608" s="73">
        <v>0</v>
      </c>
      <c r="N1608" s="74">
        <v>0</v>
      </c>
      <c r="O1608" s="73">
        <v>0</v>
      </c>
      <c r="P1608" s="74">
        <v>9800</v>
      </c>
      <c r="Q1608" s="73">
        <v>116228</v>
      </c>
      <c r="R1608" s="71" t="s">
        <v>625</v>
      </c>
      <c r="S1608" s="71">
        <v>7414000005</v>
      </c>
      <c r="AB1608"/>
      <c r="AC1608"/>
    </row>
    <row r="1609" spans="1:29" x14ac:dyDescent="0.25">
      <c r="A1609" t="str">
        <f t="shared" si="26"/>
        <v xml:space="preserve">72637ACWI *              </v>
      </c>
      <c r="B1609" s="71">
        <v>72637</v>
      </c>
      <c r="C1609" s="71" t="s">
        <v>842</v>
      </c>
      <c r="D1609" s="71" t="s">
        <v>359</v>
      </c>
      <c r="E1609" s="71" t="s">
        <v>623</v>
      </c>
      <c r="F1609" s="71" t="s">
        <v>624</v>
      </c>
      <c r="G1609" s="74">
        <v>8600</v>
      </c>
      <c r="H1609" s="72">
        <v>73.37</v>
      </c>
      <c r="I1609" s="73">
        <v>630982</v>
      </c>
      <c r="J1609" s="72">
        <v>61.993534883720933</v>
      </c>
      <c r="K1609" s="73">
        <v>97837.6</v>
      </c>
      <c r="L1609" s="74">
        <v>0</v>
      </c>
      <c r="M1609" s="73">
        <v>0</v>
      </c>
      <c r="N1609" s="74">
        <v>0</v>
      </c>
      <c r="O1609" s="73">
        <v>0</v>
      </c>
      <c r="P1609" s="74">
        <v>8600</v>
      </c>
      <c r="Q1609" s="73">
        <v>630982</v>
      </c>
      <c r="R1609" s="71" t="s">
        <v>625</v>
      </c>
      <c r="S1609" s="71">
        <v>7414000005</v>
      </c>
      <c r="AB1609"/>
      <c r="AC1609"/>
    </row>
    <row r="1610" spans="1:29" x14ac:dyDescent="0.25">
      <c r="A1610" t="str">
        <f t="shared" si="26"/>
        <v xml:space="preserve">72637ALPEK A             </v>
      </c>
      <c r="B1610" s="71">
        <v>72637</v>
      </c>
      <c r="C1610" s="71" t="s">
        <v>842</v>
      </c>
      <c r="D1610" s="71" t="s">
        <v>360</v>
      </c>
      <c r="E1610" s="71" t="s">
        <v>623</v>
      </c>
      <c r="F1610" s="71" t="s">
        <v>624</v>
      </c>
      <c r="G1610" s="74">
        <v>129000</v>
      </c>
      <c r="H1610" s="72">
        <v>15.12</v>
      </c>
      <c r="I1610" s="73">
        <v>1950480</v>
      </c>
      <c r="J1610" s="72">
        <v>16.199368839534884</v>
      </c>
      <c r="K1610" s="73">
        <v>-139238.5803</v>
      </c>
      <c r="L1610" s="74">
        <v>0</v>
      </c>
      <c r="M1610" s="73">
        <v>0</v>
      </c>
      <c r="N1610" s="74">
        <v>0</v>
      </c>
      <c r="O1610" s="73">
        <v>0</v>
      </c>
      <c r="P1610" s="74">
        <v>129000</v>
      </c>
      <c r="Q1610" s="73">
        <v>1950480</v>
      </c>
      <c r="R1610" s="71" t="s">
        <v>625</v>
      </c>
      <c r="S1610" s="71">
        <v>7414000005</v>
      </c>
      <c r="AB1610"/>
      <c r="AC1610"/>
    </row>
    <row r="1611" spans="1:29" x14ac:dyDescent="0.25">
      <c r="A1611" t="str">
        <f t="shared" si="26"/>
        <v xml:space="preserve">72637ALSEA *             </v>
      </c>
      <c r="B1611" s="71">
        <v>72637</v>
      </c>
      <c r="C1611" s="71" t="s">
        <v>842</v>
      </c>
      <c r="D1611" s="71" t="s">
        <v>551</v>
      </c>
      <c r="E1611" s="71" t="s">
        <v>623</v>
      </c>
      <c r="F1611" s="71" t="s">
        <v>624</v>
      </c>
      <c r="G1611" s="74">
        <v>2400</v>
      </c>
      <c r="H1611" s="72">
        <v>525.09</v>
      </c>
      <c r="I1611" s="73">
        <v>1260216</v>
      </c>
      <c r="J1611" s="72">
        <v>492.05947083333331</v>
      </c>
      <c r="K1611" s="73">
        <v>79273.27</v>
      </c>
      <c r="L1611" s="74">
        <v>0</v>
      </c>
      <c r="M1611" s="73">
        <v>0</v>
      </c>
      <c r="N1611" s="74">
        <v>0</v>
      </c>
      <c r="O1611" s="73">
        <v>0</v>
      </c>
      <c r="P1611" s="74">
        <v>2400</v>
      </c>
      <c r="Q1611" s="73">
        <v>1260216</v>
      </c>
      <c r="R1611" s="71" t="s">
        <v>625</v>
      </c>
      <c r="S1611" s="71">
        <v>7414000005</v>
      </c>
      <c r="AB1611"/>
      <c r="AC1611"/>
    </row>
    <row r="1612" spans="1:29" x14ac:dyDescent="0.25">
      <c r="A1612" t="str">
        <f t="shared" si="26"/>
        <v xml:space="preserve">72637AMX B               </v>
      </c>
      <c r="B1612" s="71">
        <v>72637</v>
      </c>
      <c r="C1612" s="71" t="s">
        <v>842</v>
      </c>
      <c r="D1612" s="71" t="s">
        <v>361</v>
      </c>
      <c r="E1612" s="71" t="s">
        <v>623</v>
      </c>
      <c r="F1612" s="71" t="s">
        <v>624</v>
      </c>
      <c r="G1612" s="74">
        <v>5600</v>
      </c>
      <c r="H1612" s="72">
        <v>68.25</v>
      </c>
      <c r="I1612" s="73">
        <v>382200</v>
      </c>
      <c r="J1612" s="72">
        <v>78.630969642857139</v>
      </c>
      <c r="K1612" s="73">
        <v>-58133.43</v>
      </c>
      <c r="L1612" s="74">
        <v>0</v>
      </c>
      <c r="M1612" s="73">
        <v>0</v>
      </c>
      <c r="N1612" s="74">
        <v>0</v>
      </c>
      <c r="O1612" s="73">
        <v>0</v>
      </c>
      <c r="P1612" s="74">
        <v>5600</v>
      </c>
      <c r="Q1612" s="73">
        <v>382200</v>
      </c>
      <c r="R1612" s="71" t="s">
        <v>625</v>
      </c>
      <c r="S1612" s="71">
        <v>7414000005</v>
      </c>
      <c r="AB1612"/>
      <c r="AC1612"/>
    </row>
    <row r="1613" spans="1:29" x14ac:dyDescent="0.25">
      <c r="A1613" t="str">
        <f t="shared" si="26"/>
        <v xml:space="preserve">72637ASUR B              </v>
      </c>
      <c r="B1613" s="71">
        <v>72637</v>
      </c>
      <c r="C1613" s="71" t="s">
        <v>842</v>
      </c>
      <c r="D1613" s="71" t="s">
        <v>362</v>
      </c>
      <c r="E1613" s="71" t="s">
        <v>623</v>
      </c>
      <c r="F1613" s="71" t="s">
        <v>624</v>
      </c>
      <c r="G1613" s="74">
        <v>156400</v>
      </c>
      <c r="H1613" s="72">
        <v>14.33</v>
      </c>
      <c r="I1613" s="73">
        <v>2241212</v>
      </c>
      <c r="J1613" s="72">
        <v>12.104430370843989</v>
      </c>
      <c r="K1613" s="73">
        <v>348079.09</v>
      </c>
      <c r="L1613" s="74">
        <v>0</v>
      </c>
      <c r="M1613" s="73">
        <v>0</v>
      </c>
      <c r="N1613" s="74">
        <v>0</v>
      </c>
      <c r="O1613" s="73">
        <v>0</v>
      </c>
      <c r="P1613" s="74">
        <v>156400</v>
      </c>
      <c r="Q1613" s="73">
        <v>2241212</v>
      </c>
      <c r="R1613" s="71" t="s">
        <v>625</v>
      </c>
      <c r="S1613" s="71">
        <v>7414000005</v>
      </c>
      <c r="AB1613"/>
      <c r="AC1613"/>
    </row>
    <row r="1614" spans="1:29" x14ac:dyDescent="0.25">
      <c r="A1614" t="str">
        <f t="shared" si="26"/>
        <v xml:space="preserve">72637BIMBO A             </v>
      </c>
      <c r="B1614" s="71">
        <v>72637</v>
      </c>
      <c r="C1614" s="71" t="s">
        <v>842</v>
      </c>
      <c r="D1614" s="71" t="s">
        <v>422</v>
      </c>
      <c r="E1614" s="71" t="s">
        <v>623</v>
      </c>
      <c r="F1614" s="71" t="s">
        <v>624</v>
      </c>
      <c r="G1614" s="74">
        <v>1072</v>
      </c>
      <c r="H1614" s="72">
        <v>97.654420999999999</v>
      </c>
      <c r="I1614" s="73">
        <v>104685.53931199999</v>
      </c>
      <c r="J1614" s="72">
        <v>98.224185000000006</v>
      </c>
      <c r="K1614" s="73">
        <v>-610.78700800000001</v>
      </c>
      <c r="L1614" s="74">
        <v>0</v>
      </c>
      <c r="M1614" s="73">
        <v>0</v>
      </c>
      <c r="N1614" s="74">
        <v>0</v>
      </c>
      <c r="O1614" s="73">
        <v>0</v>
      </c>
      <c r="P1614" s="74">
        <v>1072</v>
      </c>
      <c r="Q1614" s="73">
        <v>104685.53931199999</v>
      </c>
      <c r="R1614" s="71" t="s">
        <v>625</v>
      </c>
      <c r="S1614" s="71">
        <v>7414000005</v>
      </c>
      <c r="AB1614"/>
      <c r="AC1614"/>
    </row>
    <row r="1615" spans="1:29" x14ac:dyDescent="0.25">
      <c r="A1615" t="str">
        <f t="shared" si="26"/>
        <v xml:space="preserve">72637CEMEX CPO           </v>
      </c>
      <c r="B1615" s="71">
        <v>72637</v>
      </c>
      <c r="C1615" s="71" t="s">
        <v>842</v>
      </c>
      <c r="D1615" s="71" t="s">
        <v>363</v>
      </c>
      <c r="E1615" s="71" t="s">
        <v>623</v>
      </c>
      <c r="F1615" s="71" t="s">
        <v>624</v>
      </c>
      <c r="G1615" s="74">
        <v>228935</v>
      </c>
      <c r="H1615" s="72">
        <v>9.4935880000000008</v>
      </c>
      <c r="I1615" s="73">
        <v>2173414.5687799999</v>
      </c>
      <c r="J1615" s="72">
        <v>8.4405498100000003</v>
      </c>
      <c r="K1615" s="73">
        <v>241077.29802764999</v>
      </c>
      <c r="L1615" s="74">
        <v>0</v>
      </c>
      <c r="M1615" s="73">
        <v>0</v>
      </c>
      <c r="N1615" s="74">
        <v>0</v>
      </c>
      <c r="O1615" s="73">
        <v>0</v>
      </c>
      <c r="P1615" s="74">
        <v>228935</v>
      </c>
      <c r="Q1615" s="73">
        <v>2173414.5687799999</v>
      </c>
      <c r="R1615" s="71" t="s">
        <v>625</v>
      </c>
      <c r="S1615" s="71">
        <v>7414000005</v>
      </c>
      <c r="AB1615"/>
      <c r="AC1615"/>
    </row>
    <row r="1616" spans="1:29" x14ac:dyDescent="0.25">
      <c r="A1616" t="str">
        <f t="shared" si="26"/>
        <v xml:space="preserve">72637CETELEM 22          </v>
      </c>
      <c r="B1616" s="71">
        <v>72637</v>
      </c>
      <c r="C1616" s="71" t="s">
        <v>842</v>
      </c>
      <c r="D1616" s="71" t="s">
        <v>409</v>
      </c>
      <c r="E1616" s="71" t="s">
        <v>623</v>
      </c>
      <c r="F1616" s="71" t="s">
        <v>624</v>
      </c>
      <c r="G1616" s="74">
        <v>311790</v>
      </c>
      <c r="H1616" s="72">
        <v>9.3381629999999998</v>
      </c>
      <c r="I1616" s="73">
        <v>2911545.8417699998</v>
      </c>
      <c r="J1616" s="72">
        <v>8.3307969100000001</v>
      </c>
      <c r="K1616" s="73">
        <v>314086.67320110003</v>
      </c>
      <c r="L1616" s="74">
        <v>0</v>
      </c>
      <c r="M1616" s="73">
        <v>0</v>
      </c>
      <c r="N1616" s="74">
        <v>0</v>
      </c>
      <c r="O1616" s="73">
        <v>0</v>
      </c>
      <c r="P1616" s="74">
        <v>311790</v>
      </c>
      <c r="Q1616" s="73">
        <v>2911545.8417699998</v>
      </c>
      <c r="R1616" s="71" t="s">
        <v>625</v>
      </c>
      <c r="S1616" s="71">
        <v>7414000005</v>
      </c>
      <c r="AB1616"/>
      <c r="AC1616"/>
    </row>
    <row r="1617" spans="1:29" x14ac:dyDescent="0.25">
      <c r="A1617" t="str">
        <f t="shared" si="26"/>
        <v xml:space="preserve">72637CETES 241003        </v>
      </c>
      <c r="B1617" s="71">
        <v>72637</v>
      </c>
      <c r="C1617" s="71" t="s">
        <v>842</v>
      </c>
      <c r="D1617" s="71" t="s">
        <v>365</v>
      </c>
      <c r="E1617" s="71" t="s">
        <v>623</v>
      </c>
      <c r="F1617" s="71" t="s">
        <v>624</v>
      </c>
      <c r="G1617" s="74">
        <v>2430</v>
      </c>
      <c r="H1617" s="72">
        <v>675.38</v>
      </c>
      <c r="I1617" s="73">
        <v>1641173.4</v>
      </c>
      <c r="J1617" s="72">
        <v>749.08651028806582</v>
      </c>
      <c r="K1617" s="73">
        <v>-179106.82</v>
      </c>
      <c r="L1617" s="74">
        <v>0</v>
      </c>
      <c r="M1617" s="73">
        <v>0</v>
      </c>
      <c r="N1617" s="74">
        <v>0</v>
      </c>
      <c r="O1617" s="73">
        <v>0</v>
      </c>
      <c r="P1617" s="74">
        <v>2430</v>
      </c>
      <c r="Q1617" s="73">
        <v>1641173.4</v>
      </c>
      <c r="R1617" s="71" t="s">
        <v>625</v>
      </c>
      <c r="S1617" s="71">
        <v>7414000005</v>
      </c>
      <c r="AB1617"/>
      <c r="AC1617"/>
    </row>
    <row r="1618" spans="1:29" x14ac:dyDescent="0.25">
      <c r="A1618" t="str">
        <f t="shared" si="26"/>
        <v xml:space="preserve">72637CETES 241128        </v>
      </c>
      <c r="B1618" s="71">
        <v>72637</v>
      </c>
      <c r="C1618" s="71" t="s">
        <v>842</v>
      </c>
      <c r="D1618" s="71" t="s">
        <v>367</v>
      </c>
      <c r="E1618" s="71" t="s">
        <v>623</v>
      </c>
      <c r="F1618" s="71" t="s">
        <v>624</v>
      </c>
      <c r="G1618" s="74">
        <v>525</v>
      </c>
      <c r="H1618" s="72">
        <v>700.65</v>
      </c>
      <c r="I1618" s="73">
        <v>367841.25</v>
      </c>
      <c r="J1618" s="72">
        <v>742.85199999999998</v>
      </c>
      <c r="K1618" s="73">
        <v>-22156.05</v>
      </c>
      <c r="L1618" s="74">
        <v>0</v>
      </c>
      <c r="M1618" s="73">
        <v>0</v>
      </c>
      <c r="N1618" s="74">
        <v>0</v>
      </c>
      <c r="O1618" s="73">
        <v>0</v>
      </c>
      <c r="P1618" s="74">
        <v>525</v>
      </c>
      <c r="Q1618" s="73">
        <v>367841.25</v>
      </c>
      <c r="R1618" s="71" t="s">
        <v>625</v>
      </c>
      <c r="S1618" s="71">
        <v>7414000005</v>
      </c>
      <c r="AB1618"/>
      <c r="AC1618"/>
    </row>
    <row r="1619" spans="1:29" x14ac:dyDescent="0.25">
      <c r="A1619" t="str">
        <f t="shared" si="26"/>
        <v xml:space="preserve">72637EEM *               </v>
      </c>
      <c r="B1619" s="71">
        <v>72637</v>
      </c>
      <c r="C1619" s="71" t="s">
        <v>842</v>
      </c>
      <c r="D1619" s="71" t="s">
        <v>368</v>
      </c>
      <c r="E1619" s="71" t="s">
        <v>623</v>
      </c>
      <c r="F1619" s="71" t="s">
        <v>624</v>
      </c>
      <c r="G1619" s="74">
        <v>1080</v>
      </c>
      <c r="H1619" s="72">
        <v>1151</v>
      </c>
      <c r="I1619" s="73">
        <v>1243080</v>
      </c>
      <c r="J1619" s="72">
        <v>968.06100000000004</v>
      </c>
      <c r="K1619" s="73">
        <v>197574.12</v>
      </c>
      <c r="L1619" s="74">
        <v>0</v>
      </c>
      <c r="M1619" s="73">
        <v>0</v>
      </c>
      <c r="N1619" s="74">
        <v>0</v>
      </c>
      <c r="O1619" s="73">
        <v>0</v>
      </c>
      <c r="P1619" s="74">
        <v>1080</v>
      </c>
      <c r="Q1619" s="73">
        <v>1243080</v>
      </c>
      <c r="R1619" s="71" t="s">
        <v>625</v>
      </c>
      <c r="S1619" s="71">
        <v>7414000005</v>
      </c>
      <c r="AB1619"/>
      <c r="AC1619"/>
    </row>
    <row r="1620" spans="1:29" x14ac:dyDescent="0.25">
      <c r="A1620" t="str">
        <f t="shared" si="26"/>
        <v xml:space="preserve">72637EPP *               </v>
      </c>
      <c r="B1620" s="71">
        <v>72637</v>
      </c>
      <c r="C1620" s="71" t="s">
        <v>842</v>
      </c>
      <c r="D1620" s="71" t="s">
        <v>369</v>
      </c>
      <c r="E1620" s="71" t="s">
        <v>623</v>
      </c>
      <c r="F1620" s="71" t="s">
        <v>624</v>
      </c>
      <c r="G1620" s="74">
        <v>11600</v>
      </c>
      <c r="H1620" s="72">
        <v>207.81</v>
      </c>
      <c r="I1620" s="73">
        <v>2410596</v>
      </c>
      <c r="J1620" s="72">
        <v>177.41442931034481</v>
      </c>
      <c r="K1620" s="73">
        <v>352588.62</v>
      </c>
      <c r="L1620" s="74">
        <v>0</v>
      </c>
      <c r="M1620" s="73">
        <v>0</v>
      </c>
      <c r="N1620" s="74">
        <v>0</v>
      </c>
      <c r="O1620" s="73">
        <v>0</v>
      </c>
      <c r="P1620" s="74">
        <v>11600</v>
      </c>
      <c r="Q1620" s="73">
        <v>2410596</v>
      </c>
      <c r="R1620" s="71" t="s">
        <v>625</v>
      </c>
      <c r="S1620" s="71">
        <v>7414000005</v>
      </c>
      <c r="AB1620"/>
      <c r="AC1620"/>
    </row>
    <row r="1621" spans="1:29" x14ac:dyDescent="0.25">
      <c r="A1621" t="str">
        <f t="shared" si="26"/>
        <v xml:space="preserve">72637EWJ *               </v>
      </c>
      <c r="B1621" s="71">
        <v>72637</v>
      </c>
      <c r="C1621" s="71" t="s">
        <v>842</v>
      </c>
      <c r="D1621" s="71" t="s">
        <v>370</v>
      </c>
      <c r="E1621" s="71" t="s">
        <v>623</v>
      </c>
      <c r="F1621" s="71" t="s">
        <v>624</v>
      </c>
      <c r="G1621" s="74">
        <v>1200</v>
      </c>
      <c r="H1621" s="72">
        <v>271.94</v>
      </c>
      <c r="I1621" s="73">
        <v>326328</v>
      </c>
      <c r="J1621" s="72">
        <v>293.563875</v>
      </c>
      <c r="K1621" s="73">
        <v>-25948.65</v>
      </c>
      <c r="L1621" s="74">
        <v>0</v>
      </c>
      <c r="M1621" s="73">
        <v>0</v>
      </c>
      <c r="N1621" s="74">
        <v>0</v>
      </c>
      <c r="O1621" s="73">
        <v>0</v>
      </c>
      <c r="P1621" s="74">
        <v>1200</v>
      </c>
      <c r="Q1621" s="73">
        <v>326328</v>
      </c>
      <c r="R1621" s="71" t="s">
        <v>625</v>
      </c>
      <c r="S1621" s="71">
        <v>7414000005</v>
      </c>
      <c r="AB1621"/>
      <c r="AC1621"/>
    </row>
    <row r="1622" spans="1:29" x14ac:dyDescent="0.25">
      <c r="A1622" t="str">
        <f t="shared" si="26"/>
        <v xml:space="preserve">72637FEMSA UBD           </v>
      </c>
      <c r="B1622" s="71">
        <v>72637</v>
      </c>
      <c r="C1622" s="71" t="s">
        <v>842</v>
      </c>
      <c r="D1622" s="71" t="s">
        <v>371</v>
      </c>
      <c r="E1622" s="71" t="s">
        <v>623</v>
      </c>
      <c r="F1622" s="71" t="s">
        <v>624</v>
      </c>
      <c r="G1622" s="74">
        <v>4000</v>
      </c>
      <c r="H1622" s="72">
        <v>193.15</v>
      </c>
      <c r="I1622" s="73">
        <v>772600</v>
      </c>
      <c r="J1622" s="72">
        <v>163.350145</v>
      </c>
      <c r="K1622" s="73">
        <v>119199.42</v>
      </c>
      <c r="L1622" s="74">
        <v>0</v>
      </c>
      <c r="M1622" s="73">
        <v>0</v>
      </c>
      <c r="N1622" s="74">
        <v>0</v>
      </c>
      <c r="O1622" s="73">
        <v>0</v>
      </c>
      <c r="P1622" s="74">
        <v>4000</v>
      </c>
      <c r="Q1622" s="73">
        <v>772600</v>
      </c>
      <c r="R1622" s="71" t="s">
        <v>625</v>
      </c>
      <c r="S1622" s="71">
        <v>7414000005</v>
      </c>
      <c r="AB1622"/>
      <c r="AC1622"/>
    </row>
    <row r="1623" spans="1:29" x14ac:dyDescent="0.25">
      <c r="A1623" t="str">
        <f t="shared" si="26"/>
        <v xml:space="preserve">72637GAP B               </v>
      </c>
      <c r="B1623" s="71">
        <v>72637</v>
      </c>
      <c r="C1623" s="71" t="s">
        <v>842</v>
      </c>
      <c r="D1623" s="71" t="s">
        <v>372</v>
      </c>
      <c r="E1623" s="71" t="s">
        <v>623</v>
      </c>
      <c r="F1623" s="71" t="s">
        <v>624</v>
      </c>
      <c r="G1623" s="74">
        <v>29000</v>
      </c>
      <c r="H1623" s="72">
        <v>27.12</v>
      </c>
      <c r="I1623" s="73">
        <v>786480</v>
      </c>
      <c r="J1623" s="72">
        <v>22.472498620689656</v>
      </c>
      <c r="K1623" s="73">
        <v>134777.54</v>
      </c>
      <c r="L1623" s="74">
        <v>0</v>
      </c>
      <c r="M1623" s="73">
        <v>0</v>
      </c>
      <c r="N1623" s="74">
        <v>0</v>
      </c>
      <c r="O1623" s="73">
        <v>0</v>
      </c>
      <c r="P1623" s="74">
        <v>29000</v>
      </c>
      <c r="Q1623" s="73">
        <v>786480</v>
      </c>
      <c r="R1623" s="71" t="s">
        <v>625</v>
      </c>
      <c r="S1623" s="71">
        <v>7414000005</v>
      </c>
      <c r="AB1623"/>
      <c r="AC1623"/>
    </row>
    <row r="1624" spans="1:29" x14ac:dyDescent="0.25">
      <c r="A1624" t="str">
        <f t="shared" si="26"/>
        <v xml:space="preserve">72637GCC *               </v>
      </c>
      <c r="B1624" s="71">
        <v>72637</v>
      </c>
      <c r="C1624" s="71" t="s">
        <v>842</v>
      </c>
      <c r="D1624" s="71" t="s">
        <v>373</v>
      </c>
      <c r="E1624" s="71" t="s">
        <v>623</v>
      </c>
      <c r="F1624" s="71" t="s">
        <v>624</v>
      </c>
      <c r="G1624" s="74">
        <v>18400</v>
      </c>
      <c r="H1624" s="72">
        <v>176.44</v>
      </c>
      <c r="I1624" s="73">
        <v>3246496</v>
      </c>
      <c r="J1624" s="72">
        <v>148.34452989130435</v>
      </c>
      <c r="K1624" s="73">
        <v>516956.65</v>
      </c>
      <c r="L1624" s="74">
        <v>0</v>
      </c>
      <c r="M1624" s="73">
        <v>0</v>
      </c>
      <c r="N1624" s="74">
        <v>0</v>
      </c>
      <c r="O1624" s="73">
        <v>0</v>
      </c>
      <c r="P1624" s="74">
        <v>18400</v>
      </c>
      <c r="Q1624" s="73">
        <v>3246496</v>
      </c>
      <c r="R1624" s="71" t="s">
        <v>625</v>
      </c>
      <c r="S1624" s="71">
        <v>7414000005</v>
      </c>
      <c r="AB1624"/>
      <c r="AC1624"/>
    </row>
    <row r="1625" spans="1:29" x14ac:dyDescent="0.25">
      <c r="A1625" t="str">
        <f t="shared" si="26"/>
        <v xml:space="preserve">72637GENTERA *           </v>
      </c>
      <c r="B1625" s="71">
        <v>72637</v>
      </c>
      <c r="C1625" s="71" t="s">
        <v>842</v>
      </c>
      <c r="D1625" s="71" t="s">
        <v>374</v>
      </c>
      <c r="E1625" s="71" t="s">
        <v>623</v>
      </c>
      <c r="F1625" s="71" t="s">
        <v>624</v>
      </c>
      <c r="G1625" s="74">
        <v>23300</v>
      </c>
      <c r="H1625" s="72">
        <v>104.12</v>
      </c>
      <c r="I1625" s="73">
        <v>2425996</v>
      </c>
      <c r="J1625" s="72">
        <v>83.804112875536475</v>
      </c>
      <c r="K1625" s="73">
        <v>473360.17</v>
      </c>
      <c r="L1625" s="74">
        <v>0</v>
      </c>
      <c r="M1625" s="73">
        <v>0</v>
      </c>
      <c r="N1625" s="74">
        <v>0</v>
      </c>
      <c r="O1625" s="73">
        <v>0</v>
      </c>
      <c r="P1625" s="74">
        <v>23300</v>
      </c>
      <c r="Q1625" s="73">
        <v>2425996</v>
      </c>
      <c r="R1625" s="71" t="s">
        <v>625</v>
      </c>
      <c r="S1625" s="71">
        <v>7414000005</v>
      </c>
      <c r="AB1625"/>
      <c r="AC1625"/>
    </row>
    <row r="1626" spans="1:29" x14ac:dyDescent="0.25">
      <c r="A1626" t="str">
        <f t="shared" si="26"/>
        <v xml:space="preserve">72637GFNORTE O           </v>
      </c>
      <c r="B1626" s="71">
        <v>72637</v>
      </c>
      <c r="C1626" s="71" t="s">
        <v>842</v>
      </c>
      <c r="D1626" s="71" t="s">
        <v>375</v>
      </c>
      <c r="E1626" s="71" t="s">
        <v>623</v>
      </c>
      <c r="F1626" s="71" t="s">
        <v>624</v>
      </c>
      <c r="G1626" s="74">
        <v>15697</v>
      </c>
      <c r="H1626" s="72">
        <v>98.730349000000004</v>
      </c>
      <c r="I1626" s="73">
        <v>1549770.288253</v>
      </c>
      <c r="J1626" s="72">
        <v>104.03952863687456</v>
      </c>
      <c r="K1626" s="73">
        <v>-83338.19276002</v>
      </c>
      <c r="L1626" s="74">
        <v>0</v>
      </c>
      <c r="M1626" s="73">
        <v>0</v>
      </c>
      <c r="N1626" s="74">
        <v>0</v>
      </c>
      <c r="O1626" s="73">
        <v>0</v>
      </c>
      <c r="P1626" s="74">
        <v>15697</v>
      </c>
      <c r="Q1626" s="73">
        <v>1549770.288253</v>
      </c>
      <c r="R1626" s="71" t="s">
        <v>625</v>
      </c>
      <c r="S1626" s="71">
        <v>7414000005</v>
      </c>
      <c r="AB1626"/>
      <c r="AC1626"/>
    </row>
    <row r="1627" spans="1:29" x14ac:dyDescent="0.25">
      <c r="A1627" t="str">
        <f t="shared" si="26"/>
        <v xml:space="preserve">72637GMEXICO B           </v>
      </c>
      <c r="B1627" s="71">
        <v>72637</v>
      </c>
      <c r="C1627" s="71" t="s">
        <v>842</v>
      </c>
      <c r="D1627" s="71" t="s">
        <v>376</v>
      </c>
      <c r="E1627" s="71" t="s">
        <v>623</v>
      </c>
      <c r="F1627" s="71" t="s">
        <v>624</v>
      </c>
      <c r="G1627" s="74">
        <v>17750</v>
      </c>
      <c r="H1627" s="72">
        <v>99.247497999999993</v>
      </c>
      <c r="I1627" s="73">
        <v>1761643.0895</v>
      </c>
      <c r="J1627" s="72">
        <v>112.3990265691245</v>
      </c>
      <c r="K1627" s="73">
        <v>-233439.63210196001</v>
      </c>
      <c r="L1627" s="74">
        <v>0</v>
      </c>
      <c r="M1627" s="73">
        <v>0</v>
      </c>
      <c r="N1627" s="74">
        <v>0</v>
      </c>
      <c r="O1627" s="73">
        <v>0</v>
      </c>
      <c r="P1627" s="74">
        <v>17750</v>
      </c>
      <c r="Q1627" s="73">
        <v>1761643.0895</v>
      </c>
      <c r="R1627" s="71" t="s">
        <v>625</v>
      </c>
      <c r="S1627" s="71">
        <v>7414000005</v>
      </c>
      <c r="AB1627"/>
      <c r="AC1627"/>
    </row>
    <row r="1628" spans="1:29" x14ac:dyDescent="0.25">
      <c r="A1628" t="str">
        <f t="shared" si="26"/>
        <v xml:space="preserve">72637GOBFED 240905       </v>
      </c>
      <c r="B1628" s="71">
        <v>72637</v>
      </c>
      <c r="C1628" s="71" t="s">
        <v>842</v>
      </c>
      <c r="D1628" s="71" t="s">
        <v>377</v>
      </c>
      <c r="E1628" s="71" t="s">
        <v>623</v>
      </c>
      <c r="F1628" s="71" t="s">
        <v>624</v>
      </c>
      <c r="G1628" s="74">
        <v>5330</v>
      </c>
      <c r="H1628" s="72">
        <v>94.973146999999997</v>
      </c>
      <c r="I1628" s="73">
        <v>506206.87351</v>
      </c>
      <c r="J1628" s="72">
        <v>89.776596093696057</v>
      </c>
      <c r="K1628" s="73">
        <v>27697.616330600002</v>
      </c>
      <c r="L1628" s="74">
        <v>0</v>
      </c>
      <c r="M1628" s="73">
        <v>0</v>
      </c>
      <c r="N1628" s="74">
        <v>0</v>
      </c>
      <c r="O1628" s="73">
        <v>0</v>
      </c>
      <c r="P1628" s="74">
        <v>5330</v>
      </c>
      <c r="Q1628" s="73">
        <v>506206.87351</v>
      </c>
      <c r="R1628" s="71" t="s">
        <v>625</v>
      </c>
      <c r="S1628" s="71">
        <v>7414000005</v>
      </c>
      <c r="AB1628"/>
      <c r="AC1628"/>
    </row>
    <row r="1629" spans="1:29" x14ac:dyDescent="0.25">
      <c r="A1629" t="str">
        <f t="shared" si="26"/>
        <v xml:space="preserve">72637GOBFED 241205       </v>
      </c>
      <c r="B1629" s="71">
        <v>72637</v>
      </c>
      <c r="C1629" s="71" t="s">
        <v>842</v>
      </c>
      <c r="D1629" s="71" t="s">
        <v>378</v>
      </c>
      <c r="E1629" s="71" t="s">
        <v>623</v>
      </c>
      <c r="F1629" s="71" t="s">
        <v>624</v>
      </c>
      <c r="G1629" s="74">
        <v>18336</v>
      </c>
      <c r="H1629" s="72">
        <v>91.911821000000003</v>
      </c>
      <c r="I1629" s="73">
        <v>1685295.149856</v>
      </c>
      <c r="J1629" s="72">
        <v>93.2088459</v>
      </c>
      <c r="K1629" s="73">
        <v>-23782.248566400001</v>
      </c>
      <c r="L1629" s="74">
        <v>0</v>
      </c>
      <c r="M1629" s="73">
        <v>0</v>
      </c>
      <c r="N1629" s="74">
        <v>0</v>
      </c>
      <c r="O1629" s="73">
        <v>0</v>
      </c>
      <c r="P1629" s="74">
        <v>18336</v>
      </c>
      <c r="Q1629" s="73">
        <v>1685295.149856</v>
      </c>
      <c r="R1629" s="71" t="s">
        <v>625</v>
      </c>
      <c r="S1629" s="71">
        <v>7414000005</v>
      </c>
      <c r="AB1629"/>
      <c r="AC1629"/>
    </row>
    <row r="1630" spans="1:29" x14ac:dyDescent="0.25">
      <c r="A1630" t="str">
        <f t="shared" si="26"/>
        <v xml:space="preserve">72637GOBFED 250306       </v>
      </c>
      <c r="B1630" s="71">
        <v>72637</v>
      </c>
      <c r="C1630" s="71" t="s">
        <v>842</v>
      </c>
      <c r="D1630" s="71" t="s">
        <v>499</v>
      </c>
      <c r="E1630" s="71" t="s">
        <v>623</v>
      </c>
      <c r="F1630" s="71" t="s">
        <v>624</v>
      </c>
      <c r="G1630" s="74">
        <v>9390</v>
      </c>
      <c r="H1630" s="72">
        <v>92.954503000000003</v>
      </c>
      <c r="I1630" s="73">
        <v>872842.78316999995</v>
      </c>
      <c r="J1630" s="72">
        <v>93.326188568146961</v>
      </c>
      <c r="K1630" s="73">
        <v>-3490.1274849000001</v>
      </c>
      <c r="L1630" s="74">
        <v>0</v>
      </c>
      <c r="M1630" s="73">
        <v>0</v>
      </c>
      <c r="N1630" s="74">
        <v>0</v>
      </c>
      <c r="O1630" s="73">
        <v>0</v>
      </c>
      <c r="P1630" s="74">
        <v>9390</v>
      </c>
      <c r="Q1630" s="73">
        <v>872842.78316999995</v>
      </c>
      <c r="R1630" s="71" t="s">
        <v>625</v>
      </c>
      <c r="S1630" s="71">
        <v>7414000005</v>
      </c>
      <c r="AB1630"/>
      <c r="AC1630"/>
    </row>
    <row r="1631" spans="1:29" x14ac:dyDescent="0.25">
      <c r="A1631" t="str">
        <f t="shared" si="26"/>
        <v xml:space="preserve">72637GOBFED 260305       </v>
      </c>
      <c r="B1631" s="71">
        <v>72637</v>
      </c>
      <c r="C1631" s="71" t="s">
        <v>842</v>
      </c>
      <c r="D1631" s="71" t="s">
        <v>379</v>
      </c>
      <c r="E1631" s="71" t="s">
        <v>623</v>
      </c>
      <c r="F1631" s="71" t="s">
        <v>624</v>
      </c>
      <c r="G1631" s="74">
        <v>9384</v>
      </c>
      <c r="H1631" s="72">
        <v>88.698122999999995</v>
      </c>
      <c r="I1631" s="73">
        <v>832343.18623200001</v>
      </c>
      <c r="J1631" s="72">
        <v>85.582633650971871</v>
      </c>
      <c r="K1631" s="73">
        <v>29235.75205128</v>
      </c>
      <c r="L1631" s="74">
        <v>0</v>
      </c>
      <c r="M1631" s="73">
        <v>0</v>
      </c>
      <c r="N1631" s="74">
        <v>0</v>
      </c>
      <c r="O1631" s="73">
        <v>0</v>
      </c>
      <c r="P1631" s="74">
        <v>9384</v>
      </c>
      <c r="Q1631" s="73">
        <v>832343.18623200001</v>
      </c>
      <c r="R1631" s="71" t="s">
        <v>625</v>
      </c>
      <c r="S1631" s="71">
        <v>7414000005</v>
      </c>
      <c r="AB1631"/>
      <c r="AC1631"/>
    </row>
    <row r="1632" spans="1:29" x14ac:dyDescent="0.25">
      <c r="A1632" t="str">
        <f t="shared" si="26"/>
        <v xml:space="preserve">72637GOBFED 260903       </v>
      </c>
      <c r="B1632" s="71">
        <v>72637</v>
      </c>
      <c r="C1632" s="71" t="s">
        <v>842</v>
      </c>
      <c r="D1632" s="71" t="s">
        <v>380</v>
      </c>
      <c r="E1632" s="71" t="s">
        <v>623</v>
      </c>
      <c r="F1632" s="71" t="s">
        <v>624</v>
      </c>
      <c r="G1632" s="74">
        <v>18740</v>
      </c>
      <c r="H1632" s="72">
        <v>93.314192000000006</v>
      </c>
      <c r="I1632" s="73">
        <v>1748707.95808</v>
      </c>
      <c r="J1632" s="72">
        <v>98.84379737696905</v>
      </c>
      <c r="K1632" s="73">
        <v>-103624.8047644</v>
      </c>
      <c r="L1632" s="74">
        <v>0</v>
      </c>
      <c r="M1632" s="73">
        <v>0</v>
      </c>
      <c r="N1632" s="74">
        <v>0</v>
      </c>
      <c r="O1632" s="73">
        <v>0</v>
      </c>
      <c r="P1632" s="74">
        <v>18740</v>
      </c>
      <c r="Q1632" s="73">
        <v>1748707.95808</v>
      </c>
      <c r="R1632" s="71" t="s">
        <v>625</v>
      </c>
      <c r="S1632" s="71">
        <v>7414000005</v>
      </c>
      <c r="AB1632"/>
      <c r="AC1632"/>
    </row>
    <row r="1633" spans="1:29" x14ac:dyDescent="0.25">
      <c r="A1633" t="str">
        <f t="shared" si="26"/>
        <v xml:space="preserve">72637GOBFED 270304       </v>
      </c>
      <c r="B1633" s="71">
        <v>72637</v>
      </c>
      <c r="C1633" s="71" t="s">
        <v>842</v>
      </c>
      <c r="D1633" s="71" t="s">
        <v>507</v>
      </c>
      <c r="E1633" s="71" t="s">
        <v>623</v>
      </c>
      <c r="F1633" s="71" t="s">
        <v>624</v>
      </c>
      <c r="G1633" s="74">
        <v>16620</v>
      </c>
      <c r="H1633" s="72">
        <v>94.864168000000006</v>
      </c>
      <c r="I1633" s="73">
        <v>1576642.4721599999</v>
      </c>
      <c r="J1633" s="72">
        <v>96.405382591450064</v>
      </c>
      <c r="K1633" s="73">
        <v>-25614.986509900002</v>
      </c>
      <c r="L1633" s="74">
        <v>0</v>
      </c>
      <c r="M1633" s="73">
        <v>0</v>
      </c>
      <c r="N1633" s="74">
        <v>0</v>
      </c>
      <c r="O1633" s="73">
        <v>0</v>
      </c>
      <c r="P1633" s="74">
        <v>16620</v>
      </c>
      <c r="Q1633" s="73">
        <v>1576642.4721599999</v>
      </c>
      <c r="R1633" s="71" t="s">
        <v>625</v>
      </c>
      <c r="S1633" s="71">
        <v>7414000005</v>
      </c>
      <c r="AB1633"/>
      <c r="AC1633"/>
    </row>
    <row r="1634" spans="1:29" x14ac:dyDescent="0.25">
      <c r="A1634" t="str">
        <f t="shared" si="26"/>
        <v xml:space="preserve">72637GOBFED 270603       </v>
      </c>
      <c r="B1634" s="71">
        <v>72637</v>
      </c>
      <c r="C1634" s="71" t="s">
        <v>842</v>
      </c>
      <c r="D1634" s="71" t="s">
        <v>381</v>
      </c>
      <c r="E1634" s="71" t="s">
        <v>623</v>
      </c>
      <c r="F1634" s="71" t="s">
        <v>624</v>
      </c>
      <c r="G1634" s="74">
        <v>46662</v>
      </c>
      <c r="H1634" s="72">
        <v>94.870157000000006</v>
      </c>
      <c r="I1634" s="73">
        <v>4426831.2659339998</v>
      </c>
      <c r="J1634" s="72">
        <v>96.755545584115552</v>
      </c>
      <c r="K1634" s="73">
        <v>-87976.002112000002</v>
      </c>
      <c r="L1634" s="74">
        <v>0</v>
      </c>
      <c r="M1634" s="73">
        <v>0</v>
      </c>
      <c r="N1634" s="74">
        <v>0</v>
      </c>
      <c r="O1634" s="73">
        <v>0</v>
      </c>
      <c r="P1634" s="74">
        <v>46662</v>
      </c>
      <c r="Q1634" s="73">
        <v>4426831.2659339998</v>
      </c>
      <c r="R1634" s="71" t="s">
        <v>625</v>
      </c>
      <c r="S1634" s="71">
        <v>7414000005</v>
      </c>
      <c r="AB1634"/>
      <c r="AC1634"/>
    </row>
    <row r="1635" spans="1:29" ht="35.25" customHeight="1" x14ac:dyDescent="0.25">
      <c r="A1635" t="str">
        <f t="shared" si="26"/>
        <v xml:space="preserve">72637GOBFED 290301       </v>
      </c>
      <c r="B1635" s="71">
        <v>72637</v>
      </c>
      <c r="C1635" s="71" t="s">
        <v>842</v>
      </c>
      <c r="D1635" s="71" t="s">
        <v>382</v>
      </c>
      <c r="E1635" s="71" t="s">
        <v>623</v>
      </c>
      <c r="F1635" s="71" t="s">
        <v>624</v>
      </c>
      <c r="G1635" s="74">
        <v>31021</v>
      </c>
      <c r="H1635" s="72">
        <v>89.489464999999996</v>
      </c>
      <c r="I1635" s="73">
        <v>2776052.693765</v>
      </c>
      <c r="J1635" s="72">
        <v>91.625033696637118</v>
      </c>
      <c r="K1635" s="73">
        <v>-66247.476538379997</v>
      </c>
      <c r="L1635" s="74">
        <v>0</v>
      </c>
      <c r="M1635" s="73">
        <v>0</v>
      </c>
      <c r="N1635" s="74">
        <v>0</v>
      </c>
      <c r="O1635" s="73">
        <v>0</v>
      </c>
      <c r="P1635" s="74">
        <v>31021</v>
      </c>
      <c r="Q1635" s="73">
        <v>2776052.693765</v>
      </c>
      <c r="R1635" s="71" t="s">
        <v>625</v>
      </c>
      <c r="S1635" s="71">
        <v>7414000005</v>
      </c>
      <c r="AB1635"/>
      <c r="AC1635"/>
    </row>
    <row r="1636" spans="1:29" x14ac:dyDescent="0.25">
      <c r="A1636" t="str">
        <f t="shared" si="26"/>
        <v xml:space="preserve">72637GOBFED 290531       </v>
      </c>
      <c r="B1636" s="71">
        <v>72637</v>
      </c>
      <c r="C1636" s="71" t="s">
        <v>842</v>
      </c>
      <c r="D1636" s="71" t="s">
        <v>383</v>
      </c>
      <c r="E1636" s="71" t="s">
        <v>623</v>
      </c>
      <c r="F1636" s="71" t="s">
        <v>624</v>
      </c>
      <c r="G1636" s="74">
        <v>46364</v>
      </c>
      <c r="H1636" s="72">
        <v>86.197128000000006</v>
      </c>
      <c r="I1636" s="73">
        <v>3996443.6425919998</v>
      </c>
      <c r="J1636" s="72">
        <v>89.230285410432657</v>
      </c>
      <c r="K1636" s="73">
        <v>-140629.31017730001</v>
      </c>
      <c r="L1636" s="74">
        <v>0</v>
      </c>
      <c r="M1636" s="73">
        <v>0</v>
      </c>
      <c r="N1636" s="74">
        <v>0</v>
      </c>
      <c r="O1636" s="73">
        <v>0</v>
      </c>
      <c r="P1636" s="74">
        <v>46364</v>
      </c>
      <c r="Q1636" s="73">
        <v>3996443.6425919998</v>
      </c>
      <c r="R1636" s="71" t="s">
        <v>625</v>
      </c>
      <c r="S1636" s="71">
        <v>7414000005</v>
      </c>
      <c r="AB1636"/>
      <c r="AC1636"/>
    </row>
    <row r="1637" spans="1:29" s="21" customFormat="1" x14ac:dyDescent="0.25">
      <c r="A1637" t="str">
        <f t="shared" si="26"/>
        <v xml:space="preserve">72637GOBFED 310529       </v>
      </c>
      <c r="B1637" s="71">
        <v>72637</v>
      </c>
      <c r="C1637" s="71" t="s">
        <v>842</v>
      </c>
      <c r="D1637" s="71" t="s">
        <v>427</v>
      </c>
      <c r="E1637" s="71" t="s">
        <v>623</v>
      </c>
      <c r="F1637" s="71" t="s">
        <v>624</v>
      </c>
      <c r="G1637" s="74">
        <v>31170</v>
      </c>
      <c r="H1637" s="72">
        <v>86.469353999999996</v>
      </c>
      <c r="I1637" s="73">
        <v>2695249.7641799999</v>
      </c>
      <c r="J1637" s="72">
        <v>90.753331323054212</v>
      </c>
      <c r="K1637" s="73">
        <v>-133531.5731596</v>
      </c>
      <c r="L1637" s="74">
        <v>0</v>
      </c>
      <c r="M1637" s="73">
        <v>0</v>
      </c>
      <c r="N1637" s="74">
        <v>0</v>
      </c>
      <c r="O1637" s="73">
        <v>0</v>
      </c>
      <c r="P1637" s="74">
        <v>31170</v>
      </c>
      <c r="Q1637" s="73">
        <v>2695249.7641799999</v>
      </c>
      <c r="R1637" s="71" t="s">
        <v>625</v>
      </c>
      <c r="S1637" s="71">
        <v>7414000005</v>
      </c>
      <c r="X1637" s="22"/>
      <c r="AA1637"/>
      <c r="AB1637"/>
      <c r="AC1637"/>
    </row>
    <row r="1638" spans="1:29" s="21" customFormat="1" x14ac:dyDescent="0.25">
      <c r="A1638" t="str">
        <f t="shared" si="26"/>
        <v xml:space="preserve">72637GOBFED 330526       </v>
      </c>
      <c r="B1638" s="71">
        <v>72637</v>
      </c>
      <c r="C1638" s="71" t="s">
        <v>842</v>
      </c>
      <c r="D1638" s="71" t="s">
        <v>418</v>
      </c>
      <c r="E1638" s="71" t="s">
        <v>623</v>
      </c>
      <c r="F1638" s="71" t="s">
        <v>624</v>
      </c>
      <c r="G1638" s="74">
        <v>1504</v>
      </c>
      <c r="H1638" s="72">
        <v>101.45096599999999</v>
      </c>
      <c r="I1638" s="73">
        <v>152582.25286400001</v>
      </c>
      <c r="J1638" s="72">
        <v>114.11447106</v>
      </c>
      <c r="K1638" s="73">
        <v>-19045.91161024</v>
      </c>
      <c r="L1638" s="74">
        <v>0</v>
      </c>
      <c r="M1638" s="73">
        <v>0</v>
      </c>
      <c r="N1638" s="74">
        <v>0</v>
      </c>
      <c r="O1638" s="73">
        <v>0</v>
      </c>
      <c r="P1638" s="74">
        <v>1504</v>
      </c>
      <c r="Q1638" s="73">
        <v>152582.25286400001</v>
      </c>
      <c r="R1638" s="71" t="s">
        <v>625</v>
      </c>
      <c r="S1638" s="71">
        <v>7414000005</v>
      </c>
      <c r="T1638" s="23"/>
      <c r="X1638" s="22"/>
      <c r="AA1638"/>
      <c r="AB1638"/>
      <c r="AC1638"/>
    </row>
    <row r="1639" spans="1:29" x14ac:dyDescent="0.25">
      <c r="A1639" t="str">
        <f t="shared" si="26"/>
        <v xml:space="preserve">72637GOBFED 341123       </v>
      </c>
      <c r="B1639" s="71">
        <v>72637</v>
      </c>
      <c r="C1639" s="71" t="s">
        <v>842</v>
      </c>
      <c r="D1639" s="71" t="s">
        <v>408</v>
      </c>
      <c r="E1639" s="71" t="s">
        <v>623</v>
      </c>
      <c r="F1639" s="71" t="s">
        <v>624</v>
      </c>
      <c r="G1639" s="74">
        <v>1379</v>
      </c>
      <c r="H1639" s="72">
        <v>89.643172000000007</v>
      </c>
      <c r="I1639" s="73">
        <v>123617.934188</v>
      </c>
      <c r="J1639" s="72">
        <v>108.47711812999999</v>
      </c>
      <c r="K1639" s="73">
        <v>-25972.01171327</v>
      </c>
      <c r="L1639" s="74">
        <v>0</v>
      </c>
      <c r="M1639" s="73">
        <v>0</v>
      </c>
      <c r="N1639" s="74">
        <v>0</v>
      </c>
      <c r="O1639" s="73">
        <v>0</v>
      </c>
      <c r="P1639" s="74">
        <v>1379</v>
      </c>
      <c r="Q1639" s="73">
        <v>123617.934188</v>
      </c>
      <c r="R1639" s="71" t="s">
        <v>625</v>
      </c>
      <c r="S1639" s="71">
        <v>7414000005</v>
      </c>
      <c r="AB1639"/>
      <c r="AC1639"/>
    </row>
    <row r="1640" spans="1:29" x14ac:dyDescent="0.25">
      <c r="A1640" t="str">
        <f t="shared" si="26"/>
        <v xml:space="preserve">72637GOBFED 361120       </v>
      </c>
      <c r="B1640" s="71">
        <v>72637</v>
      </c>
      <c r="C1640" s="71" t="s">
        <v>842</v>
      </c>
      <c r="D1640" s="71" t="s">
        <v>384</v>
      </c>
      <c r="E1640" s="71" t="s">
        <v>623</v>
      </c>
      <c r="F1640" s="71" t="s">
        <v>624</v>
      </c>
      <c r="G1640" s="74">
        <v>37318</v>
      </c>
      <c r="H1640" s="72">
        <v>81.738860000000003</v>
      </c>
      <c r="I1640" s="73">
        <v>3050330.7774800002</v>
      </c>
      <c r="J1640" s="72">
        <v>86.583587935914039</v>
      </c>
      <c r="K1640" s="73">
        <v>-180795.55711244</v>
      </c>
      <c r="L1640" s="74">
        <v>0</v>
      </c>
      <c r="M1640" s="73">
        <v>0</v>
      </c>
      <c r="N1640" s="74">
        <v>0</v>
      </c>
      <c r="O1640" s="73">
        <v>0</v>
      </c>
      <c r="P1640" s="74">
        <v>37318</v>
      </c>
      <c r="Q1640" s="73">
        <v>3050330.7774800002</v>
      </c>
      <c r="R1640" s="71" t="s">
        <v>625</v>
      </c>
      <c r="S1640" s="71">
        <v>7414000005</v>
      </c>
      <c r="AB1640"/>
      <c r="AC1640"/>
    </row>
    <row r="1641" spans="1:29" x14ac:dyDescent="0.25">
      <c r="A1641" t="str">
        <f t="shared" si="26"/>
        <v xml:space="preserve">72637GOBFED 381118       </v>
      </c>
      <c r="B1641" s="71">
        <v>72637</v>
      </c>
      <c r="C1641" s="71" t="s">
        <v>842</v>
      </c>
      <c r="D1641" s="71" t="s">
        <v>385</v>
      </c>
      <c r="E1641" s="71" t="s">
        <v>623</v>
      </c>
      <c r="F1641" s="71" t="s">
        <v>624</v>
      </c>
      <c r="G1641" s="74">
        <v>5580</v>
      </c>
      <c r="H1641" s="72">
        <v>83.200761</v>
      </c>
      <c r="I1641" s="73">
        <v>464260.24638000003</v>
      </c>
      <c r="J1641" s="72">
        <v>94.43845025129032</v>
      </c>
      <c r="K1641" s="73">
        <v>-62706.306022199999</v>
      </c>
      <c r="L1641" s="74">
        <v>0</v>
      </c>
      <c r="M1641" s="73">
        <v>0</v>
      </c>
      <c r="N1641" s="74">
        <v>0</v>
      </c>
      <c r="O1641" s="73">
        <v>0</v>
      </c>
      <c r="P1641" s="74">
        <v>5580</v>
      </c>
      <c r="Q1641" s="73">
        <v>464260.24638000003</v>
      </c>
      <c r="R1641" s="71" t="s">
        <v>625</v>
      </c>
      <c r="S1641" s="71">
        <v>7414000005</v>
      </c>
      <c r="AB1641"/>
      <c r="AC1641"/>
    </row>
    <row r="1642" spans="1:29" x14ac:dyDescent="0.25">
      <c r="A1642" t="str">
        <f t="shared" si="26"/>
        <v xml:space="preserve">72637GOBFED 421113       </v>
      </c>
      <c r="B1642" s="71">
        <v>72637</v>
      </c>
      <c r="C1642" s="71" t="s">
        <v>842</v>
      </c>
      <c r="D1642" s="71" t="s">
        <v>386</v>
      </c>
      <c r="E1642" s="71" t="s">
        <v>623</v>
      </c>
      <c r="F1642" s="71" t="s">
        <v>624</v>
      </c>
      <c r="G1642" s="74">
        <v>45593</v>
      </c>
      <c r="H1642" s="72">
        <v>82.159907000000004</v>
      </c>
      <c r="I1642" s="73">
        <v>3745916.6398510002</v>
      </c>
      <c r="J1642" s="72">
        <v>83.99904384907903</v>
      </c>
      <c r="K1642" s="73">
        <v>-83851.766360060006</v>
      </c>
      <c r="L1642" s="74">
        <v>0</v>
      </c>
      <c r="M1642" s="73">
        <v>0</v>
      </c>
      <c r="N1642" s="74">
        <v>0</v>
      </c>
      <c r="O1642" s="73">
        <v>0</v>
      </c>
      <c r="P1642" s="74">
        <v>45593</v>
      </c>
      <c r="Q1642" s="73">
        <v>3745916.6398510002</v>
      </c>
      <c r="R1642" s="71" t="s">
        <v>625</v>
      </c>
      <c r="S1642" s="71">
        <v>7414000005</v>
      </c>
      <c r="AB1642"/>
      <c r="AC1642"/>
    </row>
    <row r="1643" spans="1:29" x14ac:dyDescent="0.25">
      <c r="A1643" t="str">
        <f t="shared" si="26"/>
        <v xml:space="preserve">72637GOBFED 471107       </v>
      </c>
      <c r="B1643" s="71">
        <v>72637</v>
      </c>
      <c r="C1643" s="71" t="s">
        <v>842</v>
      </c>
      <c r="D1643" s="71" t="s">
        <v>387</v>
      </c>
      <c r="E1643" s="71" t="s">
        <v>623</v>
      </c>
      <c r="F1643" s="71" t="s">
        <v>624</v>
      </c>
      <c r="G1643" s="74">
        <v>2000</v>
      </c>
      <c r="H1643" s="72">
        <v>314.42</v>
      </c>
      <c r="I1643" s="73">
        <v>628840</v>
      </c>
      <c r="J1643" s="72">
        <v>283.67239000000001</v>
      </c>
      <c r="K1643" s="73">
        <v>61495.22</v>
      </c>
      <c r="L1643" s="74">
        <v>0</v>
      </c>
      <c r="M1643" s="73">
        <v>0</v>
      </c>
      <c r="N1643" s="74">
        <v>0</v>
      </c>
      <c r="O1643" s="73">
        <v>0</v>
      </c>
      <c r="P1643" s="74">
        <v>2000</v>
      </c>
      <c r="Q1643" s="73">
        <v>628840</v>
      </c>
      <c r="R1643" s="71" t="s">
        <v>625</v>
      </c>
      <c r="S1643" s="71">
        <v>7414000005</v>
      </c>
      <c r="AB1643"/>
      <c r="AC1643"/>
    </row>
    <row r="1644" spans="1:29" x14ac:dyDescent="0.25">
      <c r="A1644" t="str">
        <f t="shared" si="26"/>
        <v xml:space="preserve">72637GOBFED 530731       </v>
      </c>
      <c r="B1644" s="71">
        <v>72637</v>
      </c>
      <c r="C1644" s="71" t="s">
        <v>842</v>
      </c>
      <c r="D1644" s="71" t="s">
        <v>503</v>
      </c>
      <c r="E1644" s="71" t="s">
        <v>623</v>
      </c>
      <c r="F1644" s="71" t="s">
        <v>624</v>
      </c>
      <c r="G1644" s="74">
        <v>11900</v>
      </c>
      <c r="H1644" s="72">
        <v>43.85</v>
      </c>
      <c r="I1644" s="73">
        <v>521815</v>
      </c>
      <c r="J1644" s="72">
        <v>41.431910924369745</v>
      </c>
      <c r="K1644" s="73">
        <v>28775.26</v>
      </c>
      <c r="L1644" s="74">
        <v>0</v>
      </c>
      <c r="M1644" s="73">
        <v>0</v>
      </c>
      <c r="N1644" s="74">
        <v>0</v>
      </c>
      <c r="O1644" s="73">
        <v>0</v>
      </c>
      <c r="P1644" s="74">
        <v>11900</v>
      </c>
      <c r="Q1644" s="73">
        <v>521815</v>
      </c>
      <c r="R1644" s="71" t="s">
        <v>625</v>
      </c>
      <c r="S1644" s="71">
        <v>7414000005</v>
      </c>
      <c r="AB1644"/>
      <c r="AC1644"/>
    </row>
    <row r="1645" spans="1:29" x14ac:dyDescent="0.25">
      <c r="A1645" t="str">
        <f t="shared" si="26"/>
        <v xml:space="preserve">72637GRUMA B             </v>
      </c>
      <c r="B1645" s="71">
        <v>72637</v>
      </c>
      <c r="C1645" s="71" t="s">
        <v>842</v>
      </c>
      <c r="D1645" s="71" t="s">
        <v>419</v>
      </c>
      <c r="E1645" s="71" t="s">
        <v>623</v>
      </c>
      <c r="F1645" s="71" t="s">
        <v>624</v>
      </c>
      <c r="G1645" s="74">
        <v>0</v>
      </c>
      <c r="H1645" s="72">
        <v>0</v>
      </c>
      <c r="I1645" s="73">
        <v>0</v>
      </c>
      <c r="J1645" s="72">
        <v>0</v>
      </c>
      <c r="K1645" s="73">
        <v>0</v>
      </c>
      <c r="L1645" s="74">
        <v>0</v>
      </c>
      <c r="M1645" s="73">
        <v>0</v>
      </c>
      <c r="N1645" s="74">
        <v>0</v>
      </c>
      <c r="O1645" s="73">
        <v>0</v>
      </c>
      <c r="P1645" s="74">
        <v>0</v>
      </c>
      <c r="Q1645" s="73">
        <v>0</v>
      </c>
      <c r="R1645" s="71" t="s">
        <v>625</v>
      </c>
      <c r="S1645" s="71">
        <v>7414000005</v>
      </c>
      <c r="AB1645"/>
      <c r="AC1645"/>
    </row>
    <row r="1646" spans="1:29" x14ac:dyDescent="0.25">
      <c r="A1646" t="str">
        <f t="shared" si="26"/>
        <v xml:space="preserve">72637HERDEZ *            </v>
      </c>
      <c r="B1646" s="71">
        <v>72637</v>
      </c>
      <c r="C1646" s="71" t="s">
        <v>842</v>
      </c>
      <c r="D1646" s="71" t="s">
        <v>388</v>
      </c>
      <c r="E1646" s="71" t="s">
        <v>623</v>
      </c>
      <c r="F1646" s="71" t="s">
        <v>624</v>
      </c>
      <c r="G1646" s="74">
        <v>946</v>
      </c>
      <c r="H1646" s="72">
        <v>8532.5</v>
      </c>
      <c r="I1646" s="73">
        <v>8071745</v>
      </c>
      <c r="J1646" s="72">
        <v>4566.3986469344609</v>
      </c>
      <c r="K1646" s="73">
        <v>3751931.88</v>
      </c>
      <c r="L1646" s="74">
        <v>0</v>
      </c>
      <c r="M1646" s="73">
        <v>0</v>
      </c>
      <c r="N1646" s="74">
        <v>0</v>
      </c>
      <c r="O1646" s="73">
        <v>0</v>
      </c>
      <c r="P1646" s="74">
        <v>946</v>
      </c>
      <c r="Q1646" s="73">
        <v>8071745</v>
      </c>
      <c r="R1646" s="71" t="s">
        <v>625</v>
      </c>
      <c r="S1646" s="71">
        <v>7414000005</v>
      </c>
      <c r="AB1646"/>
      <c r="AC1646"/>
    </row>
    <row r="1647" spans="1:29" x14ac:dyDescent="0.25">
      <c r="A1647" t="str">
        <f t="shared" si="26"/>
        <v xml:space="preserve">72637IENOVA *            </v>
      </c>
      <c r="B1647" s="71">
        <v>72637</v>
      </c>
      <c r="C1647" s="71" t="s">
        <v>842</v>
      </c>
      <c r="D1647" s="71" t="s">
        <v>540</v>
      </c>
      <c r="E1647" s="71" t="s">
        <v>623</v>
      </c>
      <c r="F1647" s="71" t="s">
        <v>624</v>
      </c>
      <c r="G1647" s="74">
        <v>14400</v>
      </c>
      <c r="H1647" s="72">
        <v>36.28</v>
      </c>
      <c r="I1647" s="73">
        <v>522432</v>
      </c>
      <c r="J1647" s="72">
        <v>39.117790277777779</v>
      </c>
      <c r="K1647" s="73">
        <v>-40864.18</v>
      </c>
      <c r="L1647" s="74">
        <v>0</v>
      </c>
      <c r="M1647" s="73">
        <v>0</v>
      </c>
      <c r="N1647" s="74">
        <v>0</v>
      </c>
      <c r="O1647" s="73">
        <v>0</v>
      </c>
      <c r="P1647" s="74">
        <v>14400</v>
      </c>
      <c r="Q1647" s="73">
        <v>522432</v>
      </c>
      <c r="R1647" s="71" t="s">
        <v>625</v>
      </c>
      <c r="S1647" s="71">
        <v>7414000005</v>
      </c>
      <c r="AB1647"/>
      <c r="AC1647"/>
    </row>
    <row r="1648" spans="1:29" x14ac:dyDescent="0.25">
      <c r="A1648" t="str">
        <f t="shared" si="26"/>
        <v xml:space="preserve">72637IVV *               </v>
      </c>
      <c r="B1648" s="71">
        <v>72637</v>
      </c>
      <c r="C1648" s="71" t="s">
        <v>842</v>
      </c>
      <c r="D1648" s="71" t="s">
        <v>553</v>
      </c>
      <c r="E1648" s="71" t="s">
        <v>623</v>
      </c>
      <c r="F1648" s="71" t="s">
        <v>624</v>
      </c>
      <c r="G1648" s="74">
        <v>1900</v>
      </c>
      <c r="H1648" s="72">
        <v>136.35</v>
      </c>
      <c r="I1648" s="73">
        <v>259065</v>
      </c>
      <c r="J1648" s="72">
        <v>119.00934736842105</v>
      </c>
      <c r="K1648" s="73">
        <v>32947.24</v>
      </c>
      <c r="L1648" s="74">
        <v>0</v>
      </c>
      <c r="M1648" s="73">
        <v>0</v>
      </c>
      <c r="N1648" s="74">
        <v>0</v>
      </c>
      <c r="O1648" s="73">
        <v>0</v>
      </c>
      <c r="P1648" s="74">
        <v>1900</v>
      </c>
      <c r="Q1648" s="73">
        <v>259065</v>
      </c>
      <c r="R1648" s="71" t="s">
        <v>625</v>
      </c>
      <c r="S1648" s="71">
        <v>7414000005</v>
      </c>
      <c r="AB1648"/>
      <c r="AC1648"/>
    </row>
    <row r="1649" spans="1:29" x14ac:dyDescent="0.25">
      <c r="A1649" t="str">
        <f t="shared" si="26"/>
        <v xml:space="preserve">72637LACOMER UBC         </v>
      </c>
      <c r="B1649" s="71">
        <v>72637</v>
      </c>
      <c r="C1649" s="71" t="s">
        <v>842</v>
      </c>
      <c r="D1649" s="71" t="s">
        <v>429</v>
      </c>
      <c r="E1649" s="71" t="s">
        <v>623</v>
      </c>
      <c r="F1649" s="71" t="s">
        <v>624</v>
      </c>
      <c r="G1649" s="74">
        <v>40257</v>
      </c>
      <c r="H1649" s="72">
        <v>98.007834000000003</v>
      </c>
      <c r="I1649" s="73">
        <v>3945501.3733379999</v>
      </c>
      <c r="J1649" s="72">
        <v>89.792370106188244</v>
      </c>
      <c r="K1649" s="73">
        <v>330729.92997318</v>
      </c>
      <c r="L1649" s="74">
        <v>0</v>
      </c>
      <c r="M1649" s="73">
        <v>0</v>
      </c>
      <c r="N1649" s="74">
        <v>0</v>
      </c>
      <c r="O1649" s="73">
        <v>0</v>
      </c>
      <c r="P1649" s="74">
        <v>40257</v>
      </c>
      <c r="Q1649" s="73">
        <v>3945501.3733379999</v>
      </c>
      <c r="R1649" s="71" t="s">
        <v>625</v>
      </c>
      <c r="S1649" s="71">
        <v>7414000005</v>
      </c>
      <c r="AB1649"/>
      <c r="AC1649"/>
    </row>
    <row r="1650" spans="1:29" x14ac:dyDescent="0.25">
      <c r="A1650" t="str">
        <f t="shared" si="26"/>
        <v xml:space="preserve">72637LIVEPOL C-1         </v>
      </c>
      <c r="B1650" s="71">
        <v>72637</v>
      </c>
      <c r="C1650" s="71" t="s">
        <v>842</v>
      </c>
      <c r="D1650" s="71" t="s">
        <v>541</v>
      </c>
      <c r="E1650" s="71" t="s">
        <v>623</v>
      </c>
      <c r="F1650" s="71" t="s">
        <v>624</v>
      </c>
      <c r="G1650" s="74">
        <v>4500</v>
      </c>
      <c r="H1650" s="72">
        <v>156</v>
      </c>
      <c r="I1650" s="73">
        <v>702000</v>
      </c>
      <c r="J1650" s="72">
        <v>139.65624222222223</v>
      </c>
      <c r="K1650" s="73">
        <v>73546.91</v>
      </c>
      <c r="L1650" s="74">
        <v>0</v>
      </c>
      <c r="M1650" s="73">
        <v>0</v>
      </c>
      <c r="N1650" s="74">
        <v>0</v>
      </c>
      <c r="O1650" s="73">
        <v>0</v>
      </c>
      <c r="P1650" s="74">
        <v>4500</v>
      </c>
      <c r="Q1650" s="73">
        <v>702000</v>
      </c>
      <c r="R1650" s="71" t="s">
        <v>625</v>
      </c>
      <c r="S1650" s="71">
        <v>7414000005</v>
      </c>
      <c r="AB1650"/>
      <c r="AC1650"/>
    </row>
    <row r="1651" spans="1:29" x14ac:dyDescent="0.25">
      <c r="A1651" t="str">
        <f t="shared" si="26"/>
        <v xml:space="preserve">72637PEMEX 13-2          </v>
      </c>
      <c r="B1651" s="71">
        <v>72637</v>
      </c>
      <c r="C1651" s="71" t="s">
        <v>842</v>
      </c>
      <c r="D1651" s="71" t="s">
        <v>501</v>
      </c>
      <c r="E1651" s="71" t="s">
        <v>623</v>
      </c>
      <c r="F1651" s="71" t="s">
        <v>624</v>
      </c>
      <c r="G1651" s="74">
        <v>3621</v>
      </c>
      <c r="H1651" s="72">
        <v>682.55</v>
      </c>
      <c r="I1651" s="73">
        <v>2471513.5499999998</v>
      </c>
      <c r="J1651" s="72">
        <v>846.22250483291907</v>
      </c>
      <c r="K1651" s="73">
        <v>-592658.14</v>
      </c>
      <c r="L1651" s="74">
        <v>0</v>
      </c>
      <c r="M1651" s="73">
        <v>0</v>
      </c>
      <c r="N1651" s="74">
        <v>0</v>
      </c>
      <c r="O1651" s="73">
        <v>0</v>
      </c>
      <c r="P1651" s="74">
        <v>3621</v>
      </c>
      <c r="Q1651" s="73">
        <v>2471513.5499999998</v>
      </c>
      <c r="R1651" s="71" t="s">
        <v>625</v>
      </c>
      <c r="S1651" s="71">
        <v>7414000005</v>
      </c>
      <c r="AB1651"/>
      <c r="AC1651"/>
    </row>
    <row r="1652" spans="1:29" x14ac:dyDescent="0.25">
      <c r="A1652" t="str">
        <f t="shared" si="26"/>
        <v xml:space="preserve">72637R A                 </v>
      </c>
      <c r="B1652" s="71">
        <v>72637</v>
      </c>
      <c r="C1652" s="71" t="s">
        <v>842</v>
      </c>
      <c r="D1652" s="71" t="s">
        <v>389</v>
      </c>
      <c r="E1652" s="71" t="s">
        <v>623</v>
      </c>
      <c r="F1652" s="71" t="s">
        <v>624</v>
      </c>
      <c r="G1652" s="74">
        <v>1728933</v>
      </c>
      <c r="H1652" s="72">
        <v>3.3967719999999999</v>
      </c>
      <c r="I1652" s="73">
        <v>5872791.2042760001</v>
      </c>
      <c r="J1652" s="72">
        <v>3.3033328417006329</v>
      </c>
      <c r="K1652" s="73">
        <v>161550.044276</v>
      </c>
      <c r="L1652" s="74">
        <v>0</v>
      </c>
      <c r="M1652" s="73">
        <v>0</v>
      </c>
      <c r="N1652" s="74">
        <v>0</v>
      </c>
      <c r="O1652" s="73">
        <v>0</v>
      </c>
      <c r="P1652" s="74">
        <v>1728933</v>
      </c>
      <c r="Q1652" s="73">
        <v>5872791.2042760001</v>
      </c>
      <c r="R1652" s="71" t="s">
        <v>625</v>
      </c>
      <c r="S1652" s="71">
        <v>7414000005</v>
      </c>
      <c r="AB1652"/>
      <c r="AC1652"/>
    </row>
    <row r="1653" spans="1:29" x14ac:dyDescent="0.25">
      <c r="A1653" t="str">
        <f t="shared" si="26"/>
        <v xml:space="preserve">72637SPSM *              </v>
      </c>
      <c r="B1653" s="71">
        <v>72637</v>
      </c>
      <c r="C1653" s="71" t="s">
        <v>842</v>
      </c>
      <c r="D1653" s="71" t="s">
        <v>500</v>
      </c>
      <c r="E1653" s="71" t="s">
        <v>623</v>
      </c>
      <c r="F1653" s="71" t="s">
        <v>624</v>
      </c>
      <c r="G1653" s="74">
        <v>19000</v>
      </c>
      <c r="H1653" s="72">
        <v>31.41</v>
      </c>
      <c r="I1653" s="73">
        <v>596790</v>
      </c>
      <c r="J1653" s="72">
        <v>32.11050946842105</v>
      </c>
      <c r="K1653" s="73">
        <v>-13309.679899999999</v>
      </c>
      <c r="L1653" s="74">
        <v>0</v>
      </c>
      <c r="M1653" s="73">
        <v>0</v>
      </c>
      <c r="N1653" s="74">
        <v>0</v>
      </c>
      <c r="O1653" s="73">
        <v>0</v>
      </c>
      <c r="P1653" s="74">
        <v>19000</v>
      </c>
      <c r="Q1653" s="73">
        <v>596790</v>
      </c>
      <c r="R1653" s="71" t="s">
        <v>625</v>
      </c>
      <c r="S1653" s="71">
        <v>7414000005</v>
      </c>
      <c r="AB1653"/>
      <c r="AC1653"/>
    </row>
    <row r="1654" spans="1:29" x14ac:dyDescent="0.25">
      <c r="A1654" t="str">
        <f t="shared" si="26"/>
        <v xml:space="preserve">72637STERGOB ED          </v>
      </c>
      <c r="B1654" s="71">
        <v>72637</v>
      </c>
      <c r="C1654" s="71" t="s">
        <v>842</v>
      </c>
      <c r="D1654" s="71" t="s">
        <v>391</v>
      </c>
      <c r="E1654" s="71" t="s">
        <v>623</v>
      </c>
      <c r="F1654" s="71" t="s">
        <v>624</v>
      </c>
      <c r="G1654" s="74">
        <v>3169</v>
      </c>
      <c r="H1654" s="72">
        <v>775.69178699999998</v>
      </c>
      <c r="I1654" s="73">
        <v>2458167.2730029998</v>
      </c>
      <c r="J1654" s="72">
        <v>766.69784126000002</v>
      </c>
      <c r="K1654" s="73">
        <v>28501.814050059998</v>
      </c>
      <c r="L1654" s="74">
        <v>0</v>
      </c>
      <c r="M1654" s="73">
        <v>0</v>
      </c>
      <c r="N1654" s="74">
        <v>0</v>
      </c>
      <c r="O1654" s="73">
        <v>0</v>
      </c>
      <c r="P1654" s="74">
        <v>3169</v>
      </c>
      <c r="Q1654" s="73">
        <v>2458167.2730029998</v>
      </c>
      <c r="R1654" s="71" t="s">
        <v>625</v>
      </c>
      <c r="S1654" s="71">
        <v>7414000005</v>
      </c>
      <c r="AB1654"/>
      <c r="AC1654"/>
    </row>
    <row r="1655" spans="1:29" x14ac:dyDescent="0.25">
      <c r="A1655" t="str">
        <f t="shared" si="26"/>
        <v xml:space="preserve">72637TRAXION A           </v>
      </c>
      <c r="B1655" s="71">
        <v>72637</v>
      </c>
      <c r="C1655" s="71" t="s">
        <v>842</v>
      </c>
      <c r="D1655" s="71" t="s">
        <v>392</v>
      </c>
      <c r="E1655" s="71" t="s">
        <v>623</v>
      </c>
      <c r="F1655" s="71" t="s">
        <v>624</v>
      </c>
      <c r="G1655" s="74">
        <v>6500</v>
      </c>
      <c r="H1655" s="72">
        <v>747.17843200000004</v>
      </c>
      <c r="I1655" s="73">
        <v>4856659.8080000002</v>
      </c>
      <c r="J1655" s="72">
        <v>723.82397457606157</v>
      </c>
      <c r="K1655" s="73">
        <v>151803.97325559999</v>
      </c>
      <c r="L1655" s="74">
        <v>0</v>
      </c>
      <c r="M1655" s="73">
        <v>0</v>
      </c>
      <c r="N1655" s="74">
        <v>0</v>
      </c>
      <c r="O1655" s="73">
        <v>0</v>
      </c>
      <c r="P1655" s="74">
        <v>6500</v>
      </c>
      <c r="Q1655" s="73">
        <v>4856659.8080000002</v>
      </c>
      <c r="R1655" s="71" t="s">
        <v>625</v>
      </c>
      <c r="S1655" s="71">
        <v>7414000005</v>
      </c>
      <c r="AB1655"/>
      <c r="AC1655"/>
    </row>
    <row r="1656" spans="1:29" x14ac:dyDescent="0.25">
      <c r="A1656" t="str">
        <f t="shared" si="26"/>
        <v xml:space="preserve">72637UDIBONO 251204      </v>
      </c>
      <c r="B1656" s="71">
        <v>72637</v>
      </c>
      <c r="C1656" s="71" t="s">
        <v>842</v>
      </c>
      <c r="D1656" s="71" t="s">
        <v>393</v>
      </c>
      <c r="E1656" s="71" t="s">
        <v>623</v>
      </c>
      <c r="F1656" s="71" t="s">
        <v>624</v>
      </c>
      <c r="G1656" s="74">
        <v>2128</v>
      </c>
      <c r="H1656" s="72">
        <v>765.92388300000005</v>
      </c>
      <c r="I1656" s="73">
        <v>1629886.023024</v>
      </c>
      <c r="J1656" s="72">
        <v>752.63389081660716</v>
      </c>
      <c r="K1656" s="73">
        <v>28281.103366259998</v>
      </c>
      <c r="L1656" s="74">
        <v>0</v>
      </c>
      <c r="M1656" s="73">
        <v>0</v>
      </c>
      <c r="N1656" s="74">
        <v>0</v>
      </c>
      <c r="O1656" s="73">
        <v>0</v>
      </c>
      <c r="P1656" s="74">
        <v>2128</v>
      </c>
      <c r="Q1656" s="73">
        <v>1629886.023024</v>
      </c>
      <c r="R1656" s="71" t="s">
        <v>625</v>
      </c>
      <c r="S1656" s="71">
        <v>7414000005</v>
      </c>
      <c r="AB1656"/>
      <c r="AC1656"/>
    </row>
    <row r="1657" spans="1:29" x14ac:dyDescent="0.25">
      <c r="A1657" t="str">
        <f t="shared" si="26"/>
        <v xml:space="preserve">72637UDIBONO 261203      </v>
      </c>
      <c r="B1657" s="71">
        <v>72637</v>
      </c>
      <c r="C1657" s="71" t="s">
        <v>842</v>
      </c>
      <c r="D1657" s="71" t="s">
        <v>394</v>
      </c>
      <c r="E1657" s="71" t="s">
        <v>623</v>
      </c>
      <c r="F1657" s="71" t="s">
        <v>624</v>
      </c>
      <c r="G1657" s="74">
        <v>3718</v>
      </c>
      <c r="H1657" s="72">
        <v>684.88915799999995</v>
      </c>
      <c r="I1657" s="73">
        <v>2546417.8894440001</v>
      </c>
      <c r="J1657" s="72">
        <v>680.58892409983866</v>
      </c>
      <c r="K1657" s="73">
        <v>15988.269640799999</v>
      </c>
      <c r="L1657" s="74">
        <v>0</v>
      </c>
      <c r="M1657" s="73">
        <v>0</v>
      </c>
      <c r="N1657" s="74">
        <v>0</v>
      </c>
      <c r="O1657" s="73">
        <v>0</v>
      </c>
      <c r="P1657" s="74">
        <v>3718</v>
      </c>
      <c r="Q1657" s="73">
        <v>2546417.8894440001</v>
      </c>
      <c r="R1657" s="71" t="s">
        <v>625</v>
      </c>
      <c r="S1657" s="71">
        <v>7414000005</v>
      </c>
      <c r="AB1657"/>
      <c r="AC1657"/>
    </row>
    <row r="1658" spans="1:29" x14ac:dyDescent="0.25">
      <c r="A1658" t="str">
        <f t="shared" si="26"/>
        <v xml:space="preserve">72637UDIBONO 281130      </v>
      </c>
      <c r="B1658" s="71">
        <v>72637</v>
      </c>
      <c r="C1658" s="71" t="s">
        <v>842</v>
      </c>
      <c r="D1658" s="71" t="s">
        <v>395</v>
      </c>
      <c r="E1658" s="71" t="s">
        <v>623</v>
      </c>
      <c r="F1658" s="71" t="s">
        <v>624</v>
      </c>
      <c r="G1658" s="74">
        <v>2212</v>
      </c>
      <c r="H1658" s="72">
        <v>772.926965</v>
      </c>
      <c r="I1658" s="73">
        <v>1709714.44658</v>
      </c>
      <c r="J1658" s="72">
        <v>801.58205912612118</v>
      </c>
      <c r="K1658" s="73">
        <v>-63385.068206980002</v>
      </c>
      <c r="L1658" s="74">
        <v>0</v>
      </c>
      <c r="M1658" s="73">
        <v>0</v>
      </c>
      <c r="N1658" s="74">
        <v>0</v>
      </c>
      <c r="O1658" s="73">
        <v>0</v>
      </c>
      <c r="P1658" s="74">
        <v>2212</v>
      </c>
      <c r="Q1658" s="73">
        <v>1709714.44658</v>
      </c>
      <c r="R1658" s="71" t="s">
        <v>625</v>
      </c>
      <c r="S1658" s="71">
        <v>7414000005</v>
      </c>
      <c r="AB1658"/>
      <c r="AC1658"/>
    </row>
    <row r="1659" spans="1:29" x14ac:dyDescent="0.25">
      <c r="A1659" t="str">
        <f t="shared" si="26"/>
        <v xml:space="preserve">72637UDIBONO 311127      </v>
      </c>
      <c r="B1659" s="71">
        <v>72637</v>
      </c>
      <c r="C1659" s="71" t="s">
        <v>842</v>
      </c>
      <c r="D1659" s="71" t="s">
        <v>396</v>
      </c>
      <c r="E1659" s="71" t="s">
        <v>623</v>
      </c>
      <c r="F1659" s="71" t="s">
        <v>624</v>
      </c>
      <c r="G1659" s="74">
        <v>2373</v>
      </c>
      <c r="H1659" s="72">
        <v>721.59464000000003</v>
      </c>
      <c r="I1659" s="73">
        <v>1712344.08072</v>
      </c>
      <c r="J1659" s="72">
        <v>757.17561373745468</v>
      </c>
      <c r="K1659" s="73">
        <v>-84433.650678980004</v>
      </c>
      <c r="L1659" s="74">
        <v>0</v>
      </c>
      <c r="M1659" s="73">
        <v>0</v>
      </c>
      <c r="N1659" s="74">
        <v>0</v>
      </c>
      <c r="O1659" s="73">
        <v>0</v>
      </c>
      <c r="P1659" s="74">
        <v>2373</v>
      </c>
      <c r="Q1659" s="73">
        <v>1712344.08072</v>
      </c>
      <c r="R1659" s="71" t="s">
        <v>625</v>
      </c>
      <c r="S1659" s="71">
        <v>7414000005</v>
      </c>
      <c r="AB1659"/>
      <c r="AC1659"/>
    </row>
    <row r="1660" spans="1:29" x14ac:dyDescent="0.25">
      <c r="A1660" t="str">
        <f t="shared" si="26"/>
        <v xml:space="preserve">72637UDIBONO 351122      </v>
      </c>
      <c r="B1660" s="71">
        <v>72637</v>
      </c>
      <c r="C1660" s="71" t="s">
        <v>842</v>
      </c>
      <c r="D1660" s="71" t="s">
        <v>397</v>
      </c>
      <c r="E1660" s="71" t="s">
        <v>623</v>
      </c>
      <c r="F1660" s="71" t="s">
        <v>624</v>
      </c>
      <c r="G1660" s="74">
        <v>1222</v>
      </c>
      <c r="H1660" s="72">
        <v>635.96311900000001</v>
      </c>
      <c r="I1660" s="73">
        <v>777146.93141800002</v>
      </c>
      <c r="J1660" s="72">
        <v>647.93802047999998</v>
      </c>
      <c r="K1660" s="73">
        <v>-14633.32960856</v>
      </c>
      <c r="L1660" s="74">
        <v>0</v>
      </c>
      <c r="M1660" s="73">
        <v>0</v>
      </c>
      <c r="N1660" s="74">
        <v>0</v>
      </c>
      <c r="O1660" s="73">
        <v>0</v>
      </c>
      <c r="P1660" s="74">
        <v>1222</v>
      </c>
      <c r="Q1660" s="73">
        <v>777146.93141800002</v>
      </c>
      <c r="R1660" s="71" t="s">
        <v>625</v>
      </c>
      <c r="S1660" s="71">
        <v>7414000005</v>
      </c>
      <c r="AB1660"/>
      <c r="AC1660"/>
    </row>
    <row r="1661" spans="1:29" x14ac:dyDescent="0.25">
      <c r="A1661" t="str">
        <f t="shared" si="26"/>
        <v xml:space="preserve">72637UDIBONO 401115      </v>
      </c>
      <c r="B1661" s="71">
        <v>72637</v>
      </c>
      <c r="C1661" s="71" t="s">
        <v>842</v>
      </c>
      <c r="D1661" s="71" t="s">
        <v>398</v>
      </c>
      <c r="E1661" s="71" t="s">
        <v>623</v>
      </c>
      <c r="F1661" s="71" t="s">
        <v>624</v>
      </c>
      <c r="G1661" s="74">
        <v>2810</v>
      </c>
      <c r="H1661" s="72">
        <v>709.36974099999998</v>
      </c>
      <c r="I1661" s="73">
        <v>1993328.97221</v>
      </c>
      <c r="J1661" s="72">
        <v>724.76747879626691</v>
      </c>
      <c r="K1661" s="73">
        <v>-43267.643207510002</v>
      </c>
      <c r="L1661" s="74">
        <v>0</v>
      </c>
      <c r="M1661" s="73">
        <v>0</v>
      </c>
      <c r="N1661" s="74">
        <v>0</v>
      </c>
      <c r="O1661" s="73">
        <v>0</v>
      </c>
      <c r="P1661" s="74">
        <v>2810</v>
      </c>
      <c r="Q1661" s="73">
        <v>1993328.97221</v>
      </c>
      <c r="R1661" s="71" t="s">
        <v>625</v>
      </c>
      <c r="S1661" s="71">
        <v>7414000005</v>
      </c>
      <c r="AB1661"/>
      <c r="AC1661"/>
    </row>
    <row r="1662" spans="1:29" x14ac:dyDescent="0.25">
      <c r="A1662" t="str">
        <f t="shared" si="26"/>
        <v xml:space="preserve">72637UDIBONO 431112      </v>
      </c>
      <c r="B1662" s="71">
        <v>72637</v>
      </c>
      <c r="C1662" s="71" t="s">
        <v>842</v>
      </c>
      <c r="D1662" s="71" t="s">
        <v>399</v>
      </c>
      <c r="E1662" s="71" t="s">
        <v>623</v>
      </c>
      <c r="F1662" s="71" t="s">
        <v>624</v>
      </c>
      <c r="G1662" s="74">
        <v>5009</v>
      </c>
      <c r="H1662" s="72">
        <v>694.41118700000004</v>
      </c>
      <c r="I1662" s="73">
        <v>3478305.6356830001</v>
      </c>
      <c r="J1662" s="72">
        <v>725.53455074740668</v>
      </c>
      <c r="K1662" s="73">
        <v>-155896.92901076001</v>
      </c>
      <c r="L1662" s="74">
        <v>0</v>
      </c>
      <c r="M1662" s="73">
        <v>0</v>
      </c>
      <c r="N1662" s="74">
        <v>0</v>
      </c>
      <c r="O1662" s="73">
        <v>0</v>
      </c>
      <c r="P1662" s="74">
        <v>5009</v>
      </c>
      <c r="Q1662" s="73">
        <v>3478305.6356830001</v>
      </c>
      <c r="R1662" s="71" t="s">
        <v>625</v>
      </c>
      <c r="S1662" s="71">
        <v>7414000005</v>
      </c>
      <c r="AB1662"/>
      <c r="AC1662"/>
    </row>
    <row r="1663" spans="1:29" x14ac:dyDescent="0.25">
      <c r="A1663" t="str">
        <f t="shared" si="26"/>
        <v xml:space="preserve">72637UDIBONO 461108      </v>
      </c>
      <c r="B1663" s="71">
        <v>72637</v>
      </c>
      <c r="C1663" s="71" t="s">
        <v>842</v>
      </c>
      <c r="D1663" s="71" t="s">
        <v>400</v>
      </c>
      <c r="E1663" s="71" t="s">
        <v>623</v>
      </c>
      <c r="F1663" s="71" t="s">
        <v>624</v>
      </c>
      <c r="G1663" s="74">
        <v>15000</v>
      </c>
      <c r="H1663" s="72">
        <v>58.67</v>
      </c>
      <c r="I1663" s="73">
        <v>880050</v>
      </c>
      <c r="J1663" s="72">
        <v>59.627063333333332</v>
      </c>
      <c r="K1663" s="73">
        <v>-14355.95</v>
      </c>
      <c r="L1663" s="74">
        <v>0</v>
      </c>
      <c r="M1663" s="73">
        <v>0</v>
      </c>
      <c r="N1663" s="74">
        <v>0</v>
      </c>
      <c r="O1663" s="73">
        <v>0</v>
      </c>
      <c r="P1663" s="74">
        <v>15000</v>
      </c>
      <c r="Q1663" s="73">
        <v>880050</v>
      </c>
      <c r="R1663" s="71" t="s">
        <v>625</v>
      </c>
      <c r="S1663" s="71">
        <v>7414000005</v>
      </c>
      <c r="AB1663"/>
      <c r="AC1663"/>
    </row>
    <row r="1664" spans="1:29" x14ac:dyDescent="0.25">
      <c r="A1664" t="str">
        <f t="shared" si="26"/>
        <v xml:space="preserve">72637UDIBONO 501103      </v>
      </c>
      <c r="B1664" s="71">
        <v>72637</v>
      </c>
      <c r="C1664" s="71" t="s">
        <v>842</v>
      </c>
      <c r="D1664" s="71" t="s">
        <v>401</v>
      </c>
      <c r="E1664" s="71" t="s">
        <v>623</v>
      </c>
      <c r="F1664" s="71" t="s">
        <v>624</v>
      </c>
      <c r="G1664" s="74">
        <v>2035</v>
      </c>
      <c r="H1664" s="72">
        <v>1090</v>
      </c>
      <c r="I1664" s="73">
        <v>2218150</v>
      </c>
      <c r="J1664" s="72">
        <v>1090.9993022113022</v>
      </c>
      <c r="K1664" s="73">
        <v>-2033.58</v>
      </c>
      <c r="L1664" s="74">
        <v>0</v>
      </c>
      <c r="M1664" s="73">
        <v>0</v>
      </c>
      <c r="N1664" s="74">
        <v>0</v>
      </c>
      <c r="O1664" s="73">
        <v>0</v>
      </c>
      <c r="P1664" s="74">
        <v>2035</v>
      </c>
      <c r="Q1664" s="73">
        <v>2218150</v>
      </c>
      <c r="R1664" s="71" t="s">
        <v>625</v>
      </c>
      <c r="S1664" s="71">
        <v>7414000005</v>
      </c>
      <c r="AB1664"/>
      <c r="AC1664"/>
    </row>
    <row r="1665" spans="1:29" x14ac:dyDescent="0.25">
      <c r="A1665" t="str">
        <f t="shared" si="26"/>
        <v xml:space="preserve">72637VESTA *             </v>
      </c>
      <c r="B1665" s="71">
        <v>72637</v>
      </c>
      <c r="C1665" s="71" t="s">
        <v>842</v>
      </c>
      <c r="D1665" s="71" t="s">
        <v>403</v>
      </c>
      <c r="E1665" s="71" t="s">
        <v>623</v>
      </c>
      <c r="F1665" s="71" t="s">
        <v>624</v>
      </c>
      <c r="G1665" s="74">
        <v>33700</v>
      </c>
      <c r="H1665" s="72">
        <v>65.260000000000005</v>
      </c>
      <c r="I1665" s="73">
        <v>2199262</v>
      </c>
      <c r="J1665" s="72">
        <v>69.410171810089025</v>
      </c>
      <c r="K1665" s="73">
        <v>-139860.79</v>
      </c>
      <c r="L1665" s="74">
        <v>0</v>
      </c>
      <c r="M1665" s="73">
        <v>0</v>
      </c>
      <c r="N1665" s="74">
        <v>0</v>
      </c>
      <c r="O1665" s="73">
        <v>0</v>
      </c>
      <c r="P1665" s="74">
        <v>33700</v>
      </c>
      <c r="Q1665" s="73">
        <v>2199262</v>
      </c>
      <c r="R1665" s="71" t="s">
        <v>625</v>
      </c>
      <c r="S1665" s="71">
        <v>7414000005</v>
      </c>
      <c r="AB1665"/>
      <c r="AC1665"/>
    </row>
    <row r="1666" spans="1:29" x14ac:dyDescent="0.25">
      <c r="A1666" t="str">
        <f t="shared" si="26"/>
        <v xml:space="preserve">72637VGK *               </v>
      </c>
      <c r="B1666" s="71">
        <v>75016</v>
      </c>
      <c r="C1666" s="71" t="s">
        <v>843</v>
      </c>
      <c r="D1666" s="71" t="s">
        <v>358</v>
      </c>
      <c r="E1666" s="71" t="s">
        <v>623</v>
      </c>
      <c r="F1666" s="71" t="s">
        <v>624</v>
      </c>
      <c r="G1666" s="74">
        <v>1352</v>
      </c>
      <c r="H1666" s="72">
        <v>1786.5</v>
      </c>
      <c r="I1666" s="73">
        <v>2415348</v>
      </c>
      <c r="J1666" s="72">
        <v>1814.4898816568048</v>
      </c>
      <c r="K1666" s="73">
        <v>-37842.32</v>
      </c>
      <c r="L1666" s="74">
        <v>0</v>
      </c>
      <c r="M1666" s="73">
        <v>0</v>
      </c>
      <c r="N1666" s="74">
        <v>0</v>
      </c>
      <c r="O1666" s="73">
        <v>0</v>
      </c>
      <c r="P1666" s="74">
        <v>1352</v>
      </c>
      <c r="Q1666" s="73">
        <v>2415348</v>
      </c>
      <c r="R1666" s="71" t="s">
        <v>625</v>
      </c>
      <c r="S1666" s="71">
        <v>7414000005</v>
      </c>
      <c r="AB1666"/>
      <c r="AC1666"/>
    </row>
    <row r="1667" spans="1:29" x14ac:dyDescent="0.25">
      <c r="A1667" t="str">
        <f t="shared" si="26"/>
        <v xml:space="preserve">72637WALMEX *            </v>
      </c>
      <c r="B1667" s="71">
        <v>75016</v>
      </c>
      <c r="C1667" s="71" t="s">
        <v>843</v>
      </c>
      <c r="D1667" s="71" t="s">
        <v>422</v>
      </c>
      <c r="E1667" s="71" t="s">
        <v>623</v>
      </c>
      <c r="F1667" s="71" t="s">
        <v>624</v>
      </c>
      <c r="G1667" s="74">
        <v>422</v>
      </c>
      <c r="H1667" s="72">
        <v>97.654420999999999</v>
      </c>
      <c r="I1667" s="73">
        <v>41210.165661999999</v>
      </c>
      <c r="J1667" s="72">
        <v>98.224185000000006</v>
      </c>
      <c r="K1667" s="73">
        <v>-240.44040799999999</v>
      </c>
      <c r="L1667" s="74">
        <v>0</v>
      </c>
      <c r="M1667" s="73">
        <v>0</v>
      </c>
      <c r="N1667" s="74">
        <v>0</v>
      </c>
      <c r="O1667" s="73">
        <v>0</v>
      </c>
      <c r="P1667" s="74">
        <v>422</v>
      </c>
      <c r="Q1667" s="73">
        <v>41210.165661999999</v>
      </c>
      <c r="R1667" s="71" t="s">
        <v>625</v>
      </c>
      <c r="S1667" s="71">
        <v>7414000005</v>
      </c>
      <c r="AB1667"/>
      <c r="AC1667"/>
    </row>
    <row r="1668" spans="1:29" x14ac:dyDescent="0.25">
      <c r="A1668" t="str">
        <f t="shared" si="26"/>
        <v xml:space="preserve">75016ACWI *              </v>
      </c>
      <c r="B1668" s="71">
        <v>75016</v>
      </c>
      <c r="C1668" s="71" t="s">
        <v>843</v>
      </c>
      <c r="D1668" s="71" t="s">
        <v>363</v>
      </c>
      <c r="E1668" s="71" t="s">
        <v>623</v>
      </c>
      <c r="F1668" s="71" t="s">
        <v>624</v>
      </c>
      <c r="G1668" s="74">
        <v>89744</v>
      </c>
      <c r="H1668" s="72">
        <v>9.4935880000000008</v>
      </c>
      <c r="I1668" s="73">
        <v>851992.56147199997</v>
      </c>
      <c r="J1668" s="72">
        <v>8.4405498100000003</v>
      </c>
      <c r="K1668" s="73">
        <v>94503.859323359997</v>
      </c>
      <c r="L1668" s="74">
        <v>0</v>
      </c>
      <c r="M1668" s="73">
        <v>0</v>
      </c>
      <c r="N1668" s="74">
        <v>0</v>
      </c>
      <c r="O1668" s="73">
        <v>0</v>
      </c>
      <c r="P1668" s="74">
        <v>89744</v>
      </c>
      <c r="Q1668" s="73">
        <v>851992.56147199997</v>
      </c>
      <c r="R1668" s="71" t="s">
        <v>625</v>
      </c>
      <c r="S1668" s="71">
        <v>7414000005</v>
      </c>
      <c r="AB1668"/>
      <c r="AC1668"/>
    </row>
    <row r="1669" spans="1:29" x14ac:dyDescent="0.25">
      <c r="A1669" t="str">
        <f t="shared" si="26"/>
        <v xml:space="preserve">75016CETELEM 22          </v>
      </c>
      <c r="B1669" s="71">
        <v>75016</v>
      </c>
      <c r="C1669" s="71" t="s">
        <v>843</v>
      </c>
      <c r="D1669" s="71" t="s">
        <v>409</v>
      </c>
      <c r="E1669" s="71" t="s">
        <v>623</v>
      </c>
      <c r="F1669" s="71" t="s">
        <v>624</v>
      </c>
      <c r="G1669" s="74">
        <v>122230</v>
      </c>
      <c r="H1669" s="72">
        <v>9.3381629999999998</v>
      </c>
      <c r="I1669" s="73">
        <v>1141403.6634899999</v>
      </c>
      <c r="J1669" s="72">
        <v>8.3307969100000001</v>
      </c>
      <c r="K1669" s="73">
        <v>123130.3571807</v>
      </c>
      <c r="L1669" s="74">
        <v>0</v>
      </c>
      <c r="M1669" s="73">
        <v>0</v>
      </c>
      <c r="N1669" s="74">
        <v>0</v>
      </c>
      <c r="O1669" s="73">
        <v>0</v>
      </c>
      <c r="P1669" s="74">
        <v>122230</v>
      </c>
      <c r="Q1669" s="73">
        <v>1141403.6634899999</v>
      </c>
      <c r="R1669" s="71" t="s">
        <v>625</v>
      </c>
      <c r="S1669" s="71">
        <v>7414000005</v>
      </c>
      <c r="AB1669"/>
      <c r="AC1669"/>
    </row>
    <row r="1670" spans="1:29" x14ac:dyDescent="0.25">
      <c r="A1670" t="str">
        <f t="shared" si="26"/>
        <v xml:space="preserve">75016CETES 241003        </v>
      </c>
      <c r="B1670" s="71">
        <v>75016</v>
      </c>
      <c r="C1670" s="71" t="s">
        <v>843</v>
      </c>
      <c r="D1670" s="71" t="s">
        <v>365</v>
      </c>
      <c r="E1670" s="71" t="s">
        <v>623</v>
      </c>
      <c r="F1670" s="71" t="s">
        <v>624</v>
      </c>
      <c r="G1670" s="74">
        <v>970</v>
      </c>
      <c r="H1670" s="72">
        <v>675.38</v>
      </c>
      <c r="I1670" s="73">
        <v>655118.6</v>
      </c>
      <c r="J1670" s="72">
        <v>743.5911340206186</v>
      </c>
      <c r="K1670" s="73">
        <v>-66164.800000000003</v>
      </c>
      <c r="L1670" s="74">
        <v>0</v>
      </c>
      <c r="M1670" s="73">
        <v>0</v>
      </c>
      <c r="N1670" s="74">
        <v>0</v>
      </c>
      <c r="O1670" s="73">
        <v>0</v>
      </c>
      <c r="P1670" s="74">
        <v>970</v>
      </c>
      <c r="Q1670" s="73">
        <v>655118.6</v>
      </c>
      <c r="R1670" s="71" t="s">
        <v>625</v>
      </c>
      <c r="S1670" s="71">
        <v>7414000005</v>
      </c>
      <c r="AB1670"/>
      <c r="AC1670"/>
    </row>
    <row r="1671" spans="1:29" x14ac:dyDescent="0.25">
      <c r="A1671" t="str">
        <f t="shared" ref="A1671:A1734" si="27">B1669&amp;D1669</f>
        <v xml:space="preserve">75016CETES 241128        </v>
      </c>
      <c r="B1671" s="71">
        <v>75016</v>
      </c>
      <c r="C1671" s="71" t="s">
        <v>843</v>
      </c>
      <c r="D1671" s="71" t="s">
        <v>367</v>
      </c>
      <c r="E1671" s="71" t="s">
        <v>623</v>
      </c>
      <c r="F1671" s="71" t="s">
        <v>624</v>
      </c>
      <c r="G1671" s="74">
        <v>215</v>
      </c>
      <c r="H1671" s="72">
        <v>700.65</v>
      </c>
      <c r="I1671" s="73">
        <v>150639.75</v>
      </c>
      <c r="J1671" s="72">
        <v>752.98093023255819</v>
      </c>
      <c r="K1671" s="73">
        <v>-11251.15</v>
      </c>
      <c r="L1671" s="74">
        <v>0</v>
      </c>
      <c r="M1671" s="73">
        <v>0</v>
      </c>
      <c r="N1671" s="74">
        <v>0</v>
      </c>
      <c r="O1671" s="73">
        <v>0</v>
      </c>
      <c r="P1671" s="74">
        <v>215</v>
      </c>
      <c r="Q1671" s="73">
        <v>150639.75</v>
      </c>
      <c r="R1671" s="71" t="s">
        <v>625</v>
      </c>
      <c r="S1671" s="71">
        <v>7414000005</v>
      </c>
      <c r="AB1671"/>
      <c r="AC1671"/>
    </row>
    <row r="1672" spans="1:29" x14ac:dyDescent="0.25">
      <c r="A1672" t="str">
        <f t="shared" si="27"/>
        <v xml:space="preserve">75016EEM *               </v>
      </c>
      <c r="B1672" s="71">
        <v>75016</v>
      </c>
      <c r="C1672" s="71" t="s">
        <v>843</v>
      </c>
      <c r="D1672" s="71" t="s">
        <v>368</v>
      </c>
      <c r="E1672" s="71" t="s">
        <v>623</v>
      </c>
      <c r="F1672" s="71" t="s">
        <v>624</v>
      </c>
      <c r="G1672" s="74">
        <v>440</v>
      </c>
      <c r="H1672" s="72">
        <v>1151</v>
      </c>
      <c r="I1672" s="73">
        <v>506440</v>
      </c>
      <c r="J1672" s="72">
        <v>970.12872727272725</v>
      </c>
      <c r="K1672" s="73">
        <v>79583.360000000001</v>
      </c>
      <c r="L1672" s="74">
        <v>0</v>
      </c>
      <c r="M1672" s="73">
        <v>0</v>
      </c>
      <c r="N1672" s="74">
        <v>0</v>
      </c>
      <c r="O1672" s="73">
        <v>0</v>
      </c>
      <c r="P1672" s="74">
        <v>440</v>
      </c>
      <c r="Q1672" s="73">
        <v>506440</v>
      </c>
      <c r="R1672" s="71" t="s">
        <v>625</v>
      </c>
      <c r="S1672" s="71">
        <v>7414000005</v>
      </c>
      <c r="AB1672"/>
      <c r="AC1672"/>
    </row>
    <row r="1673" spans="1:29" x14ac:dyDescent="0.25">
      <c r="A1673" t="str">
        <f t="shared" si="27"/>
        <v xml:space="preserve">75016EPP *               </v>
      </c>
      <c r="B1673" s="71">
        <v>75016</v>
      </c>
      <c r="C1673" s="71" t="s">
        <v>843</v>
      </c>
      <c r="D1673" s="71" t="s">
        <v>375</v>
      </c>
      <c r="E1673" s="71" t="s">
        <v>623</v>
      </c>
      <c r="F1673" s="71" t="s">
        <v>624</v>
      </c>
      <c r="G1673" s="74">
        <v>6233</v>
      </c>
      <c r="H1673" s="72">
        <v>98.730349000000004</v>
      </c>
      <c r="I1673" s="73">
        <v>615386.26531699998</v>
      </c>
      <c r="J1673" s="72">
        <v>104.13969715082304</v>
      </c>
      <c r="K1673" s="73">
        <v>-33716.467024079997</v>
      </c>
      <c r="L1673" s="74">
        <v>0</v>
      </c>
      <c r="M1673" s="73">
        <v>0</v>
      </c>
      <c r="N1673" s="74">
        <v>0</v>
      </c>
      <c r="O1673" s="73">
        <v>0</v>
      </c>
      <c r="P1673" s="74">
        <v>6233</v>
      </c>
      <c r="Q1673" s="73">
        <v>615386.26531699998</v>
      </c>
      <c r="R1673" s="71" t="s">
        <v>625</v>
      </c>
      <c r="S1673" s="71">
        <v>7414000005</v>
      </c>
      <c r="AB1673"/>
      <c r="AC1673"/>
    </row>
    <row r="1674" spans="1:29" x14ac:dyDescent="0.25">
      <c r="A1674" t="str">
        <f t="shared" si="27"/>
        <v xml:space="preserve">75016EWJ *               </v>
      </c>
      <c r="B1674" s="71">
        <v>75016</v>
      </c>
      <c r="C1674" s="71" t="s">
        <v>843</v>
      </c>
      <c r="D1674" s="71" t="s">
        <v>376</v>
      </c>
      <c r="E1674" s="71" t="s">
        <v>623</v>
      </c>
      <c r="F1674" s="71" t="s">
        <v>624</v>
      </c>
      <c r="G1674" s="74">
        <v>7000</v>
      </c>
      <c r="H1674" s="72">
        <v>99.247497999999993</v>
      </c>
      <c r="I1674" s="73">
        <v>694732.48600000003</v>
      </c>
      <c r="J1674" s="72">
        <v>112.48388743647143</v>
      </c>
      <c r="K1674" s="73">
        <v>-92654.726055299994</v>
      </c>
      <c r="L1674" s="74">
        <v>0</v>
      </c>
      <c r="M1674" s="73">
        <v>0</v>
      </c>
      <c r="N1674" s="74">
        <v>0</v>
      </c>
      <c r="O1674" s="73">
        <v>0</v>
      </c>
      <c r="P1674" s="74">
        <v>7000</v>
      </c>
      <c r="Q1674" s="73">
        <v>694732.48600000003</v>
      </c>
      <c r="R1674" s="71" t="s">
        <v>625</v>
      </c>
      <c r="S1674" s="71">
        <v>7414000005</v>
      </c>
      <c r="AB1674"/>
      <c r="AC1674"/>
    </row>
    <row r="1675" spans="1:29" x14ac:dyDescent="0.25">
      <c r="A1675" t="str">
        <f t="shared" si="27"/>
        <v xml:space="preserve">75016GOBFED 240905       </v>
      </c>
      <c r="B1675" s="71">
        <v>75016</v>
      </c>
      <c r="C1675" s="71" t="s">
        <v>843</v>
      </c>
      <c r="D1675" s="71" t="s">
        <v>377</v>
      </c>
      <c r="E1675" s="71" t="s">
        <v>623</v>
      </c>
      <c r="F1675" s="71" t="s">
        <v>624</v>
      </c>
      <c r="G1675" s="74">
        <v>2110</v>
      </c>
      <c r="H1675" s="72">
        <v>94.973146999999997</v>
      </c>
      <c r="I1675" s="73">
        <v>200393.34017000001</v>
      </c>
      <c r="J1675" s="72">
        <v>89.777631726350705</v>
      </c>
      <c r="K1675" s="73">
        <v>10962.5372274</v>
      </c>
      <c r="L1675" s="74">
        <v>0</v>
      </c>
      <c r="M1675" s="73">
        <v>0</v>
      </c>
      <c r="N1675" s="74">
        <v>0</v>
      </c>
      <c r="O1675" s="73">
        <v>0</v>
      </c>
      <c r="P1675" s="74">
        <v>2110</v>
      </c>
      <c r="Q1675" s="73">
        <v>200393.34017000001</v>
      </c>
      <c r="R1675" s="71" t="s">
        <v>625</v>
      </c>
      <c r="S1675" s="71">
        <v>7414000005</v>
      </c>
      <c r="AB1675"/>
      <c r="AC1675"/>
    </row>
    <row r="1676" spans="1:29" x14ac:dyDescent="0.25">
      <c r="A1676" t="str">
        <f t="shared" si="27"/>
        <v xml:space="preserve">75016GOBFED 241205       </v>
      </c>
      <c r="B1676" s="71">
        <v>75016</v>
      </c>
      <c r="C1676" s="71" t="s">
        <v>843</v>
      </c>
      <c r="D1676" s="71" t="s">
        <v>378</v>
      </c>
      <c r="E1676" s="71" t="s">
        <v>623</v>
      </c>
      <c r="F1676" s="71" t="s">
        <v>624</v>
      </c>
      <c r="G1676" s="74">
        <v>7269</v>
      </c>
      <c r="H1676" s="72">
        <v>91.911821000000003</v>
      </c>
      <c r="I1676" s="73">
        <v>668107.02684900002</v>
      </c>
      <c r="J1676" s="72">
        <v>93.2088459</v>
      </c>
      <c r="K1676" s="73">
        <v>-9428.0739981000006</v>
      </c>
      <c r="L1676" s="74">
        <v>0</v>
      </c>
      <c r="M1676" s="73">
        <v>0</v>
      </c>
      <c r="N1676" s="74">
        <v>0</v>
      </c>
      <c r="O1676" s="73">
        <v>0</v>
      </c>
      <c r="P1676" s="74">
        <v>7269</v>
      </c>
      <c r="Q1676" s="73">
        <v>668107.02684900002</v>
      </c>
      <c r="R1676" s="71" t="s">
        <v>625</v>
      </c>
      <c r="S1676" s="71">
        <v>7414000005</v>
      </c>
      <c r="AB1676"/>
      <c r="AC1676"/>
    </row>
    <row r="1677" spans="1:29" x14ac:dyDescent="0.25">
      <c r="A1677" t="str">
        <f t="shared" si="27"/>
        <v xml:space="preserve">75016GOBFED 250306       </v>
      </c>
      <c r="B1677" s="71">
        <v>75016</v>
      </c>
      <c r="C1677" s="71" t="s">
        <v>843</v>
      </c>
      <c r="D1677" s="71" t="s">
        <v>499</v>
      </c>
      <c r="E1677" s="71" t="s">
        <v>623</v>
      </c>
      <c r="F1677" s="71" t="s">
        <v>624</v>
      </c>
      <c r="G1677" s="74">
        <v>3730</v>
      </c>
      <c r="H1677" s="72">
        <v>92.954503000000003</v>
      </c>
      <c r="I1677" s="73">
        <v>346720.29619000002</v>
      </c>
      <c r="J1677" s="72">
        <v>93.327063799731903</v>
      </c>
      <c r="K1677" s="73">
        <v>-1389.651783</v>
      </c>
      <c r="L1677" s="74">
        <v>0</v>
      </c>
      <c r="M1677" s="73">
        <v>0</v>
      </c>
      <c r="N1677" s="74">
        <v>0</v>
      </c>
      <c r="O1677" s="73">
        <v>0</v>
      </c>
      <c r="P1677" s="74">
        <v>3730</v>
      </c>
      <c r="Q1677" s="73">
        <v>346720.29619000002</v>
      </c>
      <c r="R1677" s="71" t="s">
        <v>625</v>
      </c>
      <c r="S1677" s="71">
        <v>7414000005</v>
      </c>
      <c r="AB1677"/>
      <c r="AC1677"/>
    </row>
    <row r="1678" spans="1:29" x14ac:dyDescent="0.25">
      <c r="A1678" t="str">
        <f t="shared" si="27"/>
        <v xml:space="preserve">75016GOBFED 260305       </v>
      </c>
      <c r="B1678" s="71">
        <v>75016</v>
      </c>
      <c r="C1678" s="71" t="s">
        <v>843</v>
      </c>
      <c r="D1678" s="71" t="s">
        <v>379</v>
      </c>
      <c r="E1678" s="71" t="s">
        <v>623</v>
      </c>
      <c r="F1678" s="71" t="s">
        <v>624</v>
      </c>
      <c r="G1678" s="74">
        <v>3697</v>
      </c>
      <c r="H1678" s="72">
        <v>88.698122999999995</v>
      </c>
      <c r="I1678" s="73">
        <v>327916.960731</v>
      </c>
      <c r="J1678" s="72">
        <v>85.585960546770352</v>
      </c>
      <c r="K1678" s="73">
        <v>11505.66458959</v>
      </c>
      <c r="L1678" s="74">
        <v>0</v>
      </c>
      <c r="M1678" s="73">
        <v>0</v>
      </c>
      <c r="N1678" s="74">
        <v>0</v>
      </c>
      <c r="O1678" s="73">
        <v>0</v>
      </c>
      <c r="P1678" s="74">
        <v>3697</v>
      </c>
      <c r="Q1678" s="73">
        <v>327916.960731</v>
      </c>
      <c r="R1678" s="71" t="s">
        <v>625</v>
      </c>
      <c r="S1678" s="71">
        <v>7414000005</v>
      </c>
      <c r="AB1678"/>
      <c r="AC1678"/>
    </row>
    <row r="1679" spans="1:29" x14ac:dyDescent="0.25">
      <c r="A1679" t="str">
        <f t="shared" si="27"/>
        <v xml:space="preserve">75016GOBFED 260903       </v>
      </c>
      <c r="B1679" s="71">
        <v>75016</v>
      </c>
      <c r="C1679" s="71" t="s">
        <v>843</v>
      </c>
      <c r="D1679" s="71" t="s">
        <v>380</v>
      </c>
      <c r="E1679" s="71" t="s">
        <v>623</v>
      </c>
      <c r="F1679" s="71" t="s">
        <v>624</v>
      </c>
      <c r="G1679" s="74">
        <v>7820</v>
      </c>
      <c r="H1679" s="72">
        <v>93.314192000000006</v>
      </c>
      <c r="I1679" s="73">
        <v>729716.98144</v>
      </c>
      <c r="J1679" s="72">
        <v>98.883737046611259</v>
      </c>
      <c r="K1679" s="73">
        <v>-43553.842264500003</v>
      </c>
      <c r="L1679" s="74">
        <v>0</v>
      </c>
      <c r="M1679" s="73">
        <v>0</v>
      </c>
      <c r="N1679" s="74">
        <v>0</v>
      </c>
      <c r="O1679" s="73">
        <v>0</v>
      </c>
      <c r="P1679" s="74">
        <v>7820</v>
      </c>
      <c r="Q1679" s="73">
        <v>729716.98144</v>
      </c>
      <c r="R1679" s="71" t="s">
        <v>625</v>
      </c>
      <c r="S1679" s="71">
        <v>7414000005</v>
      </c>
      <c r="AB1679"/>
      <c r="AC1679"/>
    </row>
    <row r="1680" spans="1:29" x14ac:dyDescent="0.25">
      <c r="A1680" t="str">
        <f t="shared" si="27"/>
        <v xml:space="preserve">75016GOBFED 270304       </v>
      </c>
      <c r="B1680" s="71">
        <v>75016</v>
      </c>
      <c r="C1680" s="71" t="s">
        <v>843</v>
      </c>
      <c r="D1680" s="71" t="s">
        <v>507</v>
      </c>
      <c r="E1680" s="71" t="s">
        <v>623</v>
      </c>
      <c r="F1680" s="71" t="s">
        <v>624</v>
      </c>
      <c r="G1680" s="74">
        <v>6520</v>
      </c>
      <c r="H1680" s="72">
        <v>94.864168000000006</v>
      </c>
      <c r="I1680" s="73">
        <v>618514.37535999995</v>
      </c>
      <c r="J1680" s="72">
        <v>96.40582293817485</v>
      </c>
      <c r="K1680" s="73">
        <v>-10051.590196900001</v>
      </c>
      <c r="L1680" s="74">
        <v>0</v>
      </c>
      <c r="M1680" s="73">
        <v>0</v>
      </c>
      <c r="N1680" s="74">
        <v>0</v>
      </c>
      <c r="O1680" s="73">
        <v>0</v>
      </c>
      <c r="P1680" s="74">
        <v>6520</v>
      </c>
      <c r="Q1680" s="73">
        <v>618514.37535999995</v>
      </c>
      <c r="R1680" s="71" t="s">
        <v>625</v>
      </c>
      <c r="S1680" s="71">
        <v>7414000005</v>
      </c>
      <c r="AB1680"/>
      <c r="AC1680"/>
    </row>
    <row r="1681" spans="1:29" x14ac:dyDescent="0.25">
      <c r="A1681" t="str">
        <f t="shared" si="27"/>
        <v xml:space="preserve">75016GOBFED 270603       </v>
      </c>
      <c r="B1681" s="71">
        <v>75016</v>
      </c>
      <c r="C1681" s="71" t="s">
        <v>843</v>
      </c>
      <c r="D1681" s="71" t="s">
        <v>381</v>
      </c>
      <c r="E1681" s="71" t="s">
        <v>623</v>
      </c>
      <c r="F1681" s="71" t="s">
        <v>624</v>
      </c>
      <c r="G1681" s="74">
        <v>24003</v>
      </c>
      <c r="H1681" s="72">
        <v>94.870157000000006</v>
      </c>
      <c r="I1681" s="73">
        <v>2277168.3784710001</v>
      </c>
      <c r="J1681" s="72">
        <v>96.986671955228928</v>
      </c>
      <c r="K1681" s="73">
        <v>-50802.708470359998</v>
      </c>
      <c r="L1681" s="74">
        <v>0</v>
      </c>
      <c r="M1681" s="73">
        <v>0</v>
      </c>
      <c r="N1681" s="74">
        <v>0</v>
      </c>
      <c r="O1681" s="73">
        <v>0</v>
      </c>
      <c r="P1681" s="74">
        <v>24003</v>
      </c>
      <c r="Q1681" s="73">
        <v>2277168.3784710001</v>
      </c>
      <c r="R1681" s="71" t="s">
        <v>625</v>
      </c>
      <c r="S1681" s="71">
        <v>7414000005</v>
      </c>
      <c r="AB1681"/>
      <c r="AC1681"/>
    </row>
    <row r="1682" spans="1:29" x14ac:dyDescent="0.25">
      <c r="A1682" t="str">
        <f t="shared" si="27"/>
        <v xml:space="preserve">75016GOBFED 290301       </v>
      </c>
      <c r="B1682" s="71">
        <v>75016</v>
      </c>
      <c r="C1682" s="71" t="s">
        <v>843</v>
      </c>
      <c r="D1682" s="71" t="s">
        <v>382</v>
      </c>
      <c r="E1682" s="71" t="s">
        <v>623</v>
      </c>
      <c r="F1682" s="71" t="s">
        <v>624</v>
      </c>
      <c r="G1682" s="74">
        <v>7354</v>
      </c>
      <c r="H1682" s="72">
        <v>89.489464999999996</v>
      </c>
      <c r="I1682" s="73">
        <v>658105.52561000001</v>
      </c>
      <c r="J1682" s="72">
        <v>90.569192235050309</v>
      </c>
      <c r="K1682" s="73">
        <v>-7940.3140865599999</v>
      </c>
      <c r="L1682" s="74">
        <v>0</v>
      </c>
      <c r="M1682" s="73">
        <v>0</v>
      </c>
      <c r="N1682" s="74">
        <v>0</v>
      </c>
      <c r="O1682" s="73">
        <v>0</v>
      </c>
      <c r="P1682" s="74">
        <v>7354</v>
      </c>
      <c r="Q1682" s="73">
        <v>658105.52561000001</v>
      </c>
      <c r="R1682" s="71" t="s">
        <v>625</v>
      </c>
      <c r="S1682" s="71">
        <v>7414000005</v>
      </c>
      <c r="AB1682"/>
      <c r="AC1682"/>
    </row>
    <row r="1683" spans="1:29" x14ac:dyDescent="0.25">
      <c r="A1683" t="str">
        <f t="shared" si="27"/>
        <v xml:space="preserve">75016GOBFED 290531       </v>
      </c>
      <c r="B1683" s="71">
        <v>75016</v>
      </c>
      <c r="C1683" s="71" t="s">
        <v>843</v>
      </c>
      <c r="D1683" s="71" t="s">
        <v>383</v>
      </c>
      <c r="E1683" s="71" t="s">
        <v>623</v>
      </c>
      <c r="F1683" s="71" t="s">
        <v>624</v>
      </c>
      <c r="G1683" s="74">
        <v>18137</v>
      </c>
      <c r="H1683" s="72">
        <v>86.197128000000006</v>
      </c>
      <c r="I1683" s="73">
        <v>1563357.3105359999</v>
      </c>
      <c r="J1683" s="72">
        <v>89.584872272594694</v>
      </c>
      <c r="K1683" s="73">
        <v>-61443.517872049997</v>
      </c>
      <c r="L1683" s="74">
        <v>0</v>
      </c>
      <c r="M1683" s="73">
        <v>0</v>
      </c>
      <c r="N1683" s="74">
        <v>0</v>
      </c>
      <c r="O1683" s="73">
        <v>0</v>
      </c>
      <c r="P1683" s="74">
        <v>18137</v>
      </c>
      <c r="Q1683" s="73">
        <v>1563357.3105359999</v>
      </c>
      <c r="R1683" s="71" t="s">
        <v>625</v>
      </c>
      <c r="S1683" s="71">
        <v>7414000005</v>
      </c>
      <c r="AB1683"/>
      <c r="AC1683"/>
    </row>
    <row r="1684" spans="1:29" x14ac:dyDescent="0.25">
      <c r="A1684" t="str">
        <f t="shared" si="27"/>
        <v xml:space="preserve">75016GOBFED 310529       </v>
      </c>
      <c r="B1684" s="71">
        <v>75016</v>
      </c>
      <c r="C1684" s="71" t="s">
        <v>843</v>
      </c>
      <c r="D1684" s="71" t="s">
        <v>427</v>
      </c>
      <c r="E1684" s="71" t="s">
        <v>623</v>
      </c>
      <c r="F1684" s="71" t="s">
        <v>624</v>
      </c>
      <c r="G1684" s="74">
        <v>14719</v>
      </c>
      <c r="H1684" s="72">
        <v>86.469353999999996</v>
      </c>
      <c r="I1684" s="73">
        <v>1272742.4215259999</v>
      </c>
      <c r="J1684" s="72">
        <v>90.846223981571441</v>
      </c>
      <c r="K1684" s="73">
        <v>-64423.149258750003</v>
      </c>
      <c r="L1684" s="74">
        <v>0</v>
      </c>
      <c r="M1684" s="73">
        <v>0</v>
      </c>
      <c r="N1684" s="74">
        <v>0</v>
      </c>
      <c r="O1684" s="73">
        <v>0</v>
      </c>
      <c r="P1684" s="74">
        <v>14719</v>
      </c>
      <c r="Q1684" s="73">
        <v>1272742.4215259999</v>
      </c>
      <c r="R1684" s="71" t="s">
        <v>625</v>
      </c>
      <c r="S1684" s="71">
        <v>7414000005</v>
      </c>
      <c r="AB1684"/>
      <c r="AC1684"/>
    </row>
    <row r="1685" spans="1:29" x14ac:dyDescent="0.25">
      <c r="A1685" t="str">
        <f t="shared" si="27"/>
        <v xml:space="preserve">75016GOBFED 330526       </v>
      </c>
      <c r="B1685" s="71">
        <v>75016</v>
      </c>
      <c r="C1685" s="71" t="s">
        <v>843</v>
      </c>
      <c r="D1685" s="71" t="s">
        <v>408</v>
      </c>
      <c r="E1685" s="71" t="s">
        <v>623</v>
      </c>
      <c r="F1685" s="71" t="s">
        <v>624</v>
      </c>
      <c r="G1685" s="74">
        <v>543</v>
      </c>
      <c r="H1685" s="72">
        <v>89.643172000000007</v>
      </c>
      <c r="I1685" s="73">
        <v>48676.242396000001</v>
      </c>
      <c r="J1685" s="72">
        <v>108.47711812999999</v>
      </c>
      <c r="K1685" s="73">
        <v>-10226.832748590001</v>
      </c>
      <c r="L1685" s="74">
        <v>0</v>
      </c>
      <c r="M1685" s="73">
        <v>0</v>
      </c>
      <c r="N1685" s="74">
        <v>0</v>
      </c>
      <c r="O1685" s="73">
        <v>0</v>
      </c>
      <c r="P1685" s="74">
        <v>543</v>
      </c>
      <c r="Q1685" s="73">
        <v>48676.242396000001</v>
      </c>
      <c r="R1685" s="71" t="s">
        <v>625</v>
      </c>
      <c r="S1685" s="71">
        <v>7414000005</v>
      </c>
      <c r="AB1685"/>
      <c r="AC1685"/>
    </row>
    <row r="1686" spans="1:29" x14ac:dyDescent="0.25">
      <c r="A1686" t="str">
        <f t="shared" si="27"/>
        <v xml:space="preserve">75016GOBFED 341123       </v>
      </c>
      <c r="B1686" s="71">
        <v>75016</v>
      </c>
      <c r="C1686" s="71" t="s">
        <v>843</v>
      </c>
      <c r="D1686" s="71" t="s">
        <v>384</v>
      </c>
      <c r="E1686" s="71" t="s">
        <v>623</v>
      </c>
      <c r="F1686" s="71" t="s">
        <v>624</v>
      </c>
      <c r="G1686" s="74">
        <v>11957</v>
      </c>
      <c r="H1686" s="72">
        <v>81.738860000000003</v>
      </c>
      <c r="I1686" s="73">
        <v>977351.54902000003</v>
      </c>
      <c r="J1686" s="72">
        <v>86.357283414535416</v>
      </c>
      <c r="K1686" s="73">
        <v>-55222.4887676</v>
      </c>
      <c r="L1686" s="74">
        <v>0</v>
      </c>
      <c r="M1686" s="73">
        <v>0</v>
      </c>
      <c r="N1686" s="74">
        <v>0</v>
      </c>
      <c r="O1686" s="73">
        <v>0</v>
      </c>
      <c r="P1686" s="74">
        <v>11957</v>
      </c>
      <c r="Q1686" s="73">
        <v>977351.54902000003</v>
      </c>
      <c r="R1686" s="71" t="s">
        <v>625</v>
      </c>
      <c r="S1686" s="71">
        <v>7414000005</v>
      </c>
      <c r="AB1686"/>
      <c r="AC1686"/>
    </row>
    <row r="1687" spans="1:29" x14ac:dyDescent="0.25">
      <c r="A1687" t="str">
        <f t="shared" si="27"/>
        <v xml:space="preserve">75016GOBFED 381118       </v>
      </c>
      <c r="B1687" s="71">
        <v>75016</v>
      </c>
      <c r="C1687" s="71" t="s">
        <v>843</v>
      </c>
      <c r="D1687" s="71" t="s">
        <v>385</v>
      </c>
      <c r="E1687" s="71" t="s">
        <v>623</v>
      </c>
      <c r="F1687" s="71" t="s">
        <v>624</v>
      </c>
      <c r="G1687" s="74">
        <v>2220</v>
      </c>
      <c r="H1687" s="72">
        <v>83.200761</v>
      </c>
      <c r="I1687" s="73">
        <v>184705.68942000001</v>
      </c>
      <c r="J1687" s="72">
        <v>94.454636132162165</v>
      </c>
      <c r="K1687" s="73">
        <v>-24983.602793400001</v>
      </c>
      <c r="L1687" s="74">
        <v>0</v>
      </c>
      <c r="M1687" s="73">
        <v>0</v>
      </c>
      <c r="N1687" s="74">
        <v>0</v>
      </c>
      <c r="O1687" s="73">
        <v>0</v>
      </c>
      <c r="P1687" s="74">
        <v>2220</v>
      </c>
      <c r="Q1687" s="73">
        <v>184705.68942000001</v>
      </c>
      <c r="R1687" s="71" t="s">
        <v>625</v>
      </c>
      <c r="S1687" s="71">
        <v>7414000005</v>
      </c>
      <c r="AB1687"/>
      <c r="AC1687"/>
    </row>
    <row r="1688" spans="1:29" x14ac:dyDescent="0.25">
      <c r="A1688" t="str">
        <f t="shared" si="27"/>
        <v xml:space="preserve">75016GOBFED 421113       </v>
      </c>
      <c r="B1688" s="71">
        <v>75016</v>
      </c>
      <c r="C1688" s="71" t="s">
        <v>843</v>
      </c>
      <c r="D1688" s="71" t="s">
        <v>386</v>
      </c>
      <c r="E1688" s="71" t="s">
        <v>623</v>
      </c>
      <c r="F1688" s="71" t="s">
        <v>624</v>
      </c>
      <c r="G1688" s="74">
        <v>18260</v>
      </c>
      <c r="H1688" s="72">
        <v>82.159907000000004</v>
      </c>
      <c r="I1688" s="73">
        <v>1500239.90182</v>
      </c>
      <c r="J1688" s="72">
        <v>84.026505772606797</v>
      </c>
      <c r="K1688" s="73">
        <v>-34084.093587800002</v>
      </c>
      <c r="L1688" s="74">
        <v>0</v>
      </c>
      <c r="M1688" s="73">
        <v>0</v>
      </c>
      <c r="N1688" s="74">
        <v>0</v>
      </c>
      <c r="O1688" s="73">
        <v>0</v>
      </c>
      <c r="P1688" s="74">
        <v>18260</v>
      </c>
      <c r="Q1688" s="73">
        <v>1500239.90182</v>
      </c>
      <c r="R1688" s="71" t="s">
        <v>625</v>
      </c>
      <c r="S1688" s="71">
        <v>7414000005</v>
      </c>
      <c r="AB1688"/>
      <c r="AC1688"/>
    </row>
    <row r="1689" spans="1:29" x14ac:dyDescent="0.25">
      <c r="A1689" t="str">
        <f t="shared" si="27"/>
        <v xml:space="preserve">75016GOBFED 471107       </v>
      </c>
      <c r="B1689" s="71">
        <v>75016</v>
      </c>
      <c r="C1689" s="71" t="s">
        <v>843</v>
      </c>
      <c r="D1689" s="71" t="s">
        <v>388</v>
      </c>
      <c r="E1689" s="71" t="s">
        <v>623</v>
      </c>
      <c r="F1689" s="71" t="s">
        <v>624</v>
      </c>
      <c r="G1689" s="74">
        <v>389</v>
      </c>
      <c r="H1689" s="72">
        <v>8532.5</v>
      </c>
      <c r="I1689" s="73">
        <v>3319142.5</v>
      </c>
      <c r="J1689" s="72">
        <v>4613.7907969151674</v>
      </c>
      <c r="K1689" s="73">
        <v>1524377.88</v>
      </c>
      <c r="L1689" s="74">
        <v>0</v>
      </c>
      <c r="M1689" s="73">
        <v>0</v>
      </c>
      <c r="N1689" s="74">
        <v>0</v>
      </c>
      <c r="O1689" s="73">
        <v>0</v>
      </c>
      <c r="P1689" s="74">
        <v>389</v>
      </c>
      <c r="Q1689" s="73">
        <v>3319142.5</v>
      </c>
      <c r="R1689" s="71" t="s">
        <v>625</v>
      </c>
      <c r="S1689" s="71">
        <v>7414000005</v>
      </c>
      <c r="AB1689"/>
      <c r="AC1689"/>
    </row>
    <row r="1690" spans="1:29" x14ac:dyDescent="0.25">
      <c r="A1690" t="str">
        <f t="shared" si="27"/>
        <v xml:space="preserve">75016GOBFED 530731       </v>
      </c>
      <c r="B1690" s="71">
        <v>75016</v>
      </c>
      <c r="C1690" s="71" t="s">
        <v>843</v>
      </c>
      <c r="D1690" s="71" t="s">
        <v>429</v>
      </c>
      <c r="E1690" s="71" t="s">
        <v>623</v>
      </c>
      <c r="F1690" s="71" t="s">
        <v>624</v>
      </c>
      <c r="G1690" s="74">
        <v>16462</v>
      </c>
      <c r="H1690" s="72">
        <v>98.007834000000003</v>
      </c>
      <c r="I1690" s="73">
        <v>1613404.963308</v>
      </c>
      <c r="J1690" s="72">
        <v>89.770042304107648</v>
      </c>
      <c r="K1690" s="73">
        <v>135610.52689777999</v>
      </c>
      <c r="L1690" s="74">
        <v>0</v>
      </c>
      <c r="M1690" s="73">
        <v>0</v>
      </c>
      <c r="N1690" s="74">
        <v>0</v>
      </c>
      <c r="O1690" s="73">
        <v>0</v>
      </c>
      <c r="P1690" s="74">
        <v>16462</v>
      </c>
      <c r="Q1690" s="73">
        <v>1613404.963308</v>
      </c>
      <c r="R1690" s="71" t="s">
        <v>625</v>
      </c>
      <c r="S1690" s="71">
        <v>7414000005</v>
      </c>
      <c r="AB1690"/>
      <c r="AC1690"/>
    </row>
    <row r="1691" spans="1:29" x14ac:dyDescent="0.25">
      <c r="A1691" t="str">
        <f t="shared" si="27"/>
        <v xml:space="preserve">75016IVV *               </v>
      </c>
      <c r="B1691" s="71">
        <v>75016</v>
      </c>
      <c r="C1691" s="71" t="s">
        <v>843</v>
      </c>
      <c r="D1691" s="71" t="s">
        <v>501</v>
      </c>
      <c r="E1691" s="71" t="s">
        <v>623</v>
      </c>
      <c r="F1691" s="71" t="s">
        <v>624</v>
      </c>
      <c r="G1691" s="74">
        <v>1367</v>
      </c>
      <c r="H1691" s="72">
        <v>682.55</v>
      </c>
      <c r="I1691" s="73">
        <v>933045.85</v>
      </c>
      <c r="J1691" s="72">
        <v>848.0099122165326</v>
      </c>
      <c r="K1691" s="73">
        <v>-226183.7</v>
      </c>
      <c r="L1691" s="74">
        <v>0</v>
      </c>
      <c r="M1691" s="73">
        <v>0</v>
      </c>
      <c r="N1691" s="74">
        <v>0</v>
      </c>
      <c r="O1691" s="73">
        <v>0</v>
      </c>
      <c r="P1691" s="74">
        <v>1367</v>
      </c>
      <c r="Q1691" s="73">
        <v>933045.85</v>
      </c>
      <c r="R1691" s="71" t="s">
        <v>625</v>
      </c>
      <c r="S1691" s="71">
        <v>7414000005</v>
      </c>
      <c r="AB1691"/>
      <c r="AC1691"/>
    </row>
    <row r="1692" spans="1:29" x14ac:dyDescent="0.25">
      <c r="A1692" t="str">
        <f t="shared" si="27"/>
        <v xml:space="preserve">75016PEMEX 13-2          </v>
      </c>
      <c r="B1692" s="71">
        <v>75016</v>
      </c>
      <c r="C1692" s="71" t="s">
        <v>843</v>
      </c>
      <c r="D1692" s="71" t="s">
        <v>430</v>
      </c>
      <c r="E1692" s="71" t="s">
        <v>623</v>
      </c>
      <c r="F1692" s="71" t="s">
        <v>624</v>
      </c>
      <c r="G1692" s="74">
        <v>2891290</v>
      </c>
      <c r="H1692" s="72">
        <v>3.1390400000000001</v>
      </c>
      <c r="I1692" s="73">
        <v>9075874.9616</v>
      </c>
      <c r="J1692" s="72">
        <v>2.3836754977881847</v>
      </c>
      <c r="K1692" s="73">
        <v>2183977.8316000002</v>
      </c>
      <c r="L1692" s="74">
        <v>0</v>
      </c>
      <c r="M1692" s="73">
        <v>0</v>
      </c>
      <c r="N1692" s="74">
        <v>0</v>
      </c>
      <c r="O1692" s="73">
        <v>0</v>
      </c>
      <c r="P1692" s="74">
        <v>2891290</v>
      </c>
      <c r="Q1692" s="73">
        <v>9075874.9616</v>
      </c>
      <c r="R1692" s="71" t="s">
        <v>625</v>
      </c>
      <c r="S1692" s="71">
        <v>7414000005</v>
      </c>
      <c r="AB1692"/>
      <c r="AC1692"/>
    </row>
    <row r="1693" spans="1:29" x14ac:dyDescent="0.25">
      <c r="A1693" t="str">
        <f t="shared" si="27"/>
        <v xml:space="preserve">75016SPSM *              </v>
      </c>
      <c r="B1693" s="71">
        <v>75016</v>
      </c>
      <c r="C1693" s="71" t="s">
        <v>843</v>
      </c>
      <c r="D1693" s="71" t="s">
        <v>389</v>
      </c>
      <c r="E1693" s="71" t="s">
        <v>623</v>
      </c>
      <c r="F1693" s="71" t="s">
        <v>624</v>
      </c>
      <c r="G1693" s="74">
        <v>667038</v>
      </c>
      <c r="H1693" s="72">
        <v>3.3967719999999999</v>
      </c>
      <c r="I1693" s="73">
        <v>2265776.0013359999</v>
      </c>
      <c r="J1693" s="72">
        <v>3.297121963066572</v>
      </c>
      <c r="K1693" s="73">
        <v>66470.361336000002</v>
      </c>
      <c r="L1693" s="74">
        <v>0</v>
      </c>
      <c r="M1693" s="73">
        <v>0</v>
      </c>
      <c r="N1693" s="74">
        <v>0</v>
      </c>
      <c r="O1693" s="73">
        <v>0</v>
      </c>
      <c r="P1693" s="74">
        <v>667038</v>
      </c>
      <c r="Q1693" s="73">
        <v>2265776.0013359999</v>
      </c>
      <c r="R1693" s="71" t="s">
        <v>625</v>
      </c>
      <c r="S1693" s="71">
        <v>7414000005</v>
      </c>
      <c r="AB1693"/>
      <c r="AC1693"/>
    </row>
    <row r="1694" spans="1:29" x14ac:dyDescent="0.25">
      <c r="A1694" t="str">
        <f t="shared" si="27"/>
        <v xml:space="preserve">75016ST&amp;ER-C ED          </v>
      </c>
      <c r="B1694" s="71">
        <v>75016</v>
      </c>
      <c r="C1694" s="71" t="s">
        <v>843</v>
      </c>
      <c r="D1694" s="71" t="s">
        <v>391</v>
      </c>
      <c r="E1694" s="71" t="s">
        <v>623</v>
      </c>
      <c r="F1694" s="71" t="s">
        <v>624</v>
      </c>
      <c r="G1694" s="74">
        <v>1166</v>
      </c>
      <c r="H1694" s="72">
        <v>775.69178699999998</v>
      </c>
      <c r="I1694" s="73">
        <v>904456.62364200002</v>
      </c>
      <c r="J1694" s="72">
        <v>766.69784126000002</v>
      </c>
      <c r="K1694" s="73">
        <v>10486.940732839999</v>
      </c>
      <c r="L1694" s="74">
        <v>0</v>
      </c>
      <c r="M1694" s="73">
        <v>0</v>
      </c>
      <c r="N1694" s="74">
        <v>0</v>
      </c>
      <c r="O1694" s="73">
        <v>0</v>
      </c>
      <c r="P1694" s="74">
        <v>1166</v>
      </c>
      <c r="Q1694" s="73">
        <v>904456.62364200002</v>
      </c>
      <c r="R1694" s="71" t="s">
        <v>625</v>
      </c>
      <c r="S1694" s="71">
        <v>7414000005</v>
      </c>
      <c r="AB1694"/>
      <c r="AC1694"/>
    </row>
    <row r="1695" spans="1:29" x14ac:dyDescent="0.25">
      <c r="A1695" t="str">
        <f t="shared" si="27"/>
        <v xml:space="preserve">75016STERGOB ED          </v>
      </c>
      <c r="B1695" s="71">
        <v>75016</v>
      </c>
      <c r="C1695" s="71" t="s">
        <v>843</v>
      </c>
      <c r="D1695" s="71" t="s">
        <v>392</v>
      </c>
      <c r="E1695" s="71" t="s">
        <v>623</v>
      </c>
      <c r="F1695" s="71" t="s">
        <v>624</v>
      </c>
      <c r="G1695" s="74">
        <v>2547</v>
      </c>
      <c r="H1695" s="72">
        <v>747.17843200000004</v>
      </c>
      <c r="I1695" s="73">
        <v>1903063.466304</v>
      </c>
      <c r="J1695" s="72">
        <v>723.88630513345117</v>
      </c>
      <c r="K1695" s="73">
        <v>59325.047129099999</v>
      </c>
      <c r="L1695" s="74">
        <v>0</v>
      </c>
      <c r="M1695" s="73">
        <v>0</v>
      </c>
      <c r="N1695" s="74">
        <v>0</v>
      </c>
      <c r="O1695" s="73">
        <v>0</v>
      </c>
      <c r="P1695" s="74">
        <v>2547</v>
      </c>
      <c r="Q1695" s="73">
        <v>1903063.466304</v>
      </c>
      <c r="R1695" s="71" t="s">
        <v>625</v>
      </c>
      <c r="S1695" s="71">
        <v>7414000005</v>
      </c>
      <c r="AB1695"/>
      <c r="AC1695"/>
    </row>
    <row r="1696" spans="1:29" x14ac:dyDescent="0.25">
      <c r="A1696" t="str">
        <f t="shared" si="27"/>
        <v xml:space="preserve">75016UDIBONO 251204      </v>
      </c>
      <c r="B1696" s="71">
        <v>75016</v>
      </c>
      <c r="C1696" s="71" t="s">
        <v>843</v>
      </c>
      <c r="D1696" s="71" t="s">
        <v>393</v>
      </c>
      <c r="E1696" s="71" t="s">
        <v>623</v>
      </c>
      <c r="F1696" s="71" t="s">
        <v>624</v>
      </c>
      <c r="G1696" s="74">
        <v>863</v>
      </c>
      <c r="H1696" s="72">
        <v>765.92388300000005</v>
      </c>
      <c r="I1696" s="73">
        <v>660992.31102899997</v>
      </c>
      <c r="J1696" s="72">
        <v>751.72813221592116</v>
      </c>
      <c r="K1696" s="73">
        <v>12250.93292666</v>
      </c>
      <c r="L1696" s="74">
        <v>0</v>
      </c>
      <c r="M1696" s="73">
        <v>0</v>
      </c>
      <c r="N1696" s="74">
        <v>0</v>
      </c>
      <c r="O1696" s="73">
        <v>0</v>
      </c>
      <c r="P1696" s="74">
        <v>863</v>
      </c>
      <c r="Q1696" s="73">
        <v>660992.31102899997</v>
      </c>
      <c r="R1696" s="71" t="s">
        <v>625</v>
      </c>
      <c r="S1696" s="71">
        <v>7414000005</v>
      </c>
      <c r="AB1696"/>
      <c r="AC1696"/>
    </row>
    <row r="1697" spans="1:29" x14ac:dyDescent="0.25">
      <c r="A1697" t="str">
        <f t="shared" si="27"/>
        <v xml:space="preserve">75016UDIBONO 261203      </v>
      </c>
      <c r="B1697" s="71">
        <v>75016</v>
      </c>
      <c r="C1697" s="71" t="s">
        <v>843</v>
      </c>
      <c r="D1697" s="71" t="s">
        <v>394</v>
      </c>
      <c r="E1697" s="71" t="s">
        <v>623</v>
      </c>
      <c r="F1697" s="71" t="s">
        <v>624</v>
      </c>
      <c r="G1697" s="74">
        <v>1460</v>
      </c>
      <c r="H1697" s="72">
        <v>684.88915799999995</v>
      </c>
      <c r="I1697" s="73">
        <v>999938.17067999998</v>
      </c>
      <c r="J1697" s="72">
        <v>680.55308054383556</v>
      </c>
      <c r="K1697" s="73">
        <v>6330.6730859999998</v>
      </c>
      <c r="L1697" s="74">
        <v>0</v>
      </c>
      <c r="M1697" s="73">
        <v>0</v>
      </c>
      <c r="N1697" s="74">
        <v>0</v>
      </c>
      <c r="O1697" s="73">
        <v>0</v>
      </c>
      <c r="P1697" s="74">
        <v>1460</v>
      </c>
      <c r="Q1697" s="73">
        <v>999938.17067999998</v>
      </c>
      <c r="R1697" s="71" t="s">
        <v>625</v>
      </c>
      <c r="S1697" s="71">
        <v>7414000005</v>
      </c>
      <c r="AB1697"/>
      <c r="AC1697"/>
    </row>
    <row r="1698" spans="1:29" x14ac:dyDescent="0.25">
      <c r="A1698" t="str">
        <f t="shared" si="27"/>
        <v xml:space="preserve">75016UDIBONO 281130      </v>
      </c>
      <c r="B1698" s="71">
        <v>75016</v>
      </c>
      <c r="C1698" s="71" t="s">
        <v>843</v>
      </c>
      <c r="D1698" s="71" t="s">
        <v>395</v>
      </c>
      <c r="E1698" s="71" t="s">
        <v>623</v>
      </c>
      <c r="F1698" s="71" t="s">
        <v>624</v>
      </c>
      <c r="G1698" s="74">
        <v>859</v>
      </c>
      <c r="H1698" s="72">
        <v>772.926965</v>
      </c>
      <c r="I1698" s="73">
        <v>663944.26293500001</v>
      </c>
      <c r="J1698" s="72">
        <v>801.62103501598369</v>
      </c>
      <c r="K1698" s="73">
        <v>-24648.20614373</v>
      </c>
      <c r="L1698" s="74">
        <v>0</v>
      </c>
      <c r="M1698" s="73">
        <v>0</v>
      </c>
      <c r="N1698" s="74">
        <v>0</v>
      </c>
      <c r="O1698" s="73">
        <v>0</v>
      </c>
      <c r="P1698" s="74">
        <v>859</v>
      </c>
      <c r="Q1698" s="73">
        <v>663944.26293500001</v>
      </c>
      <c r="R1698" s="71" t="s">
        <v>625</v>
      </c>
      <c r="S1698" s="71">
        <v>7414000005</v>
      </c>
      <c r="AB1698"/>
      <c r="AC1698"/>
    </row>
    <row r="1699" spans="1:29" x14ac:dyDescent="0.25">
      <c r="A1699" t="str">
        <f t="shared" si="27"/>
        <v xml:space="preserve">75016UDIBONO 311127      </v>
      </c>
      <c r="B1699" s="71">
        <v>75016</v>
      </c>
      <c r="C1699" s="71" t="s">
        <v>843</v>
      </c>
      <c r="D1699" s="71" t="s">
        <v>396</v>
      </c>
      <c r="E1699" s="71" t="s">
        <v>623</v>
      </c>
      <c r="F1699" s="71" t="s">
        <v>624</v>
      </c>
      <c r="G1699" s="74">
        <v>1076</v>
      </c>
      <c r="H1699" s="72">
        <v>721.59464000000003</v>
      </c>
      <c r="I1699" s="73">
        <v>776435.83264000004</v>
      </c>
      <c r="J1699" s="72">
        <v>756.87037317208183</v>
      </c>
      <c r="K1699" s="73">
        <v>-37956.688893159997</v>
      </c>
      <c r="L1699" s="74">
        <v>0</v>
      </c>
      <c r="M1699" s="73">
        <v>0</v>
      </c>
      <c r="N1699" s="74">
        <v>0</v>
      </c>
      <c r="O1699" s="73">
        <v>0</v>
      </c>
      <c r="P1699" s="74">
        <v>1076</v>
      </c>
      <c r="Q1699" s="73">
        <v>776435.83264000004</v>
      </c>
      <c r="R1699" s="71" t="s">
        <v>625</v>
      </c>
      <c r="S1699" s="71">
        <v>7414000005</v>
      </c>
      <c r="AB1699"/>
      <c r="AC1699"/>
    </row>
    <row r="1700" spans="1:29" x14ac:dyDescent="0.25">
      <c r="A1700" t="str">
        <f t="shared" si="27"/>
        <v xml:space="preserve">75016UDIBONO 351122      </v>
      </c>
      <c r="B1700" s="71">
        <v>75016</v>
      </c>
      <c r="C1700" s="71" t="s">
        <v>843</v>
      </c>
      <c r="D1700" s="71" t="s">
        <v>397</v>
      </c>
      <c r="E1700" s="71" t="s">
        <v>623</v>
      </c>
      <c r="F1700" s="71" t="s">
        <v>624</v>
      </c>
      <c r="G1700" s="74">
        <v>485</v>
      </c>
      <c r="H1700" s="72">
        <v>635.96311900000001</v>
      </c>
      <c r="I1700" s="73">
        <v>308442.112715</v>
      </c>
      <c r="J1700" s="72">
        <v>647.93802047999998</v>
      </c>
      <c r="K1700" s="73">
        <v>-5807.8272177999997</v>
      </c>
      <c r="L1700" s="74">
        <v>0</v>
      </c>
      <c r="M1700" s="73">
        <v>0</v>
      </c>
      <c r="N1700" s="74">
        <v>0</v>
      </c>
      <c r="O1700" s="73">
        <v>0</v>
      </c>
      <c r="P1700" s="74">
        <v>485</v>
      </c>
      <c r="Q1700" s="73">
        <v>308442.112715</v>
      </c>
      <c r="R1700" s="71" t="s">
        <v>625</v>
      </c>
      <c r="S1700" s="71">
        <v>7414000005</v>
      </c>
      <c r="AB1700"/>
      <c r="AC1700"/>
    </row>
    <row r="1701" spans="1:29" x14ac:dyDescent="0.25">
      <c r="A1701" t="str">
        <f t="shared" si="27"/>
        <v xml:space="preserve">75016UDIBONO 401115      </v>
      </c>
      <c r="B1701" s="71">
        <v>75016</v>
      </c>
      <c r="C1701" s="71" t="s">
        <v>843</v>
      </c>
      <c r="D1701" s="71" t="s">
        <v>398</v>
      </c>
      <c r="E1701" s="71" t="s">
        <v>623</v>
      </c>
      <c r="F1701" s="71" t="s">
        <v>624</v>
      </c>
      <c r="G1701" s="74">
        <v>1096</v>
      </c>
      <c r="H1701" s="72">
        <v>709.36974099999998</v>
      </c>
      <c r="I1701" s="73">
        <v>777469.23613600002</v>
      </c>
      <c r="J1701" s="72">
        <v>724.72356897511861</v>
      </c>
      <c r="K1701" s="73">
        <v>-16827.795460730002</v>
      </c>
      <c r="L1701" s="74">
        <v>0</v>
      </c>
      <c r="M1701" s="73">
        <v>0</v>
      </c>
      <c r="N1701" s="74">
        <v>0</v>
      </c>
      <c r="O1701" s="73">
        <v>0</v>
      </c>
      <c r="P1701" s="74">
        <v>1096</v>
      </c>
      <c r="Q1701" s="73">
        <v>777469.23613600002</v>
      </c>
      <c r="R1701" s="71" t="s">
        <v>625</v>
      </c>
      <c r="S1701" s="71">
        <v>7414000005</v>
      </c>
      <c r="AB1701"/>
      <c r="AC1701"/>
    </row>
    <row r="1702" spans="1:29" x14ac:dyDescent="0.25">
      <c r="A1702" t="str">
        <f t="shared" si="27"/>
        <v xml:space="preserve">75016UDIBONO 431112      </v>
      </c>
      <c r="B1702" s="71">
        <v>75016</v>
      </c>
      <c r="C1702" s="71" t="s">
        <v>843</v>
      </c>
      <c r="D1702" s="71" t="s">
        <v>399</v>
      </c>
      <c r="E1702" s="71" t="s">
        <v>623</v>
      </c>
      <c r="F1702" s="71" t="s">
        <v>624</v>
      </c>
      <c r="G1702" s="74">
        <v>1970</v>
      </c>
      <c r="H1702" s="72">
        <v>694.41118700000004</v>
      </c>
      <c r="I1702" s="73">
        <v>1367990.0383899999</v>
      </c>
      <c r="J1702" s="72">
        <v>725.47381115552287</v>
      </c>
      <c r="K1702" s="73">
        <v>-61193.369586380002</v>
      </c>
      <c r="L1702" s="74">
        <v>0</v>
      </c>
      <c r="M1702" s="73">
        <v>0</v>
      </c>
      <c r="N1702" s="74">
        <v>0</v>
      </c>
      <c r="O1702" s="73">
        <v>0</v>
      </c>
      <c r="P1702" s="74">
        <v>1970</v>
      </c>
      <c r="Q1702" s="73">
        <v>1367990.0383899999</v>
      </c>
      <c r="R1702" s="71" t="s">
        <v>625</v>
      </c>
      <c r="S1702" s="71">
        <v>7414000005</v>
      </c>
      <c r="AB1702"/>
      <c r="AC1702"/>
    </row>
    <row r="1703" spans="1:29" x14ac:dyDescent="0.25">
      <c r="A1703" t="str">
        <f t="shared" si="27"/>
        <v xml:space="preserve">75016UDIBONO 461108      </v>
      </c>
      <c r="B1703" s="71">
        <v>75016</v>
      </c>
      <c r="C1703" s="71" t="s">
        <v>843</v>
      </c>
      <c r="D1703" s="71" t="s">
        <v>401</v>
      </c>
      <c r="E1703" s="71" t="s">
        <v>623</v>
      </c>
      <c r="F1703" s="71" t="s">
        <v>624</v>
      </c>
      <c r="G1703" s="74">
        <v>820</v>
      </c>
      <c r="H1703" s="72">
        <v>1090</v>
      </c>
      <c r="I1703" s="73">
        <v>893800</v>
      </c>
      <c r="J1703" s="72">
        <v>1076.4355243902439</v>
      </c>
      <c r="K1703" s="73">
        <v>11122.87</v>
      </c>
      <c r="L1703" s="74">
        <v>0</v>
      </c>
      <c r="M1703" s="73">
        <v>0</v>
      </c>
      <c r="N1703" s="74">
        <v>0</v>
      </c>
      <c r="O1703" s="73">
        <v>0</v>
      </c>
      <c r="P1703" s="74">
        <v>820</v>
      </c>
      <c r="Q1703" s="73">
        <v>893800</v>
      </c>
      <c r="R1703" s="71" t="s">
        <v>625</v>
      </c>
      <c r="S1703" s="71">
        <v>7414000005</v>
      </c>
      <c r="AB1703"/>
      <c r="AC1703"/>
    </row>
    <row r="1704" spans="1:29" x14ac:dyDescent="0.25">
      <c r="A1704" t="str">
        <f t="shared" si="27"/>
        <v xml:space="preserve">75016UDIBONO 501103      </v>
      </c>
      <c r="B1704" s="71">
        <v>75017</v>
      </c>
      <c r="C1704" s="71" t="s">
        <v>844</v>
      </c>
      <c r="D1704" s="71" t="s">
        <v>358</v>
      </c>
      <c r="E1704" s="71" t="s">
        <v>623</v>
      </c>
      <c r="F1704" s="71" t="s">
        <v>624</v>
      </c>
      <c r="G1704" s="74">
        <v>8</v>
      </c>
      <c r="H1704" s="72">
        <v>1786.5</v>
      </c>
      <c r="I1704" s="73">
        <v>14292</v>
      </c>
      <c r="J1704" s="72">
        <v>1448.2850000000001</v>
      </c>
      <c r="K1704" s="73">
        <v>2705.72</v>
      </c>
      <c r="L1704" s="74">
        <v>0</v>
      </c>
      <c r="M1704" s="73">
        <v>0</v>
      </c>
      <c r="N1704" s="74">
        <v>0</v>
      </c>
      <c r="O1704" s="73">
        <v>0</v>
      </c>
      <c r="P1704" s="74">
        <v>8</v>
      </c>
      <c r="Q1704" s="73">
        <v>14292</v>
      </c>
      <c r="R1704" s="71" t="s">
        <v>625</v>
      </c>
      <c r="S1704" s="71">
        <v>7414000005</v>
      </c>
      <c r="AB1704"/>
      <c r="AC1704"/>
    </row>
    <row r="1705" spans="1:29" x14ac:dyDescent="0.25">
      <c r="A1705" t="str">
        <f t="shared" si="27"/>
        <v xml:space="preserve">75016VGK *               </v>
      </c>
      <c r="B1705" s="71">
        <v>75017</v>
      </c>
      <c r="C1705" s="71" t="s">
        <v>844</v>
      </c>
      <c r="D1705" s="71" t="s">
        <v>422</v>
      </c>
      <c r="E1705" s="71" t="s">
        <v>623</v>
      </c>
      <c r="F1705" s="71" t="s">
        <v>624</v>
      </c>
      <c r="G1705" s="74">
        <v>1</v>
      </c>
      <c r="H1705" s="72">
        <v>97.654420999999999</v>
      </c>
      <c r="I1705" s="73">
        <v>97.654420999999999</v>
      </c>
      <c r="J1705" s="72">
        <v>98.224185000000006</v>
      </c>
      <c r="K1705" s="73">
        <v>-0.56976400000000005</v>
      </c>
      <c r="L1705" s="74">
        <v>0</v>
      </c>
      <c r="M1705" s="73">
        <v>0</v>
      </c>
      <c r="N1705" s="74">
        <v>0</v>
      </c>
      <c r="O1705" s="73">
        <v>0</v>
      </c>
      <c r="P1705" s="74">
        <v>1</v>
      </c>
      <c r="Q1705" s="73">
        <v>97.654420999999999</v>
      </c>
      <c r="R1705" s="71" t="s">
        <v>625</v>
      </c>
      <c r="S1705" s="71">
        <v>7414000005</v>
      </c>
      <c r="AB1705"/>
      <c r="AC1705"/>
    </row>
    <row r="1706" spans="1:29" x14ac:dyDescent="0.25">
      <c r="A1706" t="str">
        <f t="shared" si="27"/>
        <v xml:space="preserve">75017ACWI *              </v>
      </c>
      <c r="B1706" s="71">
        <v>75017</v>
      </c>
      <c r="C1706" s="71" t="s">
        <v>844</v>
      </c>
      <c r="D1706" s="71" t="s">
        <v>363</v>
      </c>
      <c r="E1706" s="71" t="s">
        <v>623</v>
      </c>
      <c r="F1706" s="71" t="s">
        <v>624</v>
      </c>
      <c r="G1706" s="74">
        <v>150</v>
      </c>
      <c r="H1706" s="72">
        <v>9.4935880000000008</v>
      </c>
      <c r="I1706" s="73">
        <v>1424.0382</v>
      </c>
      <c r="J1706" s="72">
        <v>8.4405498100000003</v>
      </c>
      <c r="K1706" s="73">
        <v>157.95572849999999</v>
      </c>
      <c r="L1706" s="74">
        <v>0</v>
      </c>
      <c r="M1706" s="73">
        <v>0</v>
      </c>
      <c r="N1706" s="74">
        <v>0</v>
      </c>
      <c r="O1706" s="73">
        <v>0</v>
      </c>
      <c r="P1706" s="74">
        <v>150</v>
      </c>
      <c r="Q1706" s="73">
        <v>1424.0382</v>
      </c>
      <c r="R1706" s="71" t="s">
        <v>625</v>
      </c>
      <c r="S1706" s="71">
        <v>7414000005</v>
      </c>
      <c r="AB1706"/>
      <c r="AC1706"/>
    </row>
    <row r="1707" spans="1:29" x14ac:dyDescent="0.25">
      <c r="A1707" t="str">
        <f t="shared" si="27"/>
        <v xml:space="preserve">75017CETELEM 22          </v>
      </c>
      <c r="B1707" s="71">
        <v>75017</v>
      </c>
      <c r="C1707" s="71" t="s">
        <v>844</v>
      </c>
      <c r="D1707" s="71" t="s">
        <v>409</v>
      </c>
      <c r="E1707" s="71" t="s">
        <v>623</v>
      </c>
      <c r="F1707" s="71" t="s">
        <v>624</v>
      </c>
      <c r="G1707" s="74">
        <v>240</v>
      </c>
      <c r="H1707" s="72">
        <v>9.3381629999999998</v>
      </c>
      <c r="I1707" s="73">
        <v>2241.1591199999998</v>
      </c>
      <c r="J1707" s="72">
        <v>8.3307969100000001</v>
      </c>
      <c r="K1707" s="73">
        <v>241.7678616</v>
      </c>
      <c r="L1707" s="74">
        <v>0</v>
      </c>
      <c r="M1707" s="73">
        <v>0</v>
      </c>
      <c r="N1707" s="74">
        <v>0</v>
      </c>
      <c r="O1707" s="73">
        <v>0</v>
      </c>
      <c r="P1707" s="74">
        <v>240</v>
      </c>
      <c r="Q1707" s="73">
        <v>2241.1591199999998</v>
      </c>
      <c r="R1707" s="71" t="s">
        <v>625</v>
      </c>
      <c r="S1707" s="71">
        <v>7414000005</v>
      </c>
      <c r="AB1707"/>
      <c r="AC1707"/>
    </row>
    <row r="1708" spans="1:29" x14ac:dyDescent="0.25">
      <c r="A1708" t="str">
        <f t="shared" si="27"/>
        <v xml:space="preserve">75017CETES 241003        </v>
      </c>
      <c r="B1708" s="71">
        <v>75017</v>
      </c>
      <c r="C1708" s="71" t="s">
        <v>844</v>
      </c>
      <c r="D1708" s="71" t="s">
        <v>375</v>
      </c>
      <c r="E1708" s="71" t="s">
        <v>623</v>
      </c>
      <c r="F1708" s="71" t="s">
        <v>624</v>
      </c>
      <c r="G1708" s="74">
        <v>9</v>
      </c>
      <c r="H1708" s="72">
        <v>98.730349000000004</v>
      </c>
      <c r="I1708" s="73">
        <v>888.57314099999996</v>
      </c>
      <c r="J1708" s="72">
        <v>100.35646306333334</v>
      </c>
      <c r="K1708" s="73">
        <v>-14.635026570000001</v>
      </c>
      <c r="L1708" s="74">
        <v>0</v>
      </c>
      <c r="M1708" s="73">
        <v>0</v>
      </c>
      <c r="N1708" s="74">
        <v>0</v>
      </c>
      <c r="O1708" s="73">
        <v>0</v>
      </c>
      <c r="P1708" s="74">
        <v>9</v>
      </c>
      <c r="Q1708" s="73">
        <v>888.57314099999996</v>
      </c>
      <c r="R1708" s="71" t="s">
        <v>625</v>
      </c>
      <c r="S1708" s="71">
        <v>7414000005</v>
      </c>
      <c r="AB1708"/>
      <c r="AC1708"/>
    </row>
    <row r="1709" spans="1:29" x14ac:dyDescent="0.25">
      <c r="A1709" t="str">
        <f t="shared" si="27"/>
        <v xml:space="preserve">75017CETES 241128        </v>
      </c>
      <c r="B1709" s="71">
        <v>75017</v>
      </c>
      <c r="C1709" s="71" t="s">
        <v>844</v>
      </c>
      <c r="D1709" s="71" t="s">
        <v>376</v>
      </c>
      <c r="E1709" s="71" t="s">
        <v>623</v>
      </c>
      <c r="F1709" s="71" t="s">
        <v>624</v>
      </c>
      <c r="G1709" s="74">
        <v>8</v>
      </c>
      <c r="H1709" s="72">
        <v>99.247497999999993</v>
      </c>
      <c r="I1709" s="73">
        <v>793.97998399999994</v>
      </c>
      <c r="J1709" s="72">
        <v>110.86146857</v>
      </c>
      <c r="K1709" s="73">
        <v>-92.911764559999995</v>
      </c>
      <c r="L1709" s="74">
        <v>0</v>
      </c>
      <c r="M1709" s="73">
        <v>0</v>
      </c>
      <c r="N1709" s="74">
        <v>0</v>
      </c>
      <c r="O1709" s="73">
        <v>0</v>
      </c>
      <c r="P1709" s="74">
        <v>8</v>
      </c>
      <c r="Q1709" s="73">
        <v>793.97998399999994</v>
      </c>
      <c r="R1709" s="71" t="s">
        <v>625</v>
      </c>
      <c r="S1709" s="71">
        <v>7414000005</v>
      </c>
      <c r="AB1709"/>
      <c r="AC1709"/>
    </row>
    <row r="1710" spans="1:29" x14ac:dyDescent="0.25">
      <c r="A1710" t="str">
        <f t="shared" si="27"/>
        <v xml:space="preserve">75017GOBFED 240905       </v>
      </c>
      <c r="B1710" s="71">
        <v>75017</v>
      </c>
      <c r="C1710" s="71" t="s">
        <v>844</v>
      </c>
      <c r="D1710" s="71" t="s">
        <v>378</v>
      </c>
      <c r="E1710" s="71" t="s">
        <v>623</v>
      </c>
      <c r="F1710" s="71" t="s">
        <v>624</v>
      </c>
      <c r="G1710" s="74">
        <v>1</v>
      </c>
      <c r="H1710" s="72">
        <v>91.911821000000003</v>
      </c>
      <c r="I1710" s="73">
        <v>91.911821000000003</v>
      </c>
      <c r="J1710" s="72">
        <v>103.18815141</v>
      </c>
      <c r="K1710" s="73">
        <v>-11.27633041</v>
      </c>
      <c r="L1710" s="74">
        <v>0</v>
      </c>
      <c r="M1710" s="73">
        <v>0</v>
      </c>
      <c r="N1710" s="74">
        <v>0</v>
      </c>
      <c r="O1710" s="73">
        <v>0</v>
      </c>
      <c r="P1710" s="74">
        <v>1</v>
      </c>
      <c r="Q1710" s="73">
        <v>91.911821000000003</v>
      </c>
      <c r="R1710" s="71" t="s">
        <v>625</v>
      </c>
      <c r="S1710" s="71">
        <v>7414000005</v>
      </c>
      <c r="AB1710"/>
      <c r="AC1710"/>
    </row>
    <row r="1711" spans="1:29" x14ac:dyDescent="0.25">
      <c r="A1711" t="str">
        <f t="shared" si="27"/>
        <v xml:space="preserve">75017GOBFED 241205       </v>
      </c>
      <c r="B1711" s="71">
        <v>75017</v>
      </c>
      <c r="C1711" s="71" t="s">
        <v>844</v>
      </c>
      <c r="D1711" s="71" t="s">
        <v>499</v>
      </c>
      <c r="E1711" s="71" t="s">
        <v>623</v>
      </c>
      <c r="F1711" s="71" t="s">
        <v>624</v>
      </c>
      <c r="G1711" s="74">
        <v>10</v>
      </c>
      <c r="H1711" s="72">
        <v>92.954503000000003</v>
      </c>
      <c r="I1711" s="73">
        <v>929.54503</v>
      </c>
      <c r="J1711" s="72">
        <v>93.400039239999998</v>
      </c>
      <c r="K1711" s="73">
        <v>-4.4553624000000003</v>
      </c>
      <c r="L1711" s="74">
        <v>0</v>
      </c>
      <c r="M1711" s="73">
        <v>0</v>
      </c>
      <c r="N1711" s="74">
        <v>0</v>
      </c>
      <c r="O1711" s="73">
        <v>0</v>
      </c>
      <c r="P1711" s="74">
        <v>10</v>
      </c>
      <c r="Q1711" s="73">
        <v>929.54503</v>
      </c>
      <c r="R1711" s="71" t="s">
        <v>625</v>
      </c>
      <c r="S1711" s="71">
        <v>7414000005</v>
      </c>
      <c r="AB1711"/>
      <c r="AC1711"/>
    </row>
    <row r="1712" spans="1:29" x14ac:dyDescent="0.25">
      <c r="A1712" t="str">
        <f t="shared" si="27"/>
        <v xml:space="preserve">75017GOBFED 260305       </v>
      </c>
      <c r="B1712" s="71">
        <v>75017</v>
      </c>
      <c r="C1712" s="71" t="s">
        <v>844</v>
      </c>
      <c r="D1712" s="71" t="s">
        <v>379</v>
      </c>
      <c r="E1712" s="71" t="s">
        <v>623</v>
      </c>
      <c r="F1712" s="71" t="s">
        <v>624</v>
      </c>
      <c r="G1712" s="74">
        <v>4</v>
      </c>
      <c r="H1712" s="72">
        <v>88.698122999999995</v>
      </c>
      <c r="I1712" s="73">
        <v>354.79249199999998</v>
      </c>
      <c r="J1712" s="72">
        <v>85.318791529999999</v>
      </c>
      <c r="K1712" s="73">
        <v>13.51732588</v>
      </c>
      <c r="L1712" s="74">
        <v>0</v>
      </c>
      <c r="M1712" s="73">
        <v>0</v>
      </c>
      <c r="N1712" s="74">
        <v>0</v>
      </c>
      <c r="O1712" s="73">
        <v>0</v>
      </c>
      <c r="P1712" s="74">
        <v>4</v>
      </c>
      <c r="Q1712" s="73">
        <v>354.79249199999998</v>
      </c>
      <c r="R1712" s="71" t="s">
        <v>625</v>
      </c>
      <c r="S1712" s="71">
        <v>7414000005</v>
      </c>
      <c r="AB1712"/>
      <c r="AC1712"/>
    </row>
    <row r="1713" spans="1:29" x14ac:dyDescent="0.25">
      <c r="A1713" t="str">
        <f t="shared" si="27"/>
        <v xml:space="preserve">75017GOBFED 260903       </v>
      </c>
      <c r="B1713" s="71">
        <v>75017</v>
      </c>
      <c r="C1713" s="71" t="s">
        <v>844</v>
      </c>
      <c r="D1713" s="71" t="s">
        <v>380</v>
      </c>
      <c r="E1713" s="71" t="s">
        <v>623</v>
      </c>
      <c r="F1713" s="71" t="s">
        <v>624</v>
      </c>
      <c r="G1713" s="74">
        <v>20</v>
      </c>
      <c r="H1713" s="72">
        <v>93.314192000000006</v>
      </c>
      <c r="I1713" s="73">
        <v>1866.2838400000001</v>
      </c>
      <c r="J1713" s="72">
        <v>95.22442762</v>
      </c>
      <c r="K1713" s="73">
        <v>-38.204712399999998</v>
      </c>
      <c r="L1713" s="74">
        <v>0</v>
      </c>
      <c r="M1713" s="73">
        <v>0</v>
      </c>
      <c r="N1713" s="74">
        <v>0</v>
      </c>
      <c r="O1713" s="73">
        <v>0</v>
      </c>
      <c r="P1713" s="74">
        <v>20</v>
      </c>
      <c r="Q1713" s="73">
        <v>1866.2838400000001</v>
      </c>
      <c r="R1713" s="71" t="s">
        <v>625</v>
      </c>
      <c r="S1713" s="71">
        <v>7414000005</v>
      </c>
      <c r="AB1713"/>
      <c r="AC1713"/>
    </row>
    <row r="1714" spans="1:29" x14ac:dyDescent="0.25">
      <c r="A1714" t="str">
        <f t="shared" si="27"/>
        <v xml:space="preserve">75017GOBFED 270304       </v>
      </c>
      <c r="B1714" s="71">
        <v>75017</v>
      </c>
      <c r="C1714" s="71" t="s">
        <v>844</v>
      </c>
      <c r="D1714" s="71" t="s">
        <v>507</v>
      </c>
      <c r="E1714" s="71" t="s">
        <v>623</v>
      </c>
      <c r="F1714" s="71" t="s">
        <v>624</v>
      </c>
      <c r="G1714" s="74">
        <v>10</v>
      </c>
      <c r="H1714" s="72">
        <v>94.864168000000006</v>
      </c>
      <c r="I1714" s="73">
        <v>948.64167999999995</v>
      </c>
      <c r="J1714" s="72">
        <v>96.263034200000007</v>
      </c>
      <c r="K1714" s="73">
        <v>-13.988662</v>
      </c>
      <c r="L1714" s="74">
        <v>0</v>
      </c>
      <c r="M1714" s="73">
        <v>0</v>
      </c>
      <c r="N1714" s="74">
        <v>0</v>
      </c>
      <c r="O1714" s="73">
        <v>0</v>
      </c>
      <c r="P1714" s="74">
        <v>10</v>
      </c>
      <c r="Q1714" s="73">
        <v>948.64167999999995</v>
      </c>
      <c r="R1714" s="71" t="s">
        <v>625</v>
      </c>
      <c r="S1714" s="71">
        <v>7414000005</v>
      </c>
      <c r="AB1714"/>
      <c r="AC1714"/>
    </row>
    <row r="1715" spans="1:29" x14ac:dyDescent="0.25">
      <c r="A1715" t="str">
        <f t="shared" si="27"/>
        <v xml:space="preserve">75017GOBFED 270603       </v>
      </c>
      <c r="B1715" s="71">
        <v>75017</v>
      </c>
      <c r="C1715" s="71" t="s">
        <v>844</v>
      </c>
      <c r="D1715" s="71" t="s">
        <v>381</v>
      </c>
      <c r="E1715" s="71" t="s">
        <v>623</v>
      </c>
      <c r="F1715" s="71" t="s">
        <v>624</v>
      </c>
      <c r="G1715" s="74">
        <v>32</v>
      </c>
      <c r="H1715" s="72">
        <v>94.870157000000006</v>
      </c>
      <c r="I1715" s="73">
        <v>3035.8450240000002</v>
      </c>
      <c r="J1715" s="72">
        <v>97.769921886874997</v>
      </c>
      <c r="K1715" s="73">
        <v>-92.792476379999997</v>
      </c>
      <c r="L1715" s="74">
        <v>0</v>
      </c>
      <c r="M1715" s="73">
        <v>0</v>
      </c>
      <c r="N1715" s="74">
        <v>0</v>
      </c>
      <c r="O1715" s="73">
        <v>0</v>
      </c>
      <c r="P1715" s="74">
        <v>32</v>
      </c>
      <c r="Q1715" s="73">
        <v>3035.8450240000002</v>
      </c>
      <c r="R1715" s="71" t="s">
        <v>625</v>
      </c>
      <c r="S1715" s="71">
        <v>7414000005</v>
      </c>
      <c r="AB1715"/>
      <c r="AC1715"/>
    </row>
    <row r="1716" spans="1:29" x14ac:dyDescent="0.25">
      <c r="A1716" t="str">
        <f t="shared" si="27"/>
        <v xml:space="preserve">75017GOBFED 290301       </v>
      </c>
      <c r="B1716" s="71">
        <v>75017</v>
      </c>
      <c r="C1716" s="71" t="s">
        <v>844</v>
      </c>
      <c r="D1716" s="71" t="s">
        <v>382</v>
      </c>
      <c r="E1716" s="71" t="s">
        <v>623</v>
      </c>
      <c r="F1716" s="71" t="s">
        <v>624</v>
      </c>
      <c r="G1716" s="74">
        <v>11</v>
      </c>
      <c r="H1716" s="72">
        <v>89.489464999999996</v>
      </c>
      <c r="I1716" s="73">
        <v>984.38411499999995</v>
      </c>
      <c r="J1716" s="72">
        <v>91.710125919090913</v>
      </c>
      <c r="K1716" s="73">
        <v>-24.427270109999998</v>
      </c>
      <c r="L1716" s="74">
        <v>0</v>
      </c>
      <c r="M1716" s="73">
        <v>0</v>
      </c>
      <c r="N1716" s="74">
        <v>0</v>
      </c>
      <c r="O1716" s="73">
        <v>0</v>
      </c>
      <c r="P1716" s="74">
        <v>11</v>
      </c>
      <c r="Q1716" s="73">
        <v>984.38411499999995</v>
      </c>
      <c r="R1716" s="71" t="s">
        <v>625</v>
      </c>
      <c r="S1716" s="71">
        <v>7414000005</v>
      </c>
      <c r="AB1716"/>
      <c r="AC1716"/>
    </row>
    <row r="1717" spans="1:29" x14ac:dyDescent="0.25">
      <c r="A1717" t="str">
        <f t="shared" si="27"/>
        <v xml:space="preserve">75017GOBFED 290531       </v>
      </c>
      <c r="B1717" s="71">
        <v>75017</v>
      </c>
      <c r="C1717" s="71" t="s">
        <v>844</v>
      </c>
      <c r="D1717" s="71" t="s">
        <v>383</v>
      </c>
      <c r="E1717" s="71" t="s">
        <v>623</v>
      </c>
      <c r="F1717" s="71" t="s">
        <v>624</v>
      </c>
      <c r="G1717" s="74">
        <v>45</v>
      </c>
      <c r="H1717" s="72">
        <v>86.197128000000006</v>
      </c>
      <c r="I1717" s="73">
        <v>3878.8707599999998</v>
      </c>
      <c r="J1717" s="72">
        <v>89.62975480555555</v>
      </c>
      <c r="K1717" s="73">
        <v>-154.46820625000001</v>
      </c>
      <c r="L1717" s="74">
        <v>0</v>
      </c>
      <c r="M1717" s="73">
        <v>0</v>
      </c>
      <c r="N1717" s="74">
        <v>0</v>
      </c>
      <c r="O1717" s="73">
        <v>0</v>
      </c>
      <c r="P1717" s="74">
        <v>45</v>
      </c>
      <c r="Q1717" s="73">
        <v>3878.8707599999998</v>
      </c>
      <c r="R1717" s="71" t="s">
        <v>625</v>
      </c>
      <c r="S1717" s="71">
        <v>7414000005</v>
      </c>
      <c r="AB1717"/>
      <c r="AC1717"/>
    </row>
    <row r="1718" spans="1:29" x14ac:dyDescent="0.25">
      <c r="A1718" t="str">
        <f t="shared" si="27"/>
        <v xml:space="preserve">75017GOBFED 310529       </v>
      </c>
      <c r="B1718" s="71">
        <v>75017</v>
      </c>
      <c r="C1718" s="71" t="s">
        <v>844</v>
      </c>
      <c r="D1718" s="71" t="s">
        <v>427</v>
      </c>
      <c r="E1718" s="71" t="s">
        <v>623</v>
      </c>
      <c r="F1718" s="71" t="s">
        <v>624</v>
      </c>
      <c r="G1718" s="74">
        <v>14</v>
      </c>
      <c r="H1718" s="72">
        <v>86.469353999999996</v>
      </c>
      <c r="I1718" s="73">
        <v>1210.570956</v>
      </c>
      <c r="J1718" s="72">
        <v>91.488263128571433</v>
      </c>
      <c r="K1718" s="73">
        <v>-70.264727800000003</v>
      </c>
      <c r="L1718" s="74">
        <v>0</v>
      </c>
      <c r="M1718" s="73">
        <v>0</v>
      </c>
      <c r="N1718" s="74">
        <v>0</v>
      </c>
      <c r="O1718" s="73">
        <v>0</v>
      </c>
      <c r="P1718" s="74">
        <v>14</v>
      </c>
      <c r="Q1718" s="73">
        <v>1210.570956</v>
      </c>
      <c r="R1718" s="71" t="s">
        <v>625</v>
      </c>
      <c r="S1718" s="71">
        <v>7414000005</v>
      </c>
      <c r="AB1718"/>
      <c r="AC1718"/>
    </row>
    <row r="1719" spans="1:29" x14ac:dyDescent="0.25">
      <c r="A1719" t="str">
        <f t="shared" si="27"/>
        <v xml:space="preserve">75017GOBFED 330526       </v>
      </c>
      <c r="B1719" s="71">
        <v>75017</v>
      </c>
      <c r="C1719" s="71" t="s">
        <v>844</v>
      </c>
      <c r="D1719" s="71" t="s">
        <v>418</v>
      </c>
      <c r="E1719" s="71" t="s">
        <v>623</v>
      </c>
      <c r="F1719" s="71" t="s">
        <v>624</v>
      </c>
      <c r="G1719" s="74">
        <v>3</v>
      </c>
      <c r="H1719" s="72">
        <v>101.45096599999999</v>
      </c>
      <c r="I1719" s="73">
        <v>304.35289799999998</v>
      </c>
      <c r="J1719" s="72">
        <v>114.11447106</v>
      </c>
      <c r="K1719" s="73">
        <v>-37.990515180000003</v>
      </c>
      <c r="L1719" s="74">
        <v>0</v>
      </c>
      <c r="M1719" s="73">
        <v>0</v>
      </c>
      <c r="N1719" s="74">
        <v>0</v>
      </c>
      <c r="O1719" s="73">
        <v>0</v>
      </c>
      <c r="P1719" s="74">
        <v>3</v>
      </c>
      <c r="Q1719" s="73">
        <v>304.35289799999998</v>
      </c>
      <c r="R1719" s="71" t="s">
        <v>625</v>
      </c>
      <c r="S1719" s="71">
        <v>7414000005</v>
      </c>
      <c r="AB1719"/>
      <c r="AC1719"/>
    </row>
    <row r="1720" spans="1:29" x14ac:dyDescent="0.25">
      <c r="A1720" t="str">
        <f t="shared" si="27"/>
        <v xml:space="preserve">75017GOBFED 341123       </v>
      </c>
      <c r="B1720" s="71">
        <v>75017</v>
      </c>
      <c r="C1720" s="71" t="s">
        <v>844</v>
      </c>
      <c r="D1720" s="71" t="s">
        <v>384</v>
      </c>
      <c r="E1720" s="71" t="s">
        <v>623</v>
      </c>
      <c r="F1720" s="71" t="s">
        <v>624</v>
      </c>
      <c r="G1720" s="74">
        <v>32</v>
      </c>
      <c r="H1720" s="72">
        <v>81.738860000000003</v>
      </c>
      <c r="I1720" s="73">
        <v>2615.6435200000001</v>
      </c>
      <c r="J1720" s="72">
        <v>86.467200957499998</v>
      </c>
      <c r="K1720" s="73">
        <v>-151.30691064000001</v>
      </c>
      <c r="L1720" s="74">
        <v>0</v>
      </c>
      <c r="M1720" s="73">
        <v>0</v>
      </c>
      <c r="N1720" s="74">
        <v>0</v>
      </c>
      <c r="O1720" s="73">
        <v>0</v>
      </c>
      <c r="P1720" s="74">
        <v>32</v>
      </c>
      <c r="Q1720" s="73">
        <v>2615.6435200000001</v>
      </c>
      <c r="R1720" s="71" t="s">
        <v>625</v>
      </c>
      <c r="S1720" s="71">
        <v>7414000005</v>
      </c>
      <c r="AB1720"/>
      <c r="AC1720"/>
    </row>
    <row r="1721" spans="1:29" x14ac:dyDescent="0.25">
      <c r="A1721" t="str">
        <f t="shared" si="27"/>
        <v xml:space="preserve">75017GOBFED 361120       </v>
      </c>
      <c r="B1721" s="71">
        <v>75017</v>
      </c>
      <c r="C1721" s="71" t="s">
        <v>844</v>
      </c>
      <c r="D1721" s="71" t="s">
        <v>385</v>
      </c>
      <c r="E1721" s="71" t="s">
        <v>623</v>
      </c>
      <c r="F1721" s="71" t="s">
        <v>624</v>
      </c>
      <c r="G1721" s="74">
        <v>2</v>
      </c>
      <c r="H1721" s="72">
        <v>83.200761</v>
      </c>
      <c r="I1721" s="73">
        <v>166.401522</v>
      </c>
      <c r="J1721" s="72">
        <v>89.305669589999994</v>
      </c>
      <c r="K1721" s="73">
        <v>-12.20981718</v>
      </c>
      <c r="L1721" s="74">
        <v>0</v>
      </c>
      <c r="M1721" s="73">
        <v>0</v>
      </c>
      <c r="N1721" s="74">
        <v>0</v>
      </c>
      <c r="O1721" s="73">
        <v>0</v>
      </c>
      <c r="P1721" s="74">
        <v>2</v>
      </c>
      <c r="Q1721" s="73">
        <v>166.401522</v>
      </c>
      <c r="R1721" s="71" t="s">
        <v>625</v>
      </c>
      <c r="S1721" s="71">
        <v>7414000005</v>
      </c>
      <c r="AB1721"/>
      <c r="AC1721"/>
    </row>
    <row r="1722" spans="1:29" x14ac:dyDescent="0.25">
      <c r="A1722" t="str">
        <f t="shared" si="27"/>
        <v xml:space="preserve">75017GOBFED 421113       </v>
      </c>
      <c r="B1722" s="71">
        <v>75017</v>
      </c>
      <c r="C1722" s="71" t="s">
        <v>844</v>
      </c>
      <c r="D1722" s="71" t="s">
        <v>386</v>
      </c>
      <c r="E1722" s="71" t="s">
        <v>623</v>
      </c>
      <c r="F1722" s="71" t="s">
        <v>624</v>
      </c>
      <c r="G1722" s="74">
        <v>2</v>
      </c>
      <c r="H1722" s="72">
        <v>82.159907000000004</v>
      </c>
      <c r="I1722" s="73">
        <v>164.31981400000001</v>
      </c>
      <c r="J1722" s="72">
        <v>82.790352400000003</v>
      </c>
      <c r="K1722" s="73">
        <v>-1.2608908000000001</v>
      </c>
      <c r="L1722" s="74">
        <v>0</v>
      </c>
      <c r="M1722" s="73">
        <v>0</v>
      </c>
      <c r="N1722" s="74">
        <v>0</v>
      </c>
      <c r="O1722" s="73">
        <v>0</v>
      </c>
      <c r="P1722" s="74">
        <v>2</v>
      </c>
      <c r="Q1722" s="73">
        <v>164.31981400000001</v>
      </c>
      <c r="R1722" s="71" t="s">
        <v>625</v>
      </c>
      <c r="S1722" s="71">
        <v>7414000005</v>
      </c>
      <c r="AB1722"/>
      <c r="AC1722"/>
    </row>
    <row r="1723" spans="1:29" x14ac:dyDescent="0.25">
      <c r="A1723" t="str">
        <f t="shared" si="27"/>
        <v xml:space="preserve">75017GOBFED 471107       </v>
      </c>
      <c r="B1723" s="71">
        <v>75017</v>
      </c>
      <c r="C1723" s="71" t="s">
        <v>844</v>
      </c>
      <c r="D1723" s="71" t="s">
        <v>430</v>
      </c>
      <c r="E1723" s="71" t="s">
        <v>623</v>
      </c>
      <c r="F1723" s="71" t="s">
        <v>624</v>
      </c>
      <c r="G1723" s="74">
        <v>4870</v>
      </c>
      <c r="H1723" s="72">
        <v>3.1390400000000001</v>
      </c>
      <c r="I1723" s="73">
        <v>15287.1248</v>
      </c>
      <c r="J1723" s="72">
        <v>2.3371252566735112</v>
      </c>
      <c r="K1723" s="73">
        <v>3905.3247999999999</v>
      </c>
      <c r="L1723" s="74">
        <v>0</v>
      </c>
      <c r="M1723" s="73">
        <v>0</v>
      </c>
      <c r="N1723" s="74">
        <v>0</v>
      </c>
      <c r="O1723" s="73">
        <v>0</v>
      </c>
      <c r="P1723" s="74">
        <v>4870</v>
      </c>
      <c r="Q1723" s="73">
        <v>15287.1248</v>
      </c>
      <c r="R1723" s="71" t="s">
        <v>625</v>
      </c>
      <c r="S1723" s="71">
        <v>7414000005</v>
      </c>
      <c r="AB1723"/>
      <c r="AC1723"/>
    </row>
    <row r="1724" spans="1:29" x14ac:dyDescent="0.25">
      <c r="A1724" t="str">
        <f t="shared" si="27"/>
        <v xml:space="preserve">75017GOBFED 530731       </v>
      </c>
      <c r="B1724" s="71">
        <v>75017</v>
      </c>
      <c r="C1724" s="71" t="s">
        <v>844</v>
      </c>
      <c r="D1724" s="71" t="s">
        <v>389</v>
      </c>
      <c r="E1724" s="71" t="s">
        <v>623</v>
      </c>
      <c r="F1724" s="71" t="s">
        <v>624</v>
      </c>
      <c r="G1724" s="74">
        <v>4881</v>
      </c>
      <c r="H1724" s="72">
        <v>3.3967719999999999</v>
      </c>
      <c r="I1724" s="73">
        <v>16579.644132000001</v>
      </c>
      <c r="J1724" s="72">
        <v>3.2792337635730382</v>
      </c>
      <c r="K1724" s="73">
        <v>573.70413199999996</v>
      </c>
      <c r="L1724" s="74">
        <v>0</v>
      </c>
      <c r="M1724" s="73">
        <v>0</v>
      </c>
      <c r="N1724" s="74">
        <v>0</v>
      </c>
      <c r="O1724" s="73">
        <v>0</v>
      </c>
      <c r="P1724" s="74">
        <v>4881</v>
      </c>
      <c r="Q1724" s="73">
        <v>16579.644132000001</v>
      </c>
      <c r="R1724" s="71" t="s">
        <v>625</v>
      </c>
      <c r="S1724" s="71">
        <v>7414000005</v>
      </c>
      <c r="AB1724"/>
      <c r="AC1724"/>
    </row>
    <row r="1725" spans="1:29" x14ac:dyDescent="0.25">
      <c r="A1725" t="str">
        <f t="shared" si="27"/>
        <v xml:space="preserve">75017ST&amp;ER-C ED          </v>
      </c>
      <c r="B1725" s="71">
        <v>75017</v>
      </c>
      <c r="C1725" s="71" t="s">
        <v>844</v>
      </c>
      <c r="D1725" s="71" t="s">
        <v>391</v>
      </c>
      <c r="E1725" s="71" t="s">
        <v>623</v>
      </c>
      <c r="F1725" s="71" t="s">
        <v>624</v>
      </c>
      <c r="G1725" s="74">
        <v>2</v>
      </c>
      <c r="H1725" s="72">
        <v>775.69178699999998</v>
      </c>
      <c r="I1725" s="73">
        <v>1551.383574</v>
      </c>
      <c r="J1725" s="72">
        <v>766.69784126000002</v>
      </c>
      <c r="K1725" s="73">
        <v>17.987891479999998</v>
      </c>
      <c r="L1725" s="74">
        <v>0</v>
      </c>
      <c r="M1725" s="73">
        <v>0</v>
      </c>
      <c r="N1725" s="74">
        <v>0</v>
      </c>
      <c r="O1725" s="73">
        <v>0</v>
      </c>
      <c r="P1725" s="74">
        <v>2</v>
      </c>
      <c r="Q1725" s="73">
        <v>1551.383574</v>
      </c>
      <c r="R1725" s="71" t="s">
        <v>625</v>
      </c>
      <c r="S1725" s="71">
        <v>7414000005</v>
      </c>
      <c r="AB1725"/>
      <c r="AC1725"/>
    </row>
    <row r="1726" spans="1:29" x14ac:dyDescent="0.25">
      <c r="A1726" t="str">
        <f t="shared" si="27"/>
        <v xml:space="preserve">75017STERGOB ED          </v>
      </c>
      <c r="B1726" s="71">
        <v>75017</v>
      </c>
      <c r="C1726" s="71" t="s">
        <v>844</v>
      </c>
      <c r="D1726" s="71" t="s">
        <v>392</v>
      </c>
      <c r="E1726" s="71" t="s">
        <v>623</v>
      </c>
      <c r="F1726" s="71" t="s">
        <v>624</v>
      </c>
      <c r="G1726" s="74">
        <v>1</v>
      </c>
      <c r="H1726" s="72">
        <v>747.17843200000004</v>
      </c>
      <c r="I1726" s="73">
        <v>747.17843200000004</v>
      </c>
      <c r="J1726" s="72">
        <v>730.99471579999999</v>
      </c>
      <c r="K1726" s="73">
        <v>16.183716199999999</v>
      </c>
      <c r="L1726" s="74">
        <v>0</v>
      </c>
      <c r="M1726" s="73">
        <v>0</v>
      </c>
      <c r="N1726" s="74">
        <v>0</v>
      </c>
      <c r="O1726" s="73">
        <v>0</v>
      </c>
      <c r="P1726" s="74">
        <v>1</v>
      </c>
      <c r="Q1726" s="73">
        <v>747.17843200000004</v>
      </c>
      <c r="R1726" s="71" t="s">
        <v>625</v>
      </c>
      <c r="S1726" s="71">
        <v>7414000005</v>
      </c>
      <c r="AB1726"/>
      <c r="AC1726"/>
    </row>
    <row r="1727" spans="1:29" x14ac:dyDescent="0.25">
      <c r="A1727" t="str">
        <f t="shared" si="27"/>
        <v xml:space="preserve">75017UDIBONO 251204      </v>
      </c>
      <c r="B1727" s="71">
        <v>75017</v>
      </c>
      <c r="C1727" s="71" t="s">
        <v>844</v>
      </c>
      <c r="D1727" s="71" t="s">
        <v>394</v>
      </c>
      <c r="E1727" s="71" t="s">
        <v>623</v>
      </c>
      <c r="F1727" s="71" t="s">
        <v>624</v>
      </c>
      <c r="G1727" s="74">
        <v>1</v>
      </c>
      <c r="H1727" s="72">
        <v>684.88915799999995</v>
      </c>
      <c r="I1727" s="73">
        <v>684.88915799999995</v>
      </c>
      <c r="J1727" s="72">
        <v>674.82119490000002</v>
      </c>
      <c r="K1727" s="73">
        <v>10.0679631</v>
      </c>
      <c r="L1727" s="74">
        <v>0</v>
      </c>
      <c r="M1727" s="73">
        <v>0</v>
      </c>
      <c r="N1727" s="74">
        <v>0</v>
      </c>
      <c r="O1727" s="73">
        <v>0</v>
      </c>
      <c r="P1727" s="74">
        <v>1</v>
      </c>
      <c r="Q1727" s="73">
        <v>684.88915799999995</v>
      </c>
      <c r="R1727" s="71" t="s">
        <v>625</v>
      </c>
      <c r="S1727" s="71">
        <v>7414000005</v>
      </c>
      <c r="AB1727"/>
      <c r="AC1727"/>
    </row>
    <row r="1728" spans="1:29" x14ac:dyDescent="0.25">
      <c r="A1728" t="str">
        <f t="shared" si="27"/>
        <v xml:space="preserve">75017UDIBONO 261203      </v>
      </c>
      <c r="B1728" s="71">
        <v>75017</v>
      </c>
      <c r="C1728" s="71" t="s">
        <v>844</v>
      </c>
      <c r="D1728" s="71" t="s">
        <v>395</v>
      </c>
      <c r="E1728" s="71" t="s">
        <v>623</v>
      </c>
      <c r="F1728" s="71" t="s">
        <v>624</v>
      </c>
      <c r="G1728" s="74">
        <v>1</v>
      </c>
      <c r="H1728" s="72">
        <v>772.926965</v>
      </c>
      <c r="I1728" s="73">
        <v>772.926965</v>
      </c>
      <c r="J1728" s="72">
        <v>798.93664675000002</v>
      </c>
      <c r="K1728" s="73">
        <v>-26.009681749999999</v>
      </c>
      <c r="L1728" s="74">
        <v>0</v>
      </c>
      <c r="M1728" s="73">
        <v>0</v>
      </c>
      <c r="N1728" s="74">
        <v>0</v>
      </c>
      <c r="O1728" s="73">
        <v>0</v>
      </c>
      <c r="P1728" s="74">
        <v>1</v>
      </c>
      <c r="Q1728" s="73">
        <v>772.926965</v>
      </c>
      <c r="R1728" s="71" t="s">
        <v>625</v>
      </c>
      <c r="S1728" s="71">
        <v>7414000005</v>
      </c>
      <c r="AB1728"/>
      <c r="AC1728"/>
    </row>
    <row r="1729" spans="1:29" x14ac:dyDescent="0.25">
      <c r="A1729" t="str">
        <f t="shared" si="27"/>
        <v xml:space="preserve">75017UDIBONO 311127      </v>
      </c>
      <c r="B1729" s="71">
        <v>75017</v>
      </c>
      <c r="C1729" s="71" t="s">
        <v>844</v>
      </c>
      <c r="D1729" s="71" t="s">
        <v>396</v>
      </c>
      <c r="E1729" s="71" t="s">
        <v>623</v>
      </c>
      <c r="F1729" s="71" t="s">
        <v>624</v>
      </c>
      <c r="G1729" s="74">
        <v>2</v>
      </c>
      <c r="H1729" s="72">
        <v>721.59464000000003</v>
      </c>
      <c r="I1729" s="73">
        <v>1443.1892800000001</v>
      </c>
      <c r="J1729" s="72">
        <v>664.31076667000002</v>
      </c>
      <c r="K1729" s="73">
        <v>114.56774666</v>
      </c>
      <c r="L1729" s="74">
        <v>0</v>
      </c>
      <c r="M1729" s="73">
        <v>0</v>
      </c>
      <c r="N1729" s="74">
        <v>0</v>
      </c>
      <c r="O1729" s="73">
        <v>0</v>
      </c>
      <c r="P1729" s="74">
        <v>2</v>
      </c>
      <c r="Q1729" s="73">
        <v>1443.1892800000001</v>
      </c>
      <c r="R1729" s="71" t="s">
        <v>625</v>
      </c>
      <c r="S1729" s="71">
        <v>7414000005</v>
      </c>
      <c r="AB1729"/>
      <c r="AC1729"/>
    </row>
    <row r="1730" spans="1:29" x14ac:dyDescent="0.25">
      <c r="A1730" t="str">
        <f t="shared" si="27"/>
        <v xml:space="preserve">75017UDIBONO 351122      </v>
      </c>
      <c r="B1730" s="71">
        <v>75017</v>
      </c>
      <c r="C1730" s="71" t="s">
        <v>844</v>
      </c>
      <c r="D1730" s="71" t="s">
        <v>398</v>
      </c>
      <c r="E1730" s="71" t="s">
        <v>623</v>
      </c>
      <c r="F1730" s="71" t="s">
        <v>624</v>
      </c>
      <c r="G1730" s="74">
        <v>1</v>
      </c>
      <c r="H1730" s="72">
        <v>709.36974099999998</v>
      </c>
      <c r="I1730" s="73">
        <v>709.36974099999998</v>
      </c>
      <c r="J1730" s="72">
        <v>724.63651936999997</v>
      </c>
      <c r="K1730" s="73">
        <v>-15.266778370000001</v>
      </c>
      <c r="L1730" s="74">
        <v>0</v>
      </c>
      <c r="M1730" s="73">
        <v>0</v>
      </c>
      <c r="N1730" s="74">
        <v>0</v>
      </c>
      <c r="O1730" s="73">
        <v>0</v>
      </c>
      <c r="P1730" s="74">
        <v>1</v>
      </c>
      <c r="Q1730" s="73">
        <v>709.36974099999998</v>
      </c>
      <c r="R1730" s="71" t="s">
        <v>625</v>
      </c>
      <c r="S1730" s="71">
        <v>7414000005</v>
      </c>
      <c r="AB1730"/>
      <c r="AC1730"/>
    </row>
    <row r="1731" spans="1:29" x14ac:dyDescent="0.25">
      <c r="A1731" t="str">
        <f t="shared" si="27"/>
        <v xml:space="preserve">75017UDIBONO 401115      </v>
      </c>
      <c r="B1731" s="71">
        <v>75017</v>
      </c>
      <c r="C1731" s="71" t="s">
        <v>844</v>
      </c>
      <c r="D1731" s="71" t="s">
        <v>399</v>
      </c>
      <c r="E1731" s="71" t="s">
        <v>623</v>
      </c>
      <c r="F1731" s="71" t="s">
        <v>624</v>
      </c>
      <c r="G1731" s="74">
        <v>3</v>
      </c>
      <c r="H1731" s="72">
        <v>694.41118700000004</v>
      </c>
      <c r="I1731" s="73">
        <v>2083.233561</v>
      </c>
      <c r="J1731" s="72">
        <v>723.26483082666664</v>
      </c>
      <c r="K1731" s="73">
        <v>-86.560931479999994</v>
      </c>
      <c r="L1731" s="74">
        <v>0</v>
      </c>
      <c r="M1731" s="73">
        <v>0</v>
      </c>
      <c r="N1731" s="74">
        <v>0</v>
      </c>
      <c r="O1731" s="73">
        <v>0</v>
      </c>
      <c r="P1731" s="74">
        <v>3</v>
      </c>
      <c r="Q1731" s="73">
        <v>2083.233561</v>
      </c>
      <c r="R1731" s="71" t="s">
        <v>625</v>
      </c>
      <c r="S1731" s="71">
        <v>7414000005</v>
      </c>
      <c r="AB1731"/>
      <c r="AC1731"/>
    </row>
    <row r="1732" spans="1:29" x14ac:dyDescent="0.25">
      <c r="A1732" t="str">
        <f t="shared" si="27"/>
        <v xml:space="preserve">75017UDIBONO 461108      </v>
      </c>
      <c r="B1732" s="71">
        <v>75218</v>
      </c>
      <c r="C1732" s="71" t="s">
        <v>845</v>
      </c>
      <c r="D1732" s="71" t="s">
        <v>376</v>
      </c>
      <c r="E1732" s="71" t="s">
        <v>623</v>
      </c>
      <c r="F1732" s="71" t="s">
        <v>624</v>
      </c>
      <c r="G1732" s="74">
        <v>0</v>
      </c>
      <c r="H1732" s="72">
        <v>0</v>
      </c>
      <c r="I1732" s="73">
        <v>0</v>
      </c>
      <c r="J1732" s="72">
        <v>0</v>
      </c>
      <c r="K1732" s="73">
        <v>0</v>
      </c>
      <c r="L1732" s="74">
        <v>0</v>
      </c>
      <c r="M1732" s="73">
        <v>0</v>
      </c>
      <c r="N1732" s="74">
        <v>0</v>
      </c>
      <c r="O1732" s="73">
        <v>0</v>
      </c>
      <c r="P1732" s="74">
        <v>0</v>
      </c>
      <c r="Q1732" s="73">
        <v>0</v>
      </c>
      <c r="R1732" s="71" t="s">
        <v>625</v>
      </c>
      <c r="S1732" s="71">
        <v>7414000005</v>
      </c>
      <c r="AB1732"/>
      <c r="AC1732"/>
    </row>
    <row r="1733" spans="1:29" x14ac:dyDescent="0.25">
      <c r="A1733" t="str">
        <f t="shared" si="27"/>
        <v xml:space="preserve">75017UDIBONO 501103      </v>
      </c>
      <c r="B1733" s="71">
        <v>75218</v>
      </c>
      <c r="C1733" s="71" t="s">
        <v>845</v>
      </c>
      <c r="D1733" s="71" t="s">
        <v>382</v>
      </c>
      <c r="E1733" s="71" t="s">
        <v>623</v>
      </c>
      <c r="F1733" s="71" t="s">
        <v>624</v>
      </c>
      <c r="G1733" s="74">
        <v>0</v>
      </c>
      <c r="H1733" s="72">
        <v>0</v>
      </c>
      <c r="I1733" s="73">
        <v>0</v>
      </c>
      <c r="J1733" s="72">
        <v>0</v>
      </c>
      <c r="K1733" s="73">
        <v>0</v>
      </c>
      <c r="L1733" s="74">
        <v>0</v>
      </c>
      <c r="M1733" s="73">
        <v>0</v>
      </c>
      <c r="N1733" s="74">
        <v>0</v>
      </c>
      <c r="O1733" s="73">
        <v>0</v>
      </c>
      <c r="P1733" s="74">
        <v>0</v>
      </c>
      <c r="Q1733" s="73">
        <v>0</v>
      </c>
      <c r="R1733" s="71" t="s">
        <v>625</v>
      </c>
      <c r="S1733" s="71">
        <v>7414000005</v>
      </c>
      <c r="AB1733"/>
      <c r="AC1733"/>
    </row>
    <row r="1734" spans="1:29" x14ac:dyDescent="0.25">
      <c r="A1734" t="str">
        <f t="shared" si="27"/>
        <v xml:space="preserve">75218GOBFED 241205       </v>
      </c>
      <c r="B1734" s="71">
        <v>75218</v>
      </c>
      <c r="C1734" s="71" t="s">
        <v>845</v>
      </c>
      <c r="D1734" s="71" t="s">
        <v>396</v>
      </c>
      <c r="E1734" s="71" t="s">
        <v>623</v>
      </c>
      <c r="F1734" s="71" t="s">
        <v>624</v>
      </c>
      <c r="G1734" s="74">
        <v>0</v>
      </c>
      <c r="H1734" s="72">
        <v>0</v>
      </c>
      <c r="I1734" s="73">
        <v>0</v>
      </c>
      <c r="J1734" s="72">
        <v>0</v>
      </c>
      <c r="K1734" s="73">
        <v>0</v>
      </c>
      <c r="L1734" s="74">
        <v>0</v>
      </c>
      <c r="M1734" s="73">
        <v>0</v>
      </c>
      <c r="N1734" s="74">
        <v>0</v>
      </c>
      <c r="O1734" s="73">
        <v>0</v>
      </c>
      <c r="P1734" s="74">
        <v>0</v>
      </c>
      <c r="Q1734" s="73">
        <v>0</v>
      </c>
      <c r="R1734" s="71" t="s">
        <v>625</v>
      </c>
      <c r="S1734" s="71">
        <v>7414000005</v>
      </c>
      <c r="AB1734"/>
      <c r="AC1734"/>
    </row>
    <row r="1735" spans="1:29" x14ac:dyDescent="0.25">
      <c r="A1735" t="str">
        <f t="shared" ref="A1735:A1798" si="28">B1733&amp;D1733</f>
        <v xml:space="preserve">75218GOBFED 310529       </v>
      </c>
      <c r="B1735" s="71">
        <v>75219</v>
      </c>
      <c r="C1735" s="71" t="s">
        <v>846</v>
      </c>
      <c r="D1735" s="71" t="s">
        <v>357</v>
      </c>
      <c r="E1735" s="71" t="s">
        <v>623</v>
      </c>
      <c r="F1735" s="71" t="s">
        <v>624</v>
      </c>
      <c r="G1735" s="74">
        <v>160</v>
      </c>
      <c r="H1735" s="72">
        <v>168.64</v>
      </c>
      <c r="I1735" s="73">
        <v>26982.400000000001</v>
      </c>
      <c r="J1735" s="72">
        <v>151.93293750000001</v>
      </c>
      <c r="K1735" s="73">
        <v>2673.13</v>
      </c>
      <c r="L1735" s="74">
        <v>0</v>
      </c>
      <c r="M1735" s="73">
        <v>0</v>
      </c>
      <c r="N1735" s="74">
        <v>0</v>
      </c>
      <c r="O1735" s="73">
        <v>0</v>
      </c>
      <c r="P1735" s="74">
        <v>160</v>
      </c>
      <c r="Q1735" s="73">
        <v>26982.400000000001</v>
      </c>
      <c r="R1735" s="71" t="s">
        <v>625</v>
      </c>
      <c r="S1735" s="71">
        <v>7414000005</v>
      </c>
      <c r="AB1735"/>
      <c r="AC1735"/>
    </row>
    <row r="1736" spans="1:29" x14ac:dyDescent="0.25">
      <c r="A1736" t="str">
        <f t="shared" si="28"/>
        <v xml:space="preserve">75218UDIBONO 401115      </v>
      </c>
      <c r="B1736" s="71">
        <v>75219</v>
      </c>
      <c r="C1736" s="71" t="s">
        <v>846</v>
      </c>
      <c r="D1736" s="71" t="s">
        <v>506</v>
      </c>
      <c r="E1736" s="71" t="s">
        <v>623</v>
      </c>
      <c r="F1736" s="71" t="s">
        <v>624</v>
      </c>
      <c r="G1736" s="74">
        <v>3870</v>
      </c>
      <c r="H1736" s="72">
        <v>12.48</v>
      </c>
      <c r="I1736" s="73">
        <v>48297.599999999999</v>
      </c>
      <c r="J1736" s="72">
        <v>11.507379844961241</v>
      </c>
      <c r="K1736" s="73">
        <v>3764.04</v>
      </c>
      <c r="L1736" s="74">
        <v>0</v>
      </c>
      <c r="M1736" s="73">
        <v>0</v>
      </c>
      <c r="N1736" s="74">
        <v>0</v>
      </c>
      <c r="O1736" s="73">
        <v>0</v>
      </c>
      <c r="P1736" s="74">
        <v>3870</v>
      </c>
      <c r="Q1736" s="73">
        <v>48297.599999999999</v>
      </c>
      <c r="R1736" s="71" t="s">
        <v>625</v>
      </c>
      <c r="S1736" s="71">
        <v>7414000005</v>
      </c>
      <c r="AB1736"/>
      <c r="AC1736"/>
    </row>
    <row r="1737" spans="1:29" x14ac:dyDescent="0.25">
      <c r="A1737" t="str">
        <f t="shared" si="28"/>
        <v xml:space="preserve">75219AC *                </v>
      </c>
      <c r="B1737" s="71">
        <v>75219</v>
      </c>
      <c r="C1737" s="71" t="s">
        <v>846</v>
      </c>
      <c r="D1737" s="71" t="s">
        <v>359</v>
      </c>
      <c r="E1737" s="71" t="s">
        <v>623</v>
      </c>
      <c r="F1737" s="71" t="s">
        <v>624</v>
      </c>
      <c r="G1737" s="74">
        <v>1070</v>
      </c>
      <c r="H1737" s="72">
        <v>73.37</v>
      </c>
      <c r="I1737" s="73">
        <v>78505.899999999994</v>
      </c>
      <c r="J1737" s="72">
        <v>61.213467289719624</v>
      </c>
      <c r="K1737" s="73">
        <v>13007.49</v>
      </c>
      <c r="L1737" s="74">
        <v>0</v>
      </c>
      <c r="M1737" s="73">
        <v>0</v>
      </c>
      <c r="N1737" s="74">
        <v>0</v>
      </c>
      <c r="O1737" s="73">
        <v>0</v>
      </c>
      <c r="P1737" s="74">
        <v>1070</v>
      </c>
      <c r="Q1737" s="73">
        <v>78505.899999999994</v>
      </c>
      <c r="R1737" s="71" t="s">
        <v>625</v>
      </c>
      <c r="S1737" s="71">
        <v>7414000005</v>
      </c>
      <c r="AB1737"/>
      <c r="AC1737"/>
    </row>
    <row r="1738" spans="1:29" x14ac:dyDescent="0.25">
      <c r="A1738" t="str">
        <f t="shared" si="28"/>
        <v xml:space="preserve">75219ALFA A              </v>
      </c>
      <c r="B1738" s="71">
        <v>75219</v>
      </c>
      <c r="C1738" s="71" t="s">
        <v>846</v>
      </c>
      <c r="D1738" s="71" t="s">
        <v>360</v>
      </c>
      <c r="E1738" s="71" t="s">
        <v>623</v>
      </c>
      <c r="F1738" s="71" t="s">
        <v>624</v>
      </c>
      <c r="G1738" s="74">
        <v>14690</v>
      </c>
      <c r="H1738" s="72">
        <v>15.12</v>
      </c>
      <c r="I1738" s="73">
        <v>222112.8</v>
      </c>
      <c r="J1738" s="72">
        <v>16.88830768550034</v>
      </c>
      <c r="K1738" s="73">
        <v>-25976.439900000001</v>
      </c>
      <c r="L1738" s="74">
        <v>0</v>
      </c>
      <c r="M1738" s="73">
        <v>0</v>
      </c>
      <c r="N1738" s="74">
        <v>0</v>
      </c>
      <c r="O1738" s="73">
        <v>0</v>
      </c>
      <c r="P1738" s="74">
        <v>14690</v>
      </c>
      <c r="Q1738" s="73">
        <v>222112.8</v>
      </c>
      <c r="R1738" s="71" t="s">
        <v>625</v>
      </c>
      <c r="S1738" s="71">
        <v>7414000005</v>
      </c>
      <c r="AB1738"/>
      <c r="AC1738"/>
    </row>
    <row r="1739" spans="1:29" x14ac:dyDescent="0.25">
      <c r="A1739" t="str">
        <f t="shared" si="28"/>
        <v xml:space="preserve">75219ALSEA *             </v>
      </c>
      <c r="B1739" s="71">
        <v>75219</v>
      </c>
      <c r="C1739" s="71" t="s">
        <v>846</v>
      </c>
      <c r="D1739" s="71" t="s">
        <v>551</v>
      </c>
      <c r="E1739" s="71" t="s">
        <v>623</v>
      </c>
      <c r="F1739" s="71" t="s">
        <v>624</v>
      </c>
      <c r="G1739" s="74">
        <v>190</v>
      </c>
      <c r="H1739" s="72">
        <v>525.09</v>
      </c>
      <c r="I1739" s="73">
        <v>99767.1</v>
      </c>
      <c r="J1739" s="72">
        <v>517.22252631578942</v>
      </c>
      <c r="K1739" s="73">
        <v>1494.82</v>
      </c>
      <c r="L1739" s="74">
        <v>0</v>
      </c>
      <c r="M1739" s="73">
        <v>0</v>
      </c>
      <c r="N1739" s="74">
        <v>0</v>
      </c>
      <c r="O1739" s="73">
        <v>0</v>
      </c>
      <c r="P1739" s="74">
        <v>190</v>
      </c>
      <c r="Q1739" s="73">
        <v>99767.1</v>
      </c>
      <c r="R1739" s="71" t="s">
        <v>625</v>
      </c>
      <c r="S1739" s="71">
        <v>7414000005</v>
      </c>
      <c r="AB1739"/>
      <c r="AC1739"/>
    </row>
    <row r="1740" spans="1:29" x14ac:dyDescent="0.25">
      <c r="A1740" t="str">
        <f t="shared" si="28"/>
        <v xml:space="preserve">75219AMX B               </v>
      </c>
      <c r="B1740" s="71">
        <v>75219</v>
      </c>
      <c r="C1740" s="71" t="s">
        <v>846</v>
      </c>
      <c r="D1740" s="71" t="s">
        <v>361</v>
      </c>
      <c r="E1740" s="71" t="s">
        <v>623</v>
      </c>
      <c r="F1740" s="71" t="s">
        <v>624</v>
      </c>
      <c r="G1740" s="74">
        <v>520</v>
      </c>
      <c r="H1740" s="72">
        <v>68.25</v>
      </c>
      <c r="I1740" s="73">
        <v>35490</v>
      </c>
      <c r="J1740" s="72">
        <v>79.080423076923083</v>
      </c>
      <c r="K1740" s="73">
        <v>-5631.82</v>
      </c>
      <c r="L1740" s="74">
        <v>0</v>
      </c>
      <c r="M1740" s="73">
        <v>0</v>
      </c>
      <c r="N1740" s="74">
        <v>0</v>
      </c>
      <c r="O1740" s="73">
        <v>0</v>
      </c>
      <c r="P1740" s="74">
        <v>520</v>
      </c>
      <c r="Q1740" s="73">
        <v>35490</v>
      </c>
      <c r="R1740" s="71" t="s">
        <v>625</v>
      </c>
      <c r="S1740" s="71">
        <v>7414000005</v>
      </c>
      <c r="AB1740"/>
      <c r="AC1740"/>
    </row>
    <row r="1741" spans="1:29" x14ac:dyDescent="0.25">
      <c r="A1741" t="str">
        <f t="shared" si="28"/>
        <v xml:space="preserve">75219ASUR B              </v>
      </c>
      <c r="B1741" s="71">
        <v>75219</v>
      </c>
      <c r="C1741" s="71" t="s">
        <v>846</v>
      </c>
      <c r="D1741" s="71" t="s">
        <v>362</v>
      </c>
      <c r="E1741" s="71" t="s">
        <v>623</v>
      </c>
      <c r="F1741" s="71" t="s">
        <v>624</v>
      </c>
      <c r="G1741" s="74">
        <v>13160</v>
      </c>
      <c r="H1741" s="72">
        <v>14.33</v>
      </c>
      <c r="I1741" s="73">
        <v>188582.8</v>
      </c>
      <c r="J1741" s="72">
        <v>11.973391337386019</v>
      </c>
      <c r="K1741" s="73">
        <v>31012.97</v>
      </c>
      <c r="L1741" s="74">
        <v>0</v>
      </c>
      <c r="M1741" s="73">
        <v>0</v>
      </c>
      <c r="N1741" s="74">
        <v>0</v>
      </c>
      <c r="O1741" s="73">
        <v>0</v>
      </c>
      <c r="P1741" s="74">
        <v>13160</v>
      </c>
      <c r="Q1741" s="73">
        <v>188582.8</v>
      </c>
      <c r="R1741" s="71" t="s">
        <v>625</v>
      </c>
      <c r="S1741" s="71">
        <v>7414000005</v>
      </c>
      <c r="AB1741"/>
      <c r="AC1741"/>
    </row>
    <row r="1742" spans="1:29" x14ac:dyDescent="0.25">
      <c r="A1742" t="str">
        <f t="shared" si="28"/>
        <v xml:space="preserve">75219BIMBO A             </v>
      </c>
      <c r="B1742" s="71">
        <v>75219</v>
      </c>
      <c r="C1742" s="71" t="s">
        <v>846</v>
      </c>
      <c r="D1742" s="71" t="s">
        <v>409</v>
      </c>
      <c r="E1742" s="71" t="s">
        <v>623</v>
      </c>
      <c r="F1742" s="71" t="s">
        <v>624</v>
      </c>
      <c r="G1742" s="74">
        <v>92910</v>
      </c>
      <c r="H1742" s="72">
        <v>9.3381629999999998</v>
      </c>
      <c r="I1742" s="73">
        <v>867608.72433</v>
      </c>
      <c r="J1742" s="72">
        <v>8.3307969100000001</v>
      </c>
      <c r="K1742" s="73">
        <v>93594.383421899998</v>
      </c>
      <c r="L1742" s="74">
        <v>0</v>
      </c>
      <c r="M1742" s="73">
        <v>0</v>
      </c>
      <c r="N1742" s="74">
        <v>0</v>
      </c>
      <c r="O1742" s="73">
        <v>0</v>
      </c>
      <c r="P1742" s="74">
        <v>92910</v>
      </c>
      <c r="Q1742" s="73">
        <v>867608.72433</v>
      </c>
      <c r="R1742" s="71" t="s">
        <v>625</v>
      </c>
      <c r="S1742" s="71">
        <v>7414000005</v>
      </c>
      <c r="AB1742"/>
      <c r="AC1742"/>
    </row>
    <row r="1743" spans="1:29" x14ac:dyDescent="0.25">
      <c r="A1743" t="str">
        <f t="shared" si="28"/>
        <v xml:space="preserve">75219CEMEX CPO           </v>
      </c>
      <c r="B1743" s="71">
        <v>75219</v>
      </c>
      <c r="C1743" s="71" t="s">
        <v>846</v>
      </c>
      <c r="D1743" s="71" t="s">
        <v>370</v>
      </c>
      <c r="E1743" s="71" t="s">
        <v>623</v>
      </c>
      <c r="F1743" s="71" t="s">
        <v>624</v>
      </c>
      <c r="G1743" s="74">
        <v>80</v>
      </c>
      <c r="H1743" s="72">
        <v>271.94</v>
      </c>
      <c r="I1743" s="73">
        <v>21755.200000000001</v>
      </c>
      <c r="J1743" s="72">
        <v>308.26662499999998</v>
      </c>
      <c r="K1743" s="73">
        <v>-2906.13</v>
      </c>
      <c r="L1743" s="74">
        <v>0</v>
      </c>
      <c r="M1743" s="73">
        <v>0</v>
      </c>
      <c r="N1743" s="74">
        <v>0</v>
      </c>
      <c r="O1743" s="73">
        <v>0</v>
      </c>
      <c r="P1743" s="74">
        <v>80</v>
      </c>
      <c r="Q1743" s="73">
        <v>21755.200000000001</v>
      </c>
      <c r="R1743" s="71" t="s">
        <v>625</v>
      </c>
      <c r="S1743" s="71">
        <v>7414000005</v>
      </c>
      <c r="AB1743"/>
      <c r="AC1743"/>
    </row>
    <row r="1744" spans="1:29" x14ac:dyDescent="0.25">
      <c r="A1744" t="str">
        <f t="shared" si="28"/>
        <v xml:space="preserve">75219CETES 241128        </v>
      </c>
      <c r="B1744" s="71">
        <v>75219</v>
      </c>
      <c r="C1744" s="71" t="s">
        <v>846</v>
      </c>
      <c r="D1744" s="71" t="s">
        <v>371</v>
      </c>
      <c r="E1744" s="71" t="s">
        <v>623</v>
      </c>
      <c r="F1744" s="71" t="s">
        <v>624</v>
      </c>
      <c r="G1744" s="74">
        <v>510</v>
      </c>
      <c r="H1744" s="72">
        <v>193.15</v>
      </c>
      <c r="I1744" s="73">
        <v>98506.5</v>
      </c>
      <c r="J1744" s="72">
        <v>155.03731372549021</v>
      </c>
      <c r="K1744" s="73">
        <v>19437.47</v>
      </c>
      <c r="L1744" s="74">
        <v>0</v>
      </c>
      <c r="M1744" s="73">
        <v>0</v>
      </c>
      <c r="N1744" s="74">
        <v>0</v>
      </c>
      <c r="O1744" s="73">
        <v>0</v>
      </c>
      <c r="P1744" s="74">
        <v>510</v>
      </c>
      <c r="Q1744" s="73">
        <v>98506.5</v>
      </c>
      <c r="R1744" s="71" t="s">
        <v>625</v>
      </c>
      <c r="S1744" s="71">
        <v>7414000005</v>
      </c>
      <c r="AB1744"/>
      <c r="AC1744"/>
    </row>
    <row r="1745" spans="1:29" x14ac:dyDescent="0.25">
      <c r="A1745" t="str">
        <f t="shared" si="28"/>
        <v xml:space="preserve">75219GAP B               </v>
      </c>
      <c r="B1745" s="71">
        <v>75219</v>
      </c>
      <c r="C1745" s="71" t="s">
        <v>846</v>
      </c>
      <c r="D1745" s="71" t="s">
        <v>372</v>
      </c>
      <c r="E1745" s="71" t="s">
        <v>623</v>
      </c>
      <c r="F1745" s="71" t="s">
        <v>624</v>
      </c>
      <c r="G1745" s="74">
        <v>2280</v>
      </c>
      <c r="H1745" s="72">
        <v>27.12</v>
      </c>
      <c r="I1745" s="73">
        <v>61833.599999999999</v>
      </c>
      <c r="J1745" s="72">
        <v>19.816337719298247</v>
      </c>
      <c r="K1745" s="73">
        <v>16652.349999999999</v>
      </c>
      <c r="L1745" s="74">
        <v>0</v>
      </c>
      <c r="M1745" s="73">
        <v>0</v>
      </c>
      <c r="N1745" s="74">
        <v>0</v>
      </c>
      <c r="O1745" s="73">
        <v>0</v>
      </c>
      <c r="P1745" s="74">
        <v>2280</v>
      </c>
      <c r="Q1745" s="73">
        <v>61833.599999999999</v>
      </c>
      <c r="R1745" s="71" t="s">
        <v>625</v>
      </c>
      <c r="S1745" s="71">
        <v>7414000005</v>
      </c>
      <c r="AB1745"/>
      <c r="AC1745"/>
    </row>
    <row r="1746" spans="1:29" x14ac:dyDescent="0.25">
      <c r="A1746" t="str">
        <f t="shared" si="28"/>
        <v xml:space="preserve">75219GCC *               </v>
      </c>
      <c r="B1746" s="71">
        <v>75219</v>
      </c>
      <c r="C1746" s="71" t="s">
        <v>846</v>
      </c>
      <c r="D1746" s="71" t="s">
        <v>373</v>
      </c>
      <c r="E1746" s="71" t="s">
        <v>623</v>
      </c>
      <c r="F1746" s="71" t="s">
        <v>624</v>
      </c>
      <c r="G1746" s="74">
        <v>1700</v>
      </c>
      <c r="H1746" s="72">
        <v>176.44</v>
      </c>
      <c r="I1746" s="73">
        <v>299948</v>
      </c>
      <c r="J1746" s="72">
        <v>149.10319411764706</v>
      </c>
      <c r="K1746" s="73">
        <v>46472.57</v>
      </c>
      <c r="L1746" s="74">
        <v>0</v>
      </c>
      <c r="M1746" s="73">
        <v>0</v>
      </c>
      <c r="N1746" s="74">
        <v>0</v>
      </c>
      <c r="O1746" s="73">
        <v>0</v>
      </c>
      <c r="P1746" s="74">
        <v>1700</v>
      </c>
      <c r="Q1746" s="73">
        <v>299948</v>
      </c>
      <c r="R1746" s="71" t="s">
        <v>625</v>
      </c>
      <c r="S1746" s="71">
        <v>7414000005</v>
      </c>
      <c r="AB1746"/>
      <c r="AC1746"/>
    </row>
    <row r="1747" spans="1:29" x14ac:dyDescent="0.25">
      <c r="A1747" t="str">
        <f t="shared" si="28"/>
        <v xml:space="preserve">75219GENTERA *           </v>
      </c>
      <c r="B1747" s="71">
        <v>75219</v>
      </c>
      <c r="C1747" s="71" t="s">
        <v>846</v>
      </c>
      <c r="D1747" s="71" t="s">
        <v>374</v>
      </c>
      <c r="E1747" s="71" t="s">
        <v>623</v>
      </c>
      <c r="F1747" s="71" t="s">
        <v>624</v>
      </c>
      <c r="G1747" s="74">
        <v>2140</v>
      </c>
      <c r="H1747" s="72">
        <v>104.12</v>
      </c>
      <c r="I1747" s="73">
        <v>222816.8</v>
      </c>
      <c r="J1747" s="72">
        <v>82.153672897196259</v>
      </c>
      <c r="K1747" s="73">
        <v>47007.94</v>
      </c>
      <c r="L1747" s="74">
        <v>0</v>
      </c>
      <c r="M1747" s="73">
        <v>0</v>
      </c>
      <c r="N1747" s="74">
        <v>0</v>
      </c>
      <c r="O1747" s="73">
        <v>0</v>
      </c>
      <c r="P1747" s="74">
        <v>2140</v>
      </c>
      <c r="Q1747" s="73">
        <v>222816.8</v>
      </c>
      <c r="R1747" s="71" t="s">
        <v>625</v>
      </c>
      <c r="S1747" s="71">
        <v>7414000005</v>
      </c>
      <c r="AB1747"/>
      <c r="AC1747"/>
    </row>
    <row r="1748" spans="1:29" x14ac:dyDescent="0.25">
      <c r="A1748" t="str">
        <f t="shared" si="28"/>
        <v xml:space="preserve">75219GFNORTE O           </v>
      </c>
      <c r="B1748" s="71">
        <v>75219</v>
      </c>
      <c r="C1748" s="71" t="s">
        <v>846</v>
      </c>
      <c r="D1748" s="71" t="s">
        <v>375</v>
      </c>
      <c r="E1748" s="71" t="s">
        <v>623</v>
      </c>
      <c r="F1748" s="71" t="s">
        <v>624</v>
      </c>
      <c r="G1748" s="74">
        <v>4990</v>
      </c>
      <c r="H1748" s="72">
        <v>98.730349000000004</v>
      </c>
      <c r="I1748" s="73">
        <v>492664.44150999998</v>
      </c>
      <c r="J1748" s="72">
        <v>107.55063955478958</v>
      </c>
      <c r="K1748" s="73">
        <v>-44013.249868400002</v>
      </c>
      <c r="L1748" s="74">
        <v>0</v>
      </c>
      <c r="M1748" s="73">
        <v>0</v>
      </c>
      <c r="N1748" s="74">
        <v>0</v>
      </c>
      <c r="O1748" s="73">
        <v>0</v>
      </c>
      <c r="P1748" s="74">
        <v>4990</v>
      </c>
      <c r="Q1748" s="73">
        <v>492664.44150999998</v>
      </c>
      <c r="R1748" s="71" t="s">
        <v>625</v>
      </c>
      <c r="S1748" s="71">
        <v>7414000005</v>
      </c>
      <c r="AB1748"/>
      <c r="AC1748"/>
    </row>
    <row r="1749" spans="1:29" x14ac:dyDescent="0.25">
      <c r="A1749" t="str">
        <f t="shared" si="28"/>
        <v xml:space="preserve">75219GMEXICO B           </v>
      </c>
      <c r="B1749" s="71">
        <v>75219</v>
      </c>
      <c r="C1749" s="71" t="s">
        <v>846</v>
      </c>
      <c r="D1749" s="71" t="s">
        <v>376</v>
      </c>
      <c r="E1749" s="71" t="s">
        <v>623</v>
      </c>
      <c r="F1749" s="71" t="s">
        <v>624</v>
      </c>
      <c r="G1749" s="74">
        <v>1321</v>
      </c>
      <c r="H1749" s="72">
        <v>99.247497999999993</v>
      </c>
      <c r="I1749" s="73">
        <v>131105.944858</v>
      </c>
      <c r="J1749" s="72">
        <v>28.061871944776684</v>
      </c>
      <c r="K1749" s="73">
        <v>168175.67769705001</v>
      </c>
      <c r="L1749" s="74">
        <v>0</v>
      </c>
      <c r="M1749" s="73">
        <v>0</v>
      </c>
      <c r="N1749" s="74">
        <v>0</v>
      </c>
      <c r="O1749" s="73">
        <v>0</v>
      </c>
      <c r="P1749" s="74">
        <v>1321</v>
      </c>
      <c r="Q1749" s="73">
        <v>131105.944858</v>
      </c>
      <c r="R1749" s="71" t="s">
        <v>625</v>
      </c>
      <c r="S1749" s="71">
        <v>7414000005</v>
      </c>
      <c r="AB1749"/>
      <c r="AC1749"/>
    </row>
    <row r="1750" spans="1:29" x14ac:dyDescent="0.25">
      <c r="A1750" t="str">
        <f t="shared" si="28"/>
        <v xml:space="preserve">75219GOBFED 240905       </v>
      </c>
      <c r="B1750" s="71">
        <v>75219</v>
      </c>
      <c r="C1750" s="71" t="s">
        <v>846</v>
      </c>
      <c r="D1750" s="71" t="s">
        <v>377</v>
      </c>
      <c r="E1750" s="71" t="s">
        <v>623</v>
      </c>
      <c r="F1750" s="71" t="s">
        <v>624</v>
      </c>
      <c r="G1750" s="74">
        <v>5320</v>
      </c>
      <c r="H1750" s="72">
        <v>94.973146999999997</v>
      </c>
      <c r="I1750" s="73">
        <v>505257.14204000001</v>
      </c>
      <c r="J1750" s="72">
        <v>89.982256403590227</v>
      </c>
      <c r="K1750" s="73">
        <v>26551.537972900001</v>
      </c>
      <c r="L1750" s="74">
        <v>0</v>
      </c>
      <c r="M1750" s="73">
        <v>0</v>
      </c>
      <c r="N1750" s="74">
        <v>0</v>
      </c>
      <c r="O1750" s="73">
        <v>0</v>
      </c>
      <c r="P1750" s="74">
        <v>5320</v>
      </c>
      <c r="Q1750" s="73">
        <v>505257.14204000001</v>
      </c>
      <c r="R1750" s="71" t="s">
        <v>625</v>
      </c>
      <c r="S1750" s="71">
        <v>7414000005</v>
      </c>
      <c r="AB1750"/>
      <c r="AC1750"/>
    </row>
    <row r="1751" spans="1:29" x14ac:dyDescent="0.25">
      <c r="A1751" t="str">
        <f t="shared" si="28"/>
        <v xml:space="preserve">75219GOBFED 241205       </v>
      </c>
      <c r="B1751" s="71">
        <v>75219</v>
      </c>
      <c r="C1751" s="71" t="s">
        <v>846</v>
      </c>
      <c r="D1751" s="71" t="s">
        <v>378</v>
      </c>
      <c r="E1751" s="71" t="s">
        <v>623</v>
      </c>
      <c r="F1751" s="71" t="s">
        <v>624</v>
      </c>
      <c r="G1751" s="74">
        <v>3051</v>
      </c>
      <c r="H1751" s="72">
        <v>91.911821000000003</v>
      </c>
      <c r="I1751" s="73">
        <v>280422.96587100002</v>
      </c>
      <c r="J1751" s="72">
        <v>93.2088459</v>
      </c>
      <c r="K1751" s="73">
        <v>-3957.2229699</v>
      </c>
      <c r="L1751" s="74">
        <v>0</v>
      </c>
      <c r="M1751" s="73">
        <v>0</v>
      </c>
      <c r="N1751" s="74">
        <v>0</v>
      </c>
      <c r="O1751" s="73">
        <v>0</v>
      </c>
      <c r="P1751" s="74">
        <v>3051</v>
      </c>
      <c r="Q1751" s="73">
        <v>280422.96587100002</v>
      </c>
      <c r="R1751" s="71" t="s">
        <v>625</v>
      </c>
      <c r="S1751" s="71">
        <v>7414000005</v>
      </c>
      <c r="AB1751"/>
      <c r="AC1751"/>
    </row>
    <row r="1752" spans="1:29" x14ac:dyDescent="0.25">
      <c r="A1752" t="str">
        <f t="shared" si="28"/>
        <v xml:space="preserve">75219GOBFED 250306       </v>
      </c>
      <c r="B1752" s="71">
        <v>75219</v>
      </c>
      <c r="C1752" s="71" t="s">
        <v>846</v>
      </c>
      <c r="D1752" s="71" t="s">
        <v>379</v>
      </c>
      <c r="E1752" s="71" t="s">
        <v>623</v>
      </c>
      <c r="F1752" s="71" t="s">
        <v>624</v>
      </c>
      <c r="G1752" s="74">
        <v>5564</v>
      </c>
      <c r="H1752" s="72">
        <v>88.698122999999995</v>
      </c>
      <c r="I1752" s="73">
        <v>493516.35637200001</v>
      </c>
      <c r="J1752" s="72">
        <v>88.428377748727527</v>
      </c>
      <c r="K1752" s="73">
        <v>1500.86257808</v>
      </c>
      <c r="L1752" s="74">
        <v>0</v>
      </c>
      <c r="M1752" s="73">
        <v>0</v>
      </c>
      <c r="N1752" s="74">
        <v>0</v>
      </c>
      <c r="O1752" s="73">
        <v>0</v>
      </c>
      <c r="P1752" s="74">
        <v>5564</v>
      </c>
      <c r="Q1752" s="73">
        <v>493516.35637200001</v>
      </c>
      <c r="R1752" s="71" t="s">
        <v>625</v>
      </c>
      <c r="S1752" s="71">
        <v>7414000005</v>
      </c>
      <c r="AB1752"/>
      <c r="AC1752"/>
    </row>
    <row r="1753" spans="1:29" x14ac:dyDescent="0.25">
      <c r="A1753" t="str">
        <f t="shared" si="28"/>
        <v xml:space="preserve">75219GOBFED 260305       </v>
      </c>
      <c r="B1753" s="71">
        <v>75219</v>
      </c>
      <c r="C1753" s="71" t="s">
        <v>846</v>
      </c>
      <c r="D1753" s="71" t="s">
        <v>380</v>
      </c>
      <c r="E1753" s="71" t="s">
        <v>623</v>
      </c>
      <c r="F1753" s="71" t="s">
        <v>624</v>
      </c>
      <c r="G1753" s="74">
        <v>3909</v>
      </c>
      <c r="H1753" s="72">
        <v>93.314192000000006</v>
      </c>
      <c r="I1753" s="73">
        <v>364765.17652799998</v>
      </c>
      <c r="J1753" s="72">
        <v>100.18644899711691</v>
      </c>
      <c r="K1753" s="73">
        <v>-26863.652601729998</v>
      </c>
      <c r="L1753" s="74">
        <v>0</v>
      </c>
      <c r="M1753" s="73">
        <v>0</v>
      </c>
      <c r="N1753" s="74">
        <v>0</v>
      </c>
      <c r="O1753" s="73">
        <v>0</v>
      </c>
      <c r="P1753" s="74">
        <v>3909</v>
      </c>
      <c r="Q1753" s="73">
        <v>364765.17652799998</v>
      </c>
      <c r="R1753" s="71" t="s">
        <v>625</v>
      </c>
      <c r="S1753" s="71">
        <v>7414000005</v>
      </c>
      <c r="AB1753"/>
      <c r="AC1753"/>
    </row>
    <row r="1754" spans="1:29" x14ac:dyDescent="0.25">
      <c r="A1754" t="str">
        <f t="shared" si="28"/>
        <v xml:space="preserve">75219GOBFED 270304       </v>
      </c>
      <c r="B1754" s="71">
        <v>75219</v>
      </c>
      <c r="C1754" s="71" t="s">
        <v>846</v>
      </c>
      <c r="D1754" s="71" t="s">
        <v>381</v>
      </c>
      <c r="E1754" s="71" t="s">
        <v>623</v>
      </c>
      <c r="F1754" s="71" t="s">
        <v>624</v>
      </c>
      <c r="G1754" s="74">
        <v>14699</v>
      </c>
      <c r="H1754" s="72">
        <v>94.870157000000006</v>
      </c>
      <c r="I1754" s="73">
        <v>1394496.437743</v>
      </c>
      <c r="J1754" s="72">
        <v>97.301623267432475</v>
      </c>
      <c r="K1754" s="73">
        <v>-35740.122664989998</v>
      </c>
      <c r="L1754" s="74">
        <v>0</v>
      </c>
      <c r="M1754" s="73">
        <v>0</v>
      </c>
      <c r="N1754" s="74">
        <v>0</v>
      </c>
      <c r="O1754" s="73">
        <v>0</v>
      </c>
      <c r="P1754" s="74">
        <v>14699</v>
      </c>
      <c r="Q1754" s="73">
        <v>1394496.437743</v>
      </c>
      <c r="R1754" s="71" t="s">
        <v>625</v>
      </c>
      <c r="S1754" s="71">
        <v>7414000005</v>
      </c>
      <c r="AB1754"/>
      <c r="AC1754"/>
    </row>
    <row r="1755" spans="1:29" x14ac:dyDescent="0.25">
      <c r="A1755" t="str">
        <f t="shared" si="28"/>
        <v xml:space="preserve">75219GOBFED 270603       </v>
      </c>
      <c r="B1755" s="71">
        <v>75219</v>
      </c>
      <c r="C1755" s="71" t="s">
        <v>846</v>
      </c>
      <c r="D1755" s="71" t="s">
        <v>382</v>
      </c>
      <c r="E1755" s="71" t="s">
        <v>623</v>
      </c>
      <c r="F1755" s="71" t="s">
        <v>624</v>
      </c>
      <c r="G1755" s="74">
        <v>67</v>
      </c>
      <c r="H1755" s="72">
        <v>89.489464999999996</v>
      </c>
      <c r="I1755" s="73">
        <v>5995.7941549999996</v>
      </c>
      <c r="J1755" s="72">
        <v>140.25098242149252</v>
      </c>
      <c r="K1755" s="73">
        <v>15392.609977239999</v>
      </c>
      <c r="L1755" s="74">
        <v>0</v>
      </c>
      <c r="M1755" s="73">
        <v>0</v>
      </c>
      <c r="N1755" s="74">
        <v>0</v>
      </c>
      <c r="O1755" s="73">
        <v>0</v>
      </c>
      <c r="P1755" s="74">
        <v>67</v>
      </c>
      <c r="Q1755" s="73">
        <v>5995.7941549999996</v>
      </c>
      <c r="R1755" s="71" t="s">
        <v>625</v>
      </c>
      <c r="S1755" s="71">
        <v>7414000005</v>
      </c>
      <c r="AB1755"/>
      <c r="AC1755"/>
    </row>
    <row r="1756" spans="1:29" x14ac:dyDescent="0.25">
      <c r="A1756" t="str">
        <f t="shared" si="28"/>
        <v xml:space="preserve">75219GOBFED 290531       </v>
      </c>
      <c r="B1756" s="71">
        <v>75219</v>
      </c>
      <c r="C1756" s="71" t="s">
        <v>846</v>
      </c>
      <c r="D1756" s="71" t="s">
        <v>383</v>
      </c>
      <c r="E1756" s="71" t="s">
        <v>623</v>
      </c>
      <c r="F1756" s="71" t="s">
        <v>624</v>
      </c>
      <c r="G1756" s="74">
        <v>8610</v>
      </c>
      <c r="H1756" s="72">
        <v>86.197128000000006</v>
      </c>
      <c r="I1756" s="73">
        <v>742157.27208000002</v>
      </c>
      <c r="J1756" s="72">
        <v>90.244415667770028</v>
      </c>
      <c r="K1756" s="73">
        <v>-34847.146819499998</v>
      </c>
      <c r="L1756" s="74">
        <v>0</v>
      </c>
      <c r="M1756" s="73">
        <v>0</v>
      </c>
      <c r="N1756" s="74">
        <v>0</v>
      </c>
      <c r="O1756" s="73">
        <v>0</v>
      </c>
      <c r="P1756" s="74">
        <v>8610</v>
      </c>
      <c r="Q1756" s="73">
        <v>742157.27208000002</v>
      </c>
      <c r="R1756" s="71" t="s">
        <v>625</v>
      </c>
      <c r="S1756" s="71">
        <v>7414000005</v>
      </c>
      <c r="AB1756"/>
      <c r="AC1756"/>
    </row>
    <row r="1757" spans="1:29" x14ac:dyDescent="0.25">
      <c r="A1757" t="str">
        <f t="shared" si="28"/>
        <v xml:space="preserve">75219GOBFED 310529       </v>
      </c>
      <c r="B1757" s="71">
        <v>75219</v>
      </c>
      <c r="C1757" s="71" t="s">
        <v>846</v>
      </c>
      <c r="D1757" s="71" t="s">
        <v>427</v>
      </c>
      <c r="E1757" s="71" t="s">
        <v>623</v>
      </c>
      <c r="F1757" s="71" t="s">
        <v>624</v>
      </c>
      <c r="G1757" s="74">
        <v>11652</v>
      </c>
      <c r="H1757" s="72">
        <v>86.469353999999996</v>
      </c>
      <c r="I1757" s="73">
        <v>1007540.912808</v>
      </c>
      <c r="J1757" s="72">
        <v>91.173060342068311</v>
      </c>
      <c r="K1757" s="73">
        <v>-54807.586297779999</v>
      </c>
      <c r="L1757" s="74">
        <v>0</v>
      </c>
      <c r="M1757" s="73">
        <v>0</v>
      </c>
      <c r="N1757" s="74">
        <v>0</v>
      </c>
      <c r="O1757" s="73">
        <v>0</v>
      </c>
      <c r="P1757" s="74">
        <v>11652</v>
      </c>
      <c r="Q1757" s="73">
        <v>1007540.912808</v>
      </c>
      <c r="R1757" s="71" t="s">
        <v>625</v>
      </c>
      <c r="S1757" s="71">
        <v>7414000005</v>
      </c>
      <c r="AB1757"/>
      <c r="AC1757"/>
    </row>
    <row r="1758" spans="1:29" x14ac:dyDescent="0.25">
      <c r="A1758" t="str">
        <f t="shared" si="28"/>
        <v xml:space="preserve">75219GOBFED 330526       </v>
      </c>
      <c r="B1758" s="71">
        <v>75219</v>
      </c>
      <c r="C1758" s="71" t="s">
        <v>846</v>
      </c>
      <c r="D1758" s="71" t="s">
        <v>418</v>
      </c>
      <c r="E1758" s="71" t="s">
        <v>623</v>
      </c>
      <c r="F1758" s="71" t="s">
        <v>624</v>
      </c>
      <c r="G1758" s="74">
        <v>411</v>
      </c>
      <c r="H1758" s="72">
        <v>101.45096599999999</v>
      </c>
      <c r="I1758" s="73">
        <v>41696.347026000003</v>
      </c>
      <c r="J1758" s="72">
        <v>114.11447106</v>
      </c>
      <c r="K1758" s="73">
        <v>-5204.7005796599997</v>
      </c>
      <c r="L1758" s="74">
        <v>0</v>
      </c>
      <c r="M1758" s="73">
        <v>0</v>
      </c>
      <c r="N1758" s="74">
        <v>0</v>
      </c>
      <c r="O1758" s="73">
        <v>0</v>
      </c>
      <c r="P1758" s="74">
        <v>411</v>
      </c>
      <c r="Q1758" s="73">
        <v>41696.347026000003</v>
      </c>
      <c r="R1758" s="71" t="s">
        <v>625</v>
      </c>
      <c r="S1758" s="71">
        <v>7414000005</v>
      </c>
      <c r="AB1758"/>
      <c r="AC1758"/>
    </row>
    <row r="1759" spans="1:29" x14ac:dyDescent="0.25">
      <c r="A1759" t="str">
        <f t="shared" si="28"/>
        <v xml:space="preserve">75219GOBFED 341123       </v>
      </c>
      <c r="B1759" s="71">
        <v>75219</v>
      </c>
      <c r="C1759" s="71" t="s">
        <v>846</v>
      </c>
      <c r="D1759" s="71" t="s">
        <v>408</v>
      </c>
      <c r="E1759" s="71" t="s">
        <v>623</v>
      </c>
      <c r="F1759" s="71" t="s">
        <v>624</v>
      </c>
      <c r="G1759" s="74">
        <v>327</v>
      </c>
      <c r="H1759" s="72">
        <v>89.643172000000007</v>
      </c>
      <c r="I1759" s="73">
        <v>29313.317244000002</v>
      </c>
      <c r="J1759" s="72">
        <v>108.47711812999999</v>
      </c>
      <c r="K1759" s="73">
        <v>-6158.7003845099998</v>
      </c>
      <c r="L1759" s="74">
        <v>0</v>
      </c>
      <c r="M1759" s="73">
        <v>0</v>
      </c>
      <c r="N1759" s="74">
        <v>0</v>
      </c>
      <c r="O1759" s="73">
        <v>0</v>
      </c>
      <c r="P1759" s="74">
        <v>327</v>
      </c>
      <c r="Q1759" s="73">
        <v>29313.317244000002</v>
      </c>
      <c r="R1759" s="71" t="s">
        <v>625</v>
      </c>
      <c r="S1759" s="71">
        <v>7414000005</v>
      </c>
      <c r="AB1759"/>
      <c r="AC1759"/>
    </row>
    <row r="1760" spans="1:29" x14ac:dyDescent="0.25">
      <c r="A1760" t="str">
        <f t="shared" si="28"/>
        <v xml:space="preserve">75219GOBFED 361120       </v>
      </c>
      <c r="B1760" s="71">
        <v>75219</v>
      </c>
      <c r="C1760" s="71" t="s">
        <v>846</v>
      </c>
      <c r="D1760" s="71" t="s">
        <v>384</v>
      </c>
      <c r="E1760" s="71" t="s">
        <v>623</v>
      </c>
      <c r="F1760" s="71" t="s">
        <v>624</v>
      </c>
      <c r="G1760" s="74">
        <v>8295</v>
      </c>
      <c r="H1760" s="72">
        <v>81.738860000000003</v>
      </c>
      <c r="I1760" s="73">
        <v>678023.84369999997</v>
      </c>
      <c r="J1760" s="72">
        <v>84.352152406641352</v>
      </c>
      <c r="K1760" s="73">
        <v>-21677.260513090001</v>
      </c>
      <c r="L1760" s="74">
        <v>0</v>
      </c>
      <c r="M1760" s="73">
        <v>0</v>
      </c>
      <c r="N1760" s="74">
        <v>0</v>
      </c>
      <c r="O1760" s="73">
        <v>0</v>
      </c>
      <c r="P1760" s="74">
        <v>8295</v>
      </c>
      <c r="Q1760" s="73">
        <v>678023.84369999997</v>
      </c>
      <c r="R1760" s="71" t="s">
        <v>625</v>
      </c>
      <c r="S1760" s="71">
        <v>7414000005</v>
      </c>
      <c r="AB1760"/>
      <c r="AC1760"/>
    </row>
    <row r="1761" spans="1:29" x14ac:dyDescent="0.25">
      <c r="A1761" t="str">
        <f t="shared" si="28"/>
        <v xml:space="preserve">75219GOBFED 381118       </v>
      </c>
      <c r="B1761" s="71">
        <v>75219</v>
      </c>
      <c r="C1761" s="71" t="s">
        <v>846</v>
      </c>
      <c r="D1761" s="71" t="s">
        <v>385</v>
      </c>
      <c r="E1761" s="71" t="s">
        <v>623</v>
      </c>
      <c r="F1761" s="71" t="s">
        <v>624</v>
      </c>
      <c r="G1761" s="74">
        <v>1440</v>
      </c>
      <c r="H1761" s="72">
        <v>83.200761</v>
      </c>
      <c r="I1761" s="73">
        <v>119809.09583999999</v>
      </c>
      <c r="J1761" s="72">
        <v>96.799409990000001</v>
      </c>
      <c r="K1761" s="73">
        <v>-19582.0545456</v>
      </c>
      <c r="L1761" s="74">
        <v>0</v>
      </c>
      <c r="M1761" s="73">
        <v>0</v>
      </c>
      <c r="N1761" s="74">
        <v>0</v>
      </c>
      <c r="O1761" s="73">
        <v>0</v>
      </c>
      <c r="P1761" s="74">
        <v>1440</v>
      </c>
      <c r="Q1761" s="73">
        <v>119809.09583999999</v>
      </c>
      <c r="R1761" s="71" t="s">
        <v>625</v>
      </c>
      <c r="S1761" s="71">
        <v>7414000005</v>
      </c>
      <c r="AB1761"/>
      <c r="AC1761"/>
    </row>
    <row r="1762" spans="1:29" x14ac:dyDescent="0.25">
      <c r="A1762" t="str">
        <f t="shared" si="28"/>
        <v xml:space="preserve">75219GOBFED 421113       </v>
      </c>
      <c r="B1762" s="71">
        <v>75219</v>
      </c>
      <c r="C1762" s="71" t="s">
        <v>846</v>
      </c>
      <c r="D1762" s="71" t="s">
        <v>386</v>
      </c>
      <c r="E1762" s="71" t="s">
        <v>623</v>
      </c>
      <c r="F1762" s="71" t="s">
        <v>624</v>
      </c>
      <c r="G1762" s="74">
        <v>794</v>
      </c>
      <c r="H1762" s="72">
        <v>82.159907000000004</v>
      </c>
      <c r="I1762" s="73">
        <v>65234.966158000003</v>
      </c>
      <c r="J1762" s="72">
        <v>88.605995219999997</v>
      </c>
      <c r="K1762" s="73">
        <v>-5118.1940466799997</v>
      </c>
      <c r="L1762" s="74">
        <v>0</v>
      </c>
      <c r="M1762" s="73">
        <v>0</v>
      </c>
      <c r="N1762" s="74">
        <v>0</v>
      </c>
      <c r="O1762" s="73">
        <v>0</v>
      </c>
      <c r="P1762" s="74">
        <v>794</v>
      </c>
      <c r="Q1762" s="73">
        <v>65234.966158000003</v>
      </c>
      <c r="R1762" s="71" t="s">
        <v>625</v>
      </c>
      <c r="S1762" s="71">
        <v>7414000005</v>
      </c>
      <c r="AB1762"/>
      <c r="AC1762"/>
    </row>
    <row r="1763" spans="1:29" x14ac:dyDescent="0.25">
      <c r="A1763" t="str">
        <f t="shared" si="28"/>
        <v xml:space="preserve">75219GOBFED 471107       </v>
      </c>
      <c r="B1763" s="71">
        <v>75219</v>
      </c>
      <c r="C1763" s="71" t="s">
        <v>846</v>
      </c>
      <c r="D1763" s="71" t="s">
        <v>387</v>
      </c>
      <c r="E1763" s="71" t="s">
        <v>623</v>
      </c>
      <c r="F1763" s="71" t="s">
        <v>624</v>
      </c>
      <c r="G1763" s="74">
        <v>270</v>
      </c>
      <c r="H1763" s="72">
        <v>314.42</v>
      </c>
      <c r="I1763" s="73">
        <v>84893.4</v>
      </c>
      <c r="J1763" s="72">
        <v>265.38955555555555</v>
      </c>
      <c r="K1763" s="73">
        <v>13238.22</v>
      </c>
      <c r="L1763" s="74">
        <v>0</v>
      </c>
      <c r="M1763" s="73">
        <v>0</v>
      </c>
      <c r="N1763" s="74">
        <v>0</v>
      </c>
      <c r="O1763" s="73">
        <v>0</v>
      </c>
      <c r="P1763" s="74">
        <v>270</v>
      </c>
      <c r="Q1763" s="73">
        <v>84893.4</v>
      </c>
      <c r="R1763" s="71" t="s">
        <v>625</v>
      </c>
      <c r="S1763" s="71">
        <v>7414000005</v>
      </c>
      <c r="AB1763"/>
      <c r="AC1763"/>
    </row>
    <row r="1764" spans="1:29" x14ac:dyDescent="0.25">
      <c r="A1764" t="str">
        <f t="shared" si="28"/>
        <v xml:space="preserve">75219GOBFED 530731       </v>
      </c>
      <c r="B1764" s="71">
        <v>75219</v>
      </c>
      <c r="C1764" s="71" t="s">
        <v>846</v>
      </c>
      <c r="D1764" s="71" t="s">
        <v>503</v>
      </c>
      <c r="E1764" s="71" t="s">
        <v>623</v>
      </c>
      <c r="F1764" s="71" t="s">
        <v>624</v>
      </c>
      <c r="G1764" s="74">
        <v>760</v>
      </c>
      <c r="H1764" s="72">
        <v>43.85</v>
      </c>
      <c r="I1764" s="73">
        <v>33326</v>
      </c>
      <c r="J1764" s="72">
        <v>39.786986842105264</v>
      </c>
      <c r="K1764" s="73">
        <v>3087.89</v>
      </c>
      <c r="L1764" s="74">
        <v>0</v>
      </c>
      <c r="M1764" s="73">
        <v>0</v>
      </c>
      <c r="N1764" s="74">
        <v>0</v>
      </c>
      <c r="O1764" s="73">
        <v>0</v>
      </c>
      <c r="P1764" s="74">
        <v>760</v>
      </c>
      <c r="Q1764" s="73">
        <v>33326</v>
      </c>
      <c r="R1764" s="71" t="s">
        <v>625</v>
      </c>
      <c r="S1764" s="71">
        <v>7414000005</v>
      </c>
      <c r="AB1764"/>
      <c r="AC1764"/>
    </row>
    <row r="1765" spans="1:29" x14ac:dyDescent="0.25">
      <c r="A1765" t="str">
        <f t="shared" si="28"/>
        <v xml:space="preserve">75219GRUMA B             </v>
      </c>
      <c r="B1765" s="71">
        <v>75219</v>
      </c>
      <c r="C1765" s="71" t="s">
        <v>846</v>
      </c>
      <c r="D1765" s="71" t="s">
        <v>419</v>
      </c>
      <c r="E1765" s="71" t="s">
        <v>623</v>
      </c>
      <c r="F1765" s="71" t="s">
        <v>624</v>
      </c>
      <c r="G1765" s="74">
        <v>0</v>
      </c>
      <c r="H1765" s="72">
        <v>0</v>
      </c>
      <c r="I1765" s="73">
        <v>0</v>
      </c>
      <c r="J1765" s="72">
        <v>0</v>
      </c>
      <c r="K1765" s="73">
        <v>0</v>
      </c>
      <c r="L1765" s="74">
        <v>0</v>
      </c>
      <c r="M1765" s="73">
        <v>0</v>
      </c>
      <c r="N1765" s="74">
        <v>0</v>
      </c>
      <c r="O1765" s="73">
        <v>0</v>
      </c>
      <c r="P1765" s="74">
        <v>0</v>
      </c>
      <c r="Q1765" s="73">
        <v>0</v>
      </c>
      <c r="R1765" s="71" t="s">
        <v>625</v>
      </c>
      <c r="S1765" s="71">
        <v>7414000005</v>
      </c>
      <c r="AB1765"/>
      <c r="AC1765"/>
    </row>
    <row r="1766" spans="1:29" x14ac:dyDescent="0.25">
      <c r="A1766" t="str">
        <f t="shared" si="28"/>
        <v xml:space="preserve">75219HERDEZ *            </v>
      </c>
      <c r="B1766" s="71">
        <v>75219</v>
      </c>
      <c r="C1766" s="71" t="s">
        <v>846</v>
      </c>
      <c r="D1766" s="71" t="s">
        <v>540</v>
      </c>
      <c r="E1766" s="71" t="s">
        <v>623</v>
      </c>
      <c r="F1766" s="71" t="s">
        <v>624</v>
      </c>
      <c r="G1766" s="74">
        <v>810</v>
      </c>
      <c r="H1766" s="72">
        <v>36.28</v>
      </c>
      <c r="I1766" s="73">
        <v>29386.799999999999</v>
      </c>
      <c r="J1766" s="72">
        <v>38.549444444444447</v>
      </c>
      <c r="K1766" s="73">
        <v>-1838.25</v>
      </c>
      <c r="L1766" s="74">
        <v>0</v>
      </c>
      <c r="M1766" s="73">
        <v>0</v>
      </c>
      <c r="N1766" s="74">
        <v>0</v>
      </c>
      <c r="O1766" s="73">
        <v>0</v>
      </c>
      <c r="P1766" s="74">
        <v>810</v>
      </c>
      <c r="Q1766" s="73">
        <v>29386.799999999999</v>
      </c>
      <c r="R1766" s="71" t="s">
        <v>625</v>
      </c>
      <c r="S1766" s="71">
        <v>7414000005</v>
      </c>
      <c r="AB1766"/>
      <c r="AC1766"/>
    </row>
    <row r="1767" spans="1:29" x14ac:dyDescent="0.25">
      <c r="A1767" t="str">
        <f t="shared" si="28"/>
        <v xml:space="preserve">75219IENOVA *            </v>
      </c>
      <c r="B1767" s="71">
        <v>75219</v>
      </c>
      <c r="C1767" s="71" t="s">
        <v>846</v>
      </c>
      <c r="D1767" s="71" t="s">
        <v>553</v>
      </c>
      <c r="E1767" s="71" t="s">
        <v>623</v>
      </c>
      <c r="F1767" s="71" t="s">
        <v>624</v>
      </c>
      <c r="G1767" s="74">
        <v>280</v>
      </c>
      <c r="H1767" s="72">
        <v>136.35</v>
      </c>
      <c r="I1767" s="73">
        <v>38178</v>
      </c>
      <c r="J1767" s="72">
        <v>125.99514285714285</v>
      </c>
      <c r="K1767" s="73">
        <v>2899.36</v>
      </c>
      <c r="L1767" s="74">
        <v>0</v>
      </c>
      <c r="M1767" s="73">
        <v>0</v>
      </c>
      <c r="N1767" s="74">
        <v>0</v>
      </c>
      <c r="O1767" s="73">
        <v>0</v>
      </c>
      <c r="P1767" s="74">
        <v>280</v>
      </c>
      <c r="Q1767" s="73">
        <v>38178</v>
      </c>
      <c r="R1767" s="71" t="s">
        <v>625</v>
      </c>
      <c r="S1767" s="71">
        <v>7414000005</v>
      </c>
      <c r="AB1767"/>
      <c r="AC1767"/>
    </row>
    <row r="1768" spans="1:29" x14ac:dyDescent="0.25">
      <c r="A1768" t="str">
        <f t="shared" si="28"/>
        <v xml:space="preserve">75219LACOMER UBC         </v>
      </c>
      <c r="B1768" s="71">
        <v>75219</v>
      </c>
      <c r="C1768" s="71" t="s">
        <v>846</v>
      </c>
      <c r="D1768" s="71" t="s">
        <v>544</v>
      </c>
      <c r="E1768" s="71" t="s">
        <v>623</v>
      </c>
      <c r="F1768" s="71" t="s">
        <v>624</v>
      </c>
      <c r="G1768" s="74">
        <v>5100</v>
      </c>
      <c r="H1768" s="72">
        <v>2.95</v>
      </c>
      <c r="I1768" s="73">
        <v>15045</v>
      </c>
      <c r="J1768" s="72">
        <v>4.4892352941176474</v>
      </c>
      <c r="K1768" s="73">
        <v>-7850.1</v>
      </c>
      <c r="L1768" s="74">
        <v>0</v>
      </c>
      <c r="M1768" s="73">
        <v>0</v>
      </c>
      <c r="N1768" s="74">
        <v>0</v>
      </c>
      <c r="O1768" s="73">
        <v>0</v>
      </c>
      <c r="P1768" s="74">
        <v>5100</v>
      </c>
      <c r="Q1768" s="73">
        <v>15045</v>
      </c>
      <c r="R1768" s="71" t="s">
        <v>625</v>
      </c>
      <c r="S1768" s="71">
        <v>7414000005</v>
      </c>
      <c r="AB1768"/>
      <c r="AC1768"/>
    </row>
    <row r="1769" spans="1:29" x14ac:dyDescent="0.25">
      <c r="A1769" t="str">
        <f t="shared" si="28"/>
        <v xml:space="preserve">75219LIVEPOL C-1         </v>
      </c>
      <c r="B1769" s="71">
        <v>75219</v>
      </c>
      <c r="C1769" s="71" t="s">
        <v>846</v>
      </c>
      <c r="D1769" s="71" t="s">
        <v>429</v>
      </c>
      <c r="E1769" s="71" t="s">
        <v>623</v>
      </c>
      <c r="F1769" s="71" t="s">
        <v>624</v>
      </c>
      <c r="G1769" s="74">
        <v>4205</v>
      </c>
      <c r="H1769" s="72">
        <v>98.007834000000003</v>
      </c>
      <c r="I1769" s="73">
        <v>412122.94196999999</v>
      </c>
      <c r="J1769" s="72">
        <v>91.982023083876342</v>
      </c>
      <c r="K1769" s="73">
        <v>25338.534902300002</v>
      </c>
      <c r="L1769" s="74">
        <v>0</v>
      </c>
      <c r="M1769" s="73">
        <v>0</v>
      </c>
      <c r="N1769" s="74">
        <v>0</v>
      </c>
      <c r="O1769" s="73">
        <v>0</v>
      </c>
      <c r="P1769" s="74">
        <v>4205</v>
      </c>
      <c r="Q1769" s="73">
        <v>412122.94196999999</v>
      </c>
      <c r="R1769" s="71" t="s">
        <v>625</v>
      </c>
      <c r="S1769" s="71">
        <v>7414000005</v>
      </c>
      <c r="AB1769"/>
      <c r="AC1769"/>
    </row>
    <row r="1770" spans="1:29" x14ac:dyDescent="0.25">
      <c r="A1770" t="str">
        <f t="shared" si="28"/>
        <v xml:space="preserve">75219NEMAK A             </v>
      </c>
      <c r="B1770" s="71">
        <v>75219</v>
      </c>
      <c r="C1770" s="71" t="s">
        <v>846</v>
      </c>
      <c r="D1770" s="71" t="s">
        <v>541</v>
      </c>
      <c r="E1770" s="71" t="s">
        <v>623</v>
      </c>
      <c r="F1770" s="71" t="s">
        <v>624</v>
      </c>
      <c r="G1770" s="74">
        <v>450</v>
      </c>
      <c r="H1770" s="72">
        <v>156</v>
      </c>
      <c r="I1770" s="73">
        <v>70200</v>
      </c>
      <c r="J1770" s="72">
        <v>144.7482</v>
      </c>
      <c r="K1770" s="73">
        <v>5063.3100000000004</v>
      </c>
      <c r="L1770" s="74">
        <v>0</v>
      </c>
      <c r="M1770" s="73">
        <v>0</v>
      </c>
      <c r="N1770" s="74">
        <v>0</v>
      </c>
      <c r="O1770" s="73">
        <v>0</v>
      </c>
      <c r="P1770" s="74">
        <v>450</v>
      </c>
      <c r="Q1770" s="73">
        <v>70200</v>
      </c>
      <c r="R1770" s="71" t="s">
        <v>625</v>
      </c>
      <c r="S1770" s="71">
        <v>7414000005</v>
      </c>
      <c r="AB1770"/>
      <c r="AC1770"/>
    </row>
    <row r="1771" spans="1:29" x14ac:dyDescent="0.25">
      <c r="A1771" t="str">
        <f t="shared" si="28"/>
        <v xml:space="preserve">75219PEMEX 13-2          </v>
      </c>
      <c r="B1771" s="71">
        <v>75219</v>
      </c>
      <c r="C1771" s="71" t="s">
        <v>846</v>
      </c>
      <c r="D1771" s="71" t="s">
        <v>459</v>
      </c>
      <c r="E1771" s="71" t="s">
        <v>623</v>
      </c>
      <c r="F1771" s="71" t="s">
        <v>624</v>
      </c>
      <c r="G1771" s="74">
        <v>780000</v>
      </c>
      <c r="H1771" s="72">
        <v>4.5848760000000004</v>
      </c>
      <c r="I1771" s="73">
        <v>3576203.28</v>
      </c>
      <c r="J1771" s="72">
        <v>4.0790305</v>
      </c>
      <c r="K1771" s="73">
        <v>394559.49</v>
      </c>
      <c r="L1771" s="74">
        <v>0</v>
      </c>
      <c r="M1771" s="73">
        <v>0</v>
      </c>
      <c r="N1771" s="74">
        <v>0</v>
      </c>
      <c r="O1771" s="73">
        <v>0</v>
      </c>
      <c r="P1771" s="74">
        <v>780000</v>
      </c>
      <c r="Q1771" s="73">
        <v>3576203.28</v>
      </c>
      <c r="R1771" s="71" t="s">
        <v>625</v>
      </c>
      <c r="S1771" s="71">
        <v>7414000005</v>
      </c>
      <c r="AB1771"/>
      <c r="AC1771"/>
    </row>
    <row r="1772" spans="1:29" x14ac:dyDescent="0.25">
      <c r="A1772" t="str">
        <f t="shared" si="28"/>
        <v xml:space="preserve">75219R A                 </v>
      </c>
      <c r="B1772" s="71">
        <v>75219</v>
      </c>
      <c r="C1772" s="71" t="s">
        <v>846</v>
      </c>
      <c r="D1772" s="71" t="s">
        <v>389</v>
      </c>
      <c r="E1772" s="71" t="s">
        <v>623</v>
      </c>
      <c r="F1772" s="71" t="s">
        <v>624</v>
      </c>
      <c r="G1772" s="74">
        <v>3174398</v>
      </c>
      <c r="H1772" s="72">
        <v>3.3967719999999999</v>
      </c>
      <c r="I1772" s="73">
        <v>10782706.243256001</v>
      </c>
      <c r="J1772" s="72">
        <v>3.2194642637753677</v>
      </c>
      <c r="K1772" s="73">
        <v>562845.32325599995</v>
      </c>
      <c r="L1772" s="74">
        <v>0</v>
      </c>
      <c r="M1772" s="73">
        <v>0</v>
      </c>
      <c r="N1772" s="74">
        <v>0</v>
      </c>
      <c r="O1772" s="73">
        <v>0</v>
      </c>
      <c r="P1772" s="74">
        <v>3174398</v>
      </c>
      <c r="Q1772" s="73">
        <v>10782706.243256001</v>
      </c>
      <c r="R1772" s="71" t="s">
        <v>625</v>
      </c>
      <c r="S1772" s="71">
        <v>7414000005</v>
      </c>
      <c r="AB1772"/>
      <c r="AC1772"/>
    </row>
    <row r="1773" spans="1:29" x14ac:dyDescent="0.25">
      <c r="A1773" t="str">
        <f t="shared" si="28"/>
        <v xml:space="preserve">75219STER-OP ED          </v>
      </c>
      <c r="B1773" s="71">
        <v>75219</v>
      </c>
      <c r="C1773" s="71" t="s">
        <v>846</v>
      </c>
      <c r="D1773" s="71" t="s">
        <v>500</v>
      </c>
      <c r="E1773" s="71" t="s">
        <v>623</v>
      </c>
      <c r="F1773" s="71" t="s">
        <v>624</v>
      </c>
      <c r="G1773" s="74">
        <v>1180</v>
      </c>
      <c r="H1773" s="72">
        <v>31.41</v>
      </c>
      <c r="I1773" s="73">
        <v>37063.800000000003</v>
      </c>
      <c r="J1773" s="72">
        <v>32.790262711864408</v>
      </c>
      <c r="K1773" s="73">
        <v>-1628.71</v>
      </c>
      <c r="L1773" s="74">
        <v>0</v>
      </c>
      <c r="M1773" s="73">
        <v>0</v>
      </c>
      <c r="N1773" s="74">
        <v>0</v>
      </c>
      <c r="O1773" s="73">
        <v>0</v>
      </c>
      <c r="P1773" s="74">
        <v>1180</v>
      </c>
      <c r="Q1773" s="73">
        <v>37063.800000000003</v>
      </c>
      <c r="R1773" s="71" t="s">
        <v>625</v>
      </c>
      <c r="S1773" s="71">
        <v>7414000005</v>
      </c>
      <c r="AB1773"/>
      <c r="AC1773"/>
    </row>
    <row r="1774" spans="1:29" x14ac:dyDescent="0.25">
      <c r="A1774" t="str">
        <f t="shared" si="28"/>
        <v xml:space="preserve">75219STERGOB ED          </v>
      </c>
      <c r="B1774" s="71">
        <v>75219</v>
      </c>
      <c r="C1774" s="71" t="s">
        <v>846</v>
      </c>
      <c r="D1774" s="71" t="s">
        <v>391</v>
      </c>
      <c r="E1774" s="71" t="s">
        <v>623</v>
      </c>
      <c r="F1774" s="71" t="s">
        <v>624</v>
      </c>
      <c r="G1774" s="74">
        <v>97</v>
      </c>
      <c r="H1774" s="72">
        <v>775.69178699999998</v>
      </c>
      <c r="I1774" s="73">
        <v>75242.103338999994</v>
      </c>
      <c r="J1774" s="72">
        <v>728.26654728000005</v>
      </c>
      <c r="K1774" s="73">
        <v>4600.2482528399996</v>
      </c>
      <c r="L1774" s="74">
        <v>0</v>
      </c>
      <c r="M1774" s="73">
        <v>0</v>
      </c>
      <c r="N1774" s="74">
        <v>0</v>
      </c>
      <c r="O1774" s="73">
        <v>0</v>
      </c>
      <c r="P1774" s="74">
        <v>97</v>
      </c>
      <c r="Q1774" s="73">
        <v>75242.103338999994</v>
      </c>
      <c r="R1774" s="71" t="s">
        <v>625</v>
      </c>
      <c r="S1774" s="71">
        <v>7414000005</v>
      </c>
      <c r="AB1774"/>
      <c r="AC1774"/>
    </row>
    <row r="1775" spans="1:29" x14ac:dyDescent="0.25">
      <c r="A1775" t="str">
        <f t="shared" si="28"/>
        <v xml:space="preserve">75219TRAXION A           </v>
      </c>
      <c r="B1775" s="71">
        <v>75219</v>
      </c>
      <c r="C1775" s="71" t="s">
        <v>846</v>
      </c>
      <c r="D1775" s="71" t="s">
        <v>392</v>
      </c>
      <c r="E1775" s="71" t="s">
        <v>623</v>
      </c>
      <c r="F1775" s="71" t="s">
        <v>624</v>
      </c>
      <c r="G1775" s="74">
        <v>650</v>
      </c>
      <c r="H1775" s="72">
        <v>747.17843200000004</v>
      </c>
      <c r="I1775" s="73">
        <v>485665.98080000002</v>
      </c>
      <c r="J1775" s="72">
        <v>709.71028535646155</v>
      </c>
      <c r="K1775" s="73">
        <v>24354.295318299999</v>
      </c>
      <c r="L1775" s="74">
        <v>0</v>
      </c>
      <c r="M1775" s="73">
        <v>0</v>
      </c>
      <c r="N1775" s="74">
        <v>0</v>
      </c>
      <c r="O1775" s="73">
        <v>0</v>
      </c>
      <c r="P1775" s="74">
        <v>650</v>
      </c>
      <c r="Q1775" s="73">
        <v>485665.98080000002</v>
      </c>
      <c r="R1775" s="71" t="s">
        <v>625</v>
      </c>
      <c r="S1775" s="71">
        <v>7414000005</v>
      </c>
      <c r="AB1775"/>
      <c r="AC1775"/>
    </row>
    <row r="1776" spans="1:29" x14ac:dyDescent="0.25">
      <c r="A1776" t="str">
        <f t="shared" si="28"/>
        <v xml:space="preserve">75219UDIBONO 251204      </v>
      </c>
      <c r="B1776" s="71">
        <v>75219</v>
      </c>
      <c r="C1776" s="71" t="s">
        <v>846</v>
      </c>
      <c r="D1776" s="71" t="s">
        <v>393</v>
      </c>
      <c r="E1776" s="71" t="s">
        <v>623</v>
      </c>
      <c r="F1776" s="71" t="s">
        <v>624</v>
      </c>
      <c r="G1776" s="74">
        <v>328</v>
      </c>
      <c r="H1776" s="72">
        <v>765.92388300000005</v>
      </c>
      <c r="I1776" s="73">
        <v>251223.033624</v>
      </c>
      <c r="J1776" s="72">
        <v>769.82142402981708</v>
      </c>
      <c r="K1776" s="73">
        <v>-1278.3934577800001</v>
      </c>
      <c r="L1776" s="74">
        <v>0</v>
      </c>
      <c r="M1776" s="73">
        <v>0</v>
      </c>
      <c r="N1776" s="74">
        <v>0</v>
      </c>
      <c r="O1776" s="73">
        <v>0</v>
      </c>
      <c r="P1776" s="74">
        <v>328</v>
      </c>
      <c r="Q1776" s="73">
        <v>251223.033624</v>
      </c>
      <c r="R1776" s="71" t="s">
        <v>625</v>
      </c>
      <c r="S1776" s="71">
        <v>7414000005</v>
      </c>
      <c r="AB1776"/>
      <c r="AC1776"/>
    </row>
    <row r="1777" spans="1:29" x14ac:dyDescent="0.25">
      <c r="A1777" t="str">
        <f t="shared" si="28"/>
        <v xml:space="preserve">75219UDIBONO 261203      </v>
      </c>
      <c r="B1777" s="71">
        <v>75219</v>
      </c>
      <c r="C1777" s="71" t="s">
        <v>846</v>
      </c>
      <c r="D1777" s="71" t="s">
        <v>394</v>
      </c>
      <c r="E1777" s="71" t="s">
        <v>623</v>
      </c>
      <c r="F1777" s="71" t="s">
        <v>624</v>
      </c>
      <c r="G1777" s="74">
        <v>208</v>
      </c>
      <c r="H1777" s="72">
        <v>684.88915799999995</v>
      </c>
      <c r="I1777" s="73">
        <v>142456.94486399999</v>
      </c>
      <c r="J1777" s="72">
        <v>674.82119490000002</v>
      </c>
      <c r="K1777" s="73">
        <v>2094.1363247999998</v>
      </c>
      <c r="L1777" s="74">
        <v>0</v>
      </c>
      <c r="M1777" s="73">
        <v>0</v>
      </c>
      <c r="N1777" s="74">
        <v>0</v>
      </c>
      <c r="O1777" s="73">
        <v>0</v>
      </c>
      <c r="P1777" s="74">
        <v>208</v>
      </c>
      <c r="Q1777" s="73">
        <v>142456.94486399999</v>
      </c>
      <c r="R1777" s="71" t="s">
        <v>625</v>
      </c>
      <c r="S1777" s="71">
        <v>7414000005</v>
      </c>
      <c r="AB1777"/>
      <c r="AC1777"/>
    </row>
    <row r="1778" spans="1:29" x14ac:dyDescent="0.25">
      <c r="A1778" t="str">
        <f t="shared" si="28"/>
        <v xml:space="preserve">75219UDIBONO 281130      </v>
      </c>
      <c r="B1778" s="71">
        <v>75219</v>
      </c>
      <c r="C1778" s="71" t="s">
        <v>846</v>
      </c>
      <c r="D1778" s="71" t="s">
        <v>395</v>
      </c>
      <c r="E1778" s="71" t="s">
        <v>623</v>
      </c>
      <c r="F1778" s="71" t="s">
        <v>624</v>
      </c>
      <c r="G1778" s="74">
        <v>206</v>
      </c>
      <c r="H1778" s="72">
        <v>772.926965</v>
      </c>
      <c r="I1778" s="73">
        <v>159222.95478999999</v>
      </c>
      <c r="J1778" s="72">
        <v>798.93664675000002</v>
      </c>
      <c r="K1778" s="73">
        <v>-5357.9944404999997</v>
      </c>
      <c r="L1778" s="74">
        <v>0</v>
      </c>
      <c r="M1778" s="73">
        <v>0</v>
      </c>
      <c r="N1778" s="74">
        <v>0</v>
      </c>
      <c r="O1778" s="73">
        <v>0</v>
      </c>
      <c r="P1778" s="74">
        <v>206</v>
      </c>
      <c r="Q1778" s="73">
        <v>159222.95478999999</v>
      </c>
      <c r="R1778" s="71" t="s">
        <v>625</v>
      </c>
      <c r="S1778" s="71">
        <v>7414000005</v>
      </c>
      <c r="AB1778"/>
      <c r="AC1778"/>
    </row>
    <row r="1779" spans="1:29" x14ac:dyDescent="0.25">
      <c r="A1779" t="str">
        <f t="shared" si="28"/>
        <v xml:space="preserve">75219UDIBONO 311127      </v>
      </c>
      <c r="B1779" s="71">
        <v>75219</v>
      </c>
      <c r="C1779" s="71" t="s">
        <v>846</v>
      </c>
      <c r="D1779" s="71" t="s">
        <v>396</v>
      </c>
      <c r="E1779" s="71" t="s">
        <v>623</v>
      </c>
      <c r="F1779" s="71" t="s">
        <v>624</v>
      </c>
      <c r="G1779" s="74">
        <v>92</v>
      </c>
      <c r="H1779" s="72">
        <v>721.59464000000003</v>
      </c>
      <c r="I1779" s="73">
        <v>66386.706879999998</v>
      </c>
      <c r="J1779" s="72">
        <v>604.35270151641305</v>
      </c>
      <c r="K1779" s="73">
        <v>10786.25834049</v>
      </c>
      <c r="L1779" s="74">
        <v>0</v>
      </c>
      <c r="M1779" s="73">
        <v>0</v>
      </c>
      <c r="N1779" s="74">
        <v>0</v>
      </c>
      <c r="O1779" s="73">
        <v>0</v>
      </c>
      <c r="P1779" s="74">
        <v>92</v>
      </c>
      <c r="Q1779" s="73">
        <v>66386.706879999998</v>
      </c>
      <c r="R1779" s="71" t="s">
        <v>625</v>
      </c>
      <c r="S1779" s="71">
        <v>7414000005</v>
      </c>
      <c r="AB1779"/>
      <c r="AC1779"/>
    </row>
    <row r="1780" spans="1:29" x14ac:dyDescent="0.25">
      <c r="A1780" t="str">
        <f t="shared" si="28"/>
        <v xml:space="preserve">75219UDIBONO 351122      </v>
      </c>
      <c r="B1780" s="71">
        <v>75219</v>
      </c>
      <c r="C1780" s="71" t="s">
        <v>846</v>
      </c>
      <c r="D1780" s="71" t="s">
        <v>398</v>
      </c>
      <c r="E1780" s="71" t="s">
        <v>623</v>
      </c>
      <c r="F1780" s="71" t="s">
        <v>624</v>
      </c>
      <c r="G1780" s="74">
        <v>203</v>
      </c>
      <c r="H1780" s="72">
        <v>709.36974099999998</v>
      </c>
      <c r="I1780" s="73">
        <v>144002.05742299999</v>
      </c>
      <c r="J1780" s="72">
        <v>697.59365855901478</v>
      </c>
      <c r="K1780" s="73">
        <v>2390.5447355199999</v>
      </c>
      <c r="L1780" s="74">
        <v>0</v>
      </c>
      <c r="M1780" s="73">
        <v>0</v>
      </c>
      <c r="N1780" s="74">
        <v>0</v>
      </c>
      <c r="O1780" s="73">
        <v>0</v>
      </c>
      <c r="P1780" s="74">
        <v>203</v>
      </c>
      <c r="Q1780" s="73">
        <v>144002.05742299999</v>
      </c>
      <c r="R1780" s="71" t="s">
        <v>625</v>
      </c>
      <c r="S1780" s="71">
        <v>7414000005</v>
      </c>
      <c r="AB1780"/>
      <c r="AC1780"/>
    </row>
    <row r="1781" spans="1:29" x14ac:dyDescent="0.25">
      <c r="A1781" t="str">
        <f t="shared" si="28"/>
        <v xml:space="preserve">75219UDIBONO 401115      </v>
      </c>
      <c r="B1781" s="71">
        <v>75219</v>
      </c>
      <c r="C1781" s="71" t="s">
        <v>846</v>
      </c>
      <c r="D1781" s="71" t="s">
        <v>400</v>
      </c>
      <c r="E1781" s="71" t="s">
        <v>623</v>
      </c>
      <c r="F1781" s="71" t="s">
        <v>624</v>
      </c>
      <c r="G1781" s="74">
        <v>1930</v>
      </c>
      <c r="H1781" s="72">
        <v>58.67</v>
      </c>
      <c r="I1781" s="73">
        <v>113233.1</v>
      </c>
      <c r="J1781" s="72">
        <v>51.220227979274611</v>
      </c>
      <c r="K1781" s="73">
        <v>14378.06</v>
      </c>
      <c r="L1781" s="74">
        <v>0</v>
      </c>
      <c r="M1781" s="73">
        <v>0</v>
      </c>
      <c r="N1781" s="74">
        <v>0</v>
      </c>
      <c r="O1781" s="73">
        <v>0</v>
      </c>
      <c r="P1781" s="74">
        <v>1930</v>
      </c>
      <c r="Q1781" s="73">
        <v>113233.1</v>
      </c>
      <c r="R1781" s="71" t="s">
        <v>625</v>
      </c>
      <c r="S1781" s="71">
        <v>7414000005</v>
      </c>
      <c r="AB1781"/>
      <c r="AC1781"/>
    </row>
    <row r="1782" spans="1:29" x14ac:dyDescent="0.25">
      <c r="A1782" t="str">
        <f t="shared" si="28"/>
        <v xml:space="preserve">75219UDIBONO 461108      </v>
      </c>
      <c r="B1782" s="71">
        <v>75219</v>
      </c>
      <c r="C1782" s="71" t="s">
        <v>846</v>
      </c>
      <c r="D1782" s="71" t="s">
        <v>403</v>
      </c>
      <c r="E1782" s="71" t="s">
        <v>623</v>
      </c>
      <c r="F1782" s="71" t="s">
        <v>624</v>
      </c>
      <c r="G1782" s="74">
        <v>3000</v>
      </c>
      <c r="H1782" s="72">
        <v>65.260000000000005</v>
      </c>
      <c r="I1782" s="73">
        <v>195780</v>
      </c>
      <c r="J1782" s="72">
        <v>68.574976666666672</v>
      </c>
      <c r="K1782" s="73">
        <v>-9944.93</v>
      </c>
      <c r="L1782" s="74">
        <v>0</v>
      </c>
      <c r="M1782" s="73">
        <v>0</v>
      </c>
      <c r="N1782" s="74">
        <v>0</v>
      </c>
      <c r="O1782" s="73">
        <v>0</v>
      </c>
      <c r="P1782" s="74">
        <v>3000</v>
      </c>
      <c r="Q1782" s="73">
        <v>195780</v>
      </c>
      <c r="R1782" s="71" t="s">
        <v>625</v>
      </c>
      <c r="S1782" s="71">
        <v>7414000005</v>
      </c>
      <c r="AB1782"/>
      <c r="AC1782"/>
    </row>
    <row r="1783" spans="1:29" x14ac:dyDescent="0.25">
      <c r="A1783" t="str">
        <f t="shared" si="28"/>
        <v xml:space="preserve">75219VESTA *             </v>
      </c>
      <c r="B1783" s="71">
        <v>75220</v>
      </c>
      <c r="C1783" s="71" t="s">
        <v>847</v>
      </c>
      <c r="D1783" s="71" t="s">
        <v>357</v>
      </c>
      <c r="E1783" s="71" t="s">
        <v>623</v>
      </c>
      <c r="F1783" s="71" t="s">
        <v>624</v>
      </c>
      <c r="G1783" s="74">
        <v>11</v>
      </c>
      <c r="H1783" s="72">
        <v>168.64</v>
      </c>
      <c r="I1783" s="73">
        <v>1855.04</v>
      </c>
      <c r="J1783" s="72">
        <v>151.87181818181818</v>
      </c>
      <c r="K1783" s="73">
        <v>184.45</v>
      </c>
      <c r="L1783" s="74">
        <v>0</v>
      </c>
      <c r="M1783" s="73">
        <v>0</v>
      </c>
      <c r="N1783" s="74">
        <v>0</v>
      </c>
      <c r="O1783" s="73">
        <v>0</v>
      </c>
      <c r="P1783" s="74">
        <v>11</v>
      </c>
      <c r="Q1783" s="73">
        <v>1855.04</v>
      </c>
      <c r="R1783" s="71" t="s">
        <v>625</v>
      </c>
      <c r="S1783" s="71">
        <v>7414000005</v>
      </c>
      <c r="AB1783"/>
      <c r="AC1783"/>
    </row>
    <row r="1784" spans="1:29" x14ac:dyDescent="0.25">
      <c r="A1784" t="str">
        <f t="shared" si="28"/>
        <v xml:space="preserve">75219WALMEX *            </v>
      </c>
      <c r="B1784" s="71">
        <v>75220</v>
      </c>
      <c r="C1784" s="71" t="s">
        <v>847</v>
      </c>
      <c r="D1784" s="71" t="s">
        <v>506</v>
      </c>
      <c r="E1784" s="71" t="s">
        <v>623</v>
      </c>
      <c r="F1784" s="71" t="s">
        <v>624</v>
      </c>
      <c r="G1784" s="74">
        <v>258</v>
      </c>
      <c r="H1784" s="72">
        <v>12.48</v>
      </c>
      <c r="I1784" s="73">
        <v>3219.84</v>
      </c>
      <c r="J1784" s="72">
        <v>11.509883720930233</v>
      </c>
      <c r="K1784" s="73">
        <v>250.29</v>
      </c>
      <c r="L1784" s="74">
        <v>0</v>
      </c>
      <c r="M1784" s="73">
        <v>0</v>
      </c>
      <c r="N1784" s="74">
        <v>0</v>
      </c>
      <c r="O1784" s="73">
        <v>0</v>
      </c>
      <c r="P1784" s="74">
        <v>258</v>
      </c>
      <c r="Q1784" s="73">
        <v>3219.84</v>
      </c>
      <c r="R1784" s="71" t="s">
        <v>625</v>
      </c>
      <c r="S1784" s="71">
        <v>7414000005</v>
      </c>
      <c r="AB1784"/>
      <c r="AC1784"/>
    </row>
    <row r="1785" spans="1:29" x14ac:dyDescent="0.25">
      <c r="A1785" t="str">
        <f t="shared" si="28"/>
        <v xml:space="preserve">75220AC *                </v>
      </c>
      <c r="B1785" s="71">
        <v>75220</v>
      </c>
      <c r="C1785" s="71" t="s">
        <v>847</v>
      </c>
      <c r="D1785" s="71" t="s">
        <v>359</v>
      </c>
      <c r="E1785" s="71" t="s">
        <v>623</v>
      </c>
      <c r="F1785" s="71" t="s">
        <v>624</v>
      </c>
      <c r="G1785" s="74">
        <v>71</v>
      </c>
      <c r="H1785" s="72">
        <v>73.37</v>
      </c>
      <c r="I1785" s="73">
        <v>5209.2700000000004</v>
      </c>
      <c r="J1785" s="72">
        <v>62.266197183098591</v>
      </c>
      <c r="K1785" s="73">
        <v>788.37</v>
      </c>
      <c r="L1785" s="74">
        <v>0</v>
      </c>
      <c r="M1785" s="73">
        <v>0</v>
      </c>
      <c r="N1785" s="74">
        <v>0</v>
      </c>
      <c r="O1785" s="73">
        <v>0</v>
      </c>
      <c r="P1785" s="74">
        <v>71</v>
      </c>
      <c r="Q1785" s="73">
        <v>5209.2700000000004</v>
      </c>
      <c r="R1785" s="71" t="s">
        <v>625</v>
      </c>
      <c r="S1785" s="71">
        <v>7414000005</v>
      </c>
      <c r="AB1785"/>
      <c r="AC1785"/>
    </row>
    <row r="1786" spans="1:29" x14ac:dyDescent="0.25">
      <c r="A1786" t="str">
        <f t="shared" si="28"/>
        <v xml:space="preserve">75220ALFA A              </v>
      </c>
      <c r="B1786" s="71">
        <v>75220</v>
      </c>
      <c r="C1786" s="71" t="s">
        <v>847</v>
      </c>
      <c r="D1786" s="71" t="s">
        <v>360</v>
      </c>
      <c r="E1786" s="71" t="s">
        <v>623</v>
      </c>
      <c r="F1786" s="71" t="s">
        <v>624</v>
      </c>
      <c r="G1786" s="74">
        <v>978</v>
      </c>
      <c r="H1786" s="72">
        <v>15.12</v>
      </c>
      <c r="I1786" s="73">
        <v>14787.36</v>
      </c>
      <c r="J1786" s="72">
        <v>16.722719836400817</v>
      </c>
      <c r="K1786" s="73">
        <v>-1567.46</v>
      </c>
      <c r="L1786" s="74">
        <v>0</v>
      </c>
      <c r="M1786" s="73">
        <v>0</v>
      </c>
      <c r="N1786" s="74">
        <v>0</v>
      </c>
      <c r="O1786" s="73">
        <v>0</v>
      </c>
      <c r="P1786" s="74">
        <v>978</v>
      </c>
      <c r="Q1786" s="73">
        <v>14787.36</v>
      </c>
      <c r="R1786" s="71" t="s">
        <v>625</v>
      </c>
      <c r="S1786" s="71">
        <v>7414000005</v>
      </c>
      <c r="AB1786"/>
      <c r="AC1786"/>
    </row>
    <row r="1787" spans="1:29" x14ac:dyDescent="0.25">
      <c r="A1787" t="str">
        <f t="shared" si="28"/>
        <v xml:space="preserve">75220ALSEA *             </v>
      </c>
      <c r="B1787" s="71">
        <v>75220</v>
      </c>
      <c r="C1787" s="71" t="s">
        <v>847</v>
      </c>
      <c r="D1787" s="71" t="s">
        <v>551</v>
      </c>
      <c r="E1787" s="71" t="s">
        <v>623</v>
      </c>
      <c r="F1787" s="71" t="s">
        <v>624</v>
      </c>
      <c r="G1787" s="74">
        <v>13</v>
      </c>
      <c r="H1787" s="72">
        <v>525.09</v>
      </c>
      <c r="I1787" s="73">
        <v>6826.17</v>
      </c>
      <c r="J1787" s="72">
        <v>517.24538461538464</v>
      </c>
      <c r="K1787" s="73">
        <v>101.98</v>
      </c>
      <c r="L1787" s="74">
        <v>0</v>
      </c>
      <c r="M1787" s="73">
        <v>0</v>
      </c>
      <c r="N1787" s="74">
        <v>0</v>
      </c>
      <c r="O1787" s="73">
        <v>0</v>
      </c>
      <c r="P1787" s="74">
        <v>13</v>
      </c>
      <c r="Q1787" s="73">
        <v>6826.17</v>
      </c>
      <c r="R1787" s="71" t="s">
        <v>625</v>
      </c>
      <c r="S1787" s="71">
        <v>7414000005</v>
      </c>
      <c r="AB1787"/>
      <c r="AC1787"/>
    </row>
    <row r="1788" spans="1:29" x14ac:dyDescent="0.25">
      <c r="A1788" t="str">
        <f t="shared" si="28"/>
        <v xml:space="preserve">75220AMX B               </v>
      </c>
      <c r="B1788" s="71">
        <v>75220</v>
      </c>
      <c r="C1788" s="71" t="s">
        <v>847</v>
      </c>
      <c r="D1788" s="71" t="s">
        <v>361</v>
      </c>
      <c r="E1788" s="71" t="s">
        <v>623</v>
      </c>
      <c r="F1788" s="71" t="s">
        <v>624</v>
      </c>
      <c r="G1788" s="74">
        <v>35</v>
      </c>
      <c r="H1788" s="72">
        <v>68.25</v>
      </c>
      <c r="I1788" s="73">
        <v>2388.75</v>
      </c>
      <c r="J1788" s="72">
        <v>79.098571428571432</v>
      </c>
      <c r="K1788" s="73">
        <v>-379.7</v>
      </c>
      <c r="L1788" s="74">
        <v>0</v>
      </c>
      <c r="M1788" s="73">
        <v>0</v>
      </c>
      <c r="N1788" s="74">
        <v>0</v>
      </c>
      <c r="O1788" s="73">
        <v>0</v>
      </c>
      <c r="P1788" s="74">
        <v>35</v>
      </c>
      <c r="Q1788" s="73">
        <v>2388.75</v>
      </c>
      <c r="R1788" s="71" t="s">
        <v>625</v>
      </c>
      <c r="S1788" s="71">
        <v>7414000005</v>
      </c>
      <c r="AB1788"/>
      <c r="AC1788"/>
    </row>
    <row r="1789" spans="1:29" x14ac:dyDescent="0.25">
      <c r="A1789" t="str">
        <f t="shared" si="28"/>
        <v xml:space="preserve">75220ASUR B              </v>
      </c>
      <c r="B1789" s="71">
        <v>75220</v>
      </c>
      <c r="C1789" s="71" t="s">
        <v>847</v>
      </c>
      <c r="D1789" s="71" t="s">
        <v>362</v>
      </c>
      <c r="E1789" s="71" t="s">
        <v>623</v>
      </c>
      <c r="F1789" s="71" t="s">
        <v>624</v>
      </c>
      <c r="G1789" s="74">
        <v>877</v>
      </c>
      <c r="H1789" s="72">
        <v>14.33</v>
      </c>
      <c r="I1789" s="73">
        <v>12567.41</v>
      </c>
      <c r="J1789" s="72">
        <v>11.760866590649943</v>
      </c>
      <c r="K1789" s="73">
        <v>2253.13</v>
      </c>
      <c r="L1789" s="74">
        <v>0</v>
      </c>
      <c r="M1789" s="73">
        <v>0</v>
      </c>
      <c r="N1789" s="74">
        <v>0</v>
      </c>
      <c r="O1789" s="73">
        <v>0</v>
      </c>
      <c r="P1789" s="74">
        <v>877</v>
      </c>
      <c r="Q1789" s="73">
        <v>12567.41</v>
      </c>
      <c r="R1789" s="71" t="s">
        <v>625</v>
      </c>
      <c r="S1789" s="71">
        <v>7414000005</v>
      </c>
      <c r="AB1789"/>
      <c r="AC1789"/>
    </row>
    <row r="1790" spans="1:29" x14ac:dyDescent="0.25">
      <c r="A1790" t="str">
        <f t="shared" si="28"/>
        <v xml:space="preserve">75220BIMBO A             </v>
      </c>
      <c r="B1790" s="71">
        <v>75220</v>
      </c>
      <c r="C1790" s="71" t="s">
        <v>847</v>
      </c>
      <c r="D1790" s="71" t="s">
        <v>409</v>
      </c>
      <c r="E1790" s="71" t="s">
        <v>623</v>
      </c>
      <c r="F1790" s="71" t="s">
        <v>624</v>
      </c>
      <c r="G1790" s="74">
        <v>7970</v>
      </c>
      <c r="H1790" s="72">
        <v>9.3381629999999998</v>
      </c>
      <c r="I1790" s="73">
        <v>74425.159109999993</v>
      </c>
      <c r="J1790" s="72">
        <v>8.3307969100000001</v>
      </c>
      <c r="K1790" s="73">
        <v>8028.7077373000002</v>
      </c>
      <c r="L1790" s="74">
        <v>0</v>
      </c>
      <c r="M1790" s="73">
        <v>0</v>
      </c>
      <c r="N1790" s="74">
        <v>0</v>
      </c>
      <c r="O1790" s="73">
        <v>0</v>
      </c>
      <c r="P1790" s="74">
        <v>7970</v>
      </c>
      <c r="Q1790" s="73">
        <v>74425.159109999993</v>
      </c>
      <c r="R1790" s="71" t="s">
        <v>625</v>
      </c>
      <c r="S1790" s="71">
        <v>7414000005</v>
      </c>
      <c r="AB1790"/>
      <c r="AC1790"/>
    </row>
    <row r="1791" spans="1:29" x14ac:dyDescent="0.25">
      <c r="A1791" t="str">
        <f t="shared" si="28"/>
        <v xml:space="preserve">75220CEMEX CPO           </v>
      </c>
      <c r="B1791" s="71">
        <v>75220</v>
      </c>
      <c r="C1791" s="71" t="s">
        <v>847</v>
      </c>
      <c r="D1791" s="71" t="s">
        <v>370</v>
      </c>
      <c r="E1791" s="71" t="s">
        <v>623</v>
      </c>
      <c r="F1791" s="71" t="s">
        <v>624</v>
      </c>
      <c r="G1791" s="74">
        <v>5</v>
      </c>
      <c r="H1791" s="72">
        <v>271.94</v>
      </c>
      <c r="I1791" s="73">
        <v>1359.7</v>
      </c>
      <c r="J1791" s="72">
        <v>246.51</v>
      </c>
      <c r="K1791" s="73">
        <v>127.15</v>
      </c>
      <c r="L1791" s="74">
        <v>0</v>
      </c>
      <c r="M1791" s="73">
        <v>0</v>
      </c>
      <c r="N1791" s="74">
        <v>0</v>
      </c>
      <c r="O1791" s="73">
        <v>0</v>
      </c>
      <c r="P1791" s="74">
        <v>5</v>
      </c>
      <c r="Q1791" s="73">
        <v>1359.7</v>
      </c>
      <c r="R1791" s="71" t="s">
        <v>625</v>
      </c>
      <c r="S1791" s="71">
        <v>7414000005</v>
      </c>
      <c r="AB1791"/>
      <c r="AC1791"/>
    </row>
    <row r="1792" spans="1:29" x14ac:dyDescent="0.25">
      <c r="A1792" t="str">
        <f t="shared" si="28"/>
        <v xml:space="preserve">75220CETES 241128        </v>
      </c>
      <c r="B1792" s="71">
        <v>75220</v>
      </c>
      <c r="C1792" s="71" t="s">
        <v>847</v>
      </c>
      <c r="D1792" s="71" t="s">
        <v>371</v>
      </c>
      <c r="E1792" s="71" t="s">
        <v>623</v>
      </c>
      <c r="F1792" s="71" t="s">
        <v>624</v>
      </c>
      <c r="G1792" s="74">
        <v>34</v>
      </c>
      <c r="H1792" s="72">
        <v>193.15</v>
      </c>
      <c r="I1792" s="73">
        <v>6567.1</v>
      </c>
      <c r="J1792" s="72">
        <v>156.17441176470589</v>
      </c>
      <c r="K1792" s="73">
        <v>1257.17</v>
      </c>
      <c r="L1792" s="74">
        <v>0</v>
      </c>
      <c r="M1792" s="73">
        <v>0</v>
      </c>
      <c r="N1792" s="74">
        <v>0</v>
      </c>
      <c r="O1792" s="73">
        <v>0</v>
      </c>
      <c r="P1792" s="74">
        <v>34</v>
      </c>
      <c r="Q1792" s="73">
        <v>6567.1</v>
      </c>
      <c r="R1792" s="71" t="s">
        <v>625</v>
      </c>
      <c r="S1792" s="71">
        <v>7414000005</v>
      </c>
      <c r="AB1792"/>
      <c r="AC1792"/>
    </row>
    <row r="1793" spans="1:29" x14ac:dyDescent="0.25">
      <c r="A1793" t="str">
        <f t="shared" si="28"/>
        <v xml:space="preserve">75220GAP B               </v>
      </c>
      <c r="B1793" s="71">
        <v>75220</v>
      </c>
      <c r="C1793" s="71" t="s">
        <v>847</v>
      </c>
      <c r="D1793" s="71" t="s">
        <v>372</v>
      </c>
      <c r="E1793" s="71" t="s">
        <v>623</v>
      </c>
      <c r="F1793" s="71" t="s">
        <v>624</v>
      </c>
      <c r="G1793" s="74">
        <v>151</v>
      </c>
      <c r="H1793" s="72">
        <v>27.12</v>
      </c>
      <c r="I1793" s="73">
        <v>4095.12</v>
      </c>
      <c r="J1793" s="72">
        <v>20.532649006622517</v>
      </c>
      <c r="K1793" s="73">
        <v>994.69</v>
      </c>
      <c r="L1793" s="74">
        <v>0</v>
      </c>
      <c r="M1793" s="73">
        <v>0</v>
      </c>
      <c r="N1793" s="74">
        <v>0</v>
      </c>
      <c r="O1793" s="73">
        <v>0</v>
      </c>
      <c r="P1793" s="74">
        <v>151</v>
      </c>
      <c r="Q1793" s="73">
        <v>4095.12</v>
      </c>
      <c r="R1793" s="71" t="s">
        <v>625</v>
      </c>
      <c r="S1793" s="71">
        <v>7414000005</v>
      </c>
      <c r="AB1793"/>
      <c r="AC1793"/>
    </row>
    <row r="1794" spans="1:29" x14ac:dyDescent="0.25">
      <c r="A1794" t="str">
        <f t="shared" si="28"/>
        <v xml:space="preserve">75220GCC *               </v>
      </c>
      <c r="B1794" s="71">
        <v>75220</v>
      </c>
      <c r="C1794" s="71" t="s">
        <v>847</v>
      </c>
      <c r="D1794" s="71" t="s">
        <v>373</v>
      </c>
      <c r="E1794" s="71" t="s">
        <v>623</v>
      </c>
      <c r="F1794" s="71" t="s">
        <v>624</v>
      </c>
      <c r="G1794" s="74">
        <v>113</v>
      </c>
      <c r="H1794" s="72">
        <v>176.44</v>
      </c>
      <c r="I1794" s="73">
        <v>19937.72</v>
      </c>
      <c r="J1794" s="72">
        <v>148.18530973451328</v>
      </c>
      <c r="K1794" s="73">
        <v>3192.78</v>
      </c>
      <c r="L1794" s="74">
        <v>0</v>
      </c>
      <c r="M1794" s="73">
        <v>0</v>
      </c>
      <c r="N1794" s="74">
        <v>0</v>
      </c>
      <c r="O1794" s="73">
        <v>0</v>
      </c>
      <c r="P1794" s="74">
        <v>113</v>
      </c>
      <c r="Q1794" s="73">
        <v>19937.72</v>
      </c>
      <c r="R1794" s="71" t="s">
        <v>625</v>
      </c>
      <c r="S1794" s="71">
        <v>7414000005</v>
      </c>
      <c r="AB1794"/>
      <c r="AC1794"/>
    </row>
    <row r="1795" spans="1:29" x14ac:dyDescent="0.25">
      <c r="A1795" t="str">
        <f t="shared" si="28"/>
        <v xml:space="preserve">75220GENTERA *           </v>
      </c>
      <c r="B1795" s="71">
        <v>75220</v>
      </c>
      <c r="C1795" s="71" t="s">
        <v>847</v>
      </c>
      <c r="D1795" s="71" t="s">
        <v>374</v>
      </c>
      <c r="E1795" s="71" t="s">
        <v>623</v>
      </c>
      <c r="F1795" s="71" t="s">
        <v>624</v>
      </c>
      <c r="G1795" s="74">
        <v>143</v>
      </c>
      <c r="H1795" s="72">
        <v>104.12</v>
      </c>
      <c r="I1795" s="73">
        <v>14889.16</v>
      </c>
      <c r="J1795" s="72">
        <v>81.289020979020975</v>
      </c>
      <c r="K1795" s="73">
        <v>3264.83</v>
      </c>
      <c r="L1795" s="74">
        <v>0</v>
      </c>
      <c r="M1795" s="73">
        <v>0</v>
      </c>
      <c r="N1795" s="74">
        <v>0</v>
      </c>
      <c r="O1795" s="73">
        <v>0</v>
      </c>
      <c r="P1795" s="74">
        <v>143</v>
      </c>
      <c r="Q1795" s="73">
        <v>14889.16</v>
      </c>
      <c r="R1795" s="71" t="s">
        <v>625</v>
      </c>
      <c r="S1795" s="71">
        <v>7414000005</v>
      </c>
      <c r="AB1795"/>
      <c r="AC1795"/>
    </row>
    <row r="1796" spans="1:29" x14ac:dyDescent="0.25">
      <c r="A1796" t="str">
        <f t="shared" si="28"/>
        <v xml:space="preserve">75220GFNORTE O           </v>
      </c>
      <c r="B1796" s="71">
        <v>75220</v>
      </c>
      <c r="C1796" s="71" t="s">
        <v>847</v>
      </c>
      <c r="D1796" s="71" t="s">
        <v>375</v>
      </c>
      <c r="E1796" s="71" t="s">
        <v>623</v>
      </c>
      <c r="F1796" s="71" t="s">
        <v>624</v>
      </c>
      <c r="G1796" s="74">
        <v>480</v>
      </c>
      <c r="H1796" s="72">
        <v>98.730349000000004</v>
      </c>
      <c r="I1796" s="73">
        <v>47390.567519999997</v>
      </c>
      <c r="J1796" s="72">
        <v>107.90983107562499</v>
      </c>
      <c r="K1796" s="73">
        <v>-4406.1513962999998</v>
      </c>
      <c r="L1796" s="74">
        <v>0</v>
      </c>
      <c r="M1796" s="73">
        <v>0</v>
      </c>
      <c r="N1796" s="74">
        <v>0</v>
      </c>
      <c r="O1796" s="73">
        <v>0</v>
      </c>
      <c r="P1796" s="74">
        <v>480</v>
      </c>
      <c r="Q1796" s="73">
        <v>47390.567519999997</v>
      </c>
      <c r="R1796" s="71" t="s">
        <v>625</v>
      </c>
      <c r="S1796" s="71">
        <v>7414000005</v>
      </c>
      <c r="AB1796"/>
      <c r="AC1796"/>
    </row>
    <row r="1797" spans="1:29" x14ac:dyDescent="0.25">
      <c r="A1797" t="str">
        <f t="shared" si="28"/>
        <v xml:space="preserve">75220GMEXICO B           </v>
      </c>
      <c r="B1797" s="71">
        <v>75220</v>
      </c>
      <c r="C1797" s="71" t="s">
        <v>847</v>
      </c>
      <c r="D1797" s="71" t="s">
        <v>376</v>
      </c>
      <c r="E1797" s="71" t="s">
        <v>623</v>
      </c>
      <c r="F1797" s="71" t="s">
        <v>624</v>
      </c>
      <c r="G1797" s="74">
        <v>163</v>
      </c>
      <c r="H1797" s="72">
        <v>99.247497999999993</v>
      </c>
      <c r="I1797" s="73">
        <v>16177.342173999999</v>
      </c>
      <c r="J1797" s="72">
        <v>15.363401382269938</v>
      </c>
      <c r="K1797" s="73">
        <v>13673.107748689999</v>
      </c>
      <c r="L1797" s="74">
        <v>0</v>
      </c>
      <c r="M1797" s="73">
        <v>0</v>
      </c>
      <c r="N1797" s="74">
        <v>0</v>
      </c>
      <c r="O1797" s="73">
        <v>0</v>
      </c>
      <c r="P1797" s="74">
        <v>163</v>
      </c>
      <c r="Q1797" s="73">
        <v>16177.342173999999</v>
      </c>
      <c r="R1797" s="71" t="s">
        <v>625</v>
      </c>
      <c r="S1797" s="71">
        <v>7414000005</v>
      </c>
      <c r="AB1797"/>
      <c r="AC1797"/>
    </row>
    <row r="1798" spans="1:29" x14ac:dyDescent="0.25">
      <c r="A1798" t="str">
        <f t="shared" si="28"/>
        <v xml:space="preserve">75220GOBFED 240905       </v>
      </c>
      <c r="B1798" s="71">
        <v>75220</v>
      </c>
      <c r="C1798" s="71" t="s">
        <v>847</v>
      </c>
      <c r="D1798" s="71" t="s">
        <v>377</v>
      </c>
      <c r="E1798" s="71" t="s">
        <v>623</v>
      </c>
      <c r="F1798" s="71" t="s">
        <v>624</v>
      </c>
      <c r="G1798" s="74">
        <v>440</v>
      </c>
      <c r="H1798" s="72">
        <v>94.973146999999997</v>
      </c>
      <c r="I1798" s="73">
        <v>41788.184679999998</v>
      </c>
      <c r="J1798" s="72">
        <v>89.983426490909096</v>
      </c>
      <c r="K1798" s="73">
        <v>2195.4770239999998</v>
      </c>
      <c r="L1798" s="74">
        <v>0</v>
      </c>
      <c r="M1798" s="73">
        <v>0</v>
      </c>
      <c r="N1798" s="74">
        <v>0</v>
      </c>
      <c r="O1798" s="73">
        <v>0</v>
      </c>
      <c r="P1798" s="74">
        <v>440</v>
      </c>
      <c r="Q1798" s="73">
        <v>41788.184679999998</v>
      </c>
      <c r="R1798" s="71" t="s">
        <v>625</v>
      </c>
      <c r="S1798" s="71">
        <v>7414000005</v>
      </c>
      <c r="AB1798"/>
      <c r="AC1798"/>
    </row>
    <row r="1799" spans="1:29" x14ac:dyDescent="0.25">
      <c r="A1799" t="str">
        <f t="shared" ref="A1799:A1862" si="29">B1797&amp;D1797</f>
        <v xml:space="preserve">75220GOBFED 241205       </v>
      </c>
      <c r="B1799" s="71">
        <v>75220</v>
      </c>
      <c r="C1799" s="71" t="s">
        <v>847</v>
      </c>
      <c r="D1799" s="71" t="s">
        <v>378</v>
      </c>
      <c r="E1799" s="71" t="s">
        <v>623</v>
      </c>
      <c r="F1799" s="71" t="s">
        <v>624</v>
      </c>
      <c r="G1799" s="74">
        <v>351</v>
      </c>
      <c r="H1799" s="72">
        <v>91.911821000000003</v>
      </c>
      <c r="I1799" s="73">
        <v>32261.049170999999</v>
      </c>
      <c r="J1799" s="72">
        <v>93.2088459</v>
      </c>
      <c r="K1799" s="73">
        <v>-455.25573989999998</v>
      </c>
      <c r="L1799" s="74">
        <v>0</v>
      </c>
      <c r="M1799" s="73">
        <v>0</v>
      </c>
      <c r="N1799" s="74">
        <v>0</v>
      </c>
      <c r="O1799" s="73">
        <v>0</v>
      </c>
      <c r="P1799" s="74">
        <v>351</v>
      </c>
      <c r="Q1799" s="73">
        <v>32261.049170999999</v>
      </c>
      <c r="R1799" s="71" t="s">
        <v>625</v>
      </c>
      <c r="S1799" s="71">
        <v>7414000005</v>
      </c>
      <c r="AB1799"/>
      <c r="AC1799"/>
    </row>
    <row r="1800" spans="1:29" x14ac:dyDescent="0.25">
      <c r="A1800" t="str">
        <f t="shared" si="29"/>
        <v xml:space="preserve">75220GOBFED 250306       </v>
      </c>
      <c r="B1800" s="71">
        <v>75220</v>
      </c>
      <c r="C1800" s="71" t="s">
        <v>847</v>
      </c>
      <c r="D1800" s="71" t="s">
        <v>379</v>
      </c>
      <c r="E1800" s="71" t="s">
        <v>623</v>
      </c>
      <c r="F1800" s="71" t="s">
        <v>624</v>
      </c>
      <c r="G1800" s="74">
        <v>435</v>
      </c>
      <c r="H1800" s="72">
        <v>88.698122999999995</v>
      </c>
      <c r="I1800" s="73">
        <v>38583.683505000001</v>
      </c>
      <c r="J1800" s="72">
        <v>88.303238416896548</v>
      </c>
      <c r="K1800" s="73">
        <v>171.77479364999999</v>
      </c>
      <c r="L1800" s="74">
        <v>0</v>
      </c>
      <c r="M1800" s="73">
        <v>0</v>
      </c>
      <c r="N1800" s="74">
        <v>0</v>
      </c>
      <c r="O1800" s="73">
        <v>0</v>
      </c>
      <c r="P1800" s="74">
        <v>435</v>
      </c>
      <c r="Q1800" s="73">
        <v>38583.683505000001</v>
      </c>
      <c r="R1800" s="71" t="s">
        <v>625</v>
      </c>
      <c r="S1800" s="71">
        <v>7414000005</v>
      </c>
      <c r="AB1800"/>
      <c r="AC1800"/>
    </row>
    <row r="1801" spans="1:29" x14ac:dyDescent="0.25">
      <c r="A1801" t="str">
        <f t="shared" si="29"/>
        <v xml:space="preserve">75220GOBFED 260305       </v>
      </c>
      <c r="B1801" s="71">
        <v>75220</v>
      </c>
      <c r="C1801" s="71" t="s">
        <v>847</v>
      </c>
      <c r="D1801" s="71" t="s">
        <v>380</v>
      </c>
      <c r="E1801" s="71" t="s">
        <v>623</v>
      </c>
      <c r="F1801" s="71" t="s">
        <v>624</v>
      </c>
      <c r="G1801" s="74">
        <v>356</v>
      </c>
      <c r="H1801" s="72">
        <v>93.314192000000006</v>
      </c>
      <c r="I1801" s="73">
        <v>33219.852352000002</v>
      </c>
      <c r="J1801" s="72">
        <v>100.15160151522471</v>
      </c>
      <c r="K1801" s="73">
        <v>-2434.1177874199998</v>
      </c>
      <c r="L1801" s="74">
        <v>0</v>
      </c>
      <c r="M1801" s="73">
        <v>0</v>
      </c>
      <c r="N1801" s="74">
        <v>0</v>
      </c>
      <c r="O1801" s="73">
        <v>0</v>
      </c>
      <c r="P1801" s="74">
        <v>356</v>
      </c>
      <c r="Q1801" s="73">
        <v>33219.852352000002</v>
      </c>
      <c r="R1801" s="71" t="s">
        <v>625</v>
      </c>
      <c r="S1801" s="71">
        <v>7414000005</v>
      </c>
      <c r="AB1801"/>
      <c r="AC1801"/>
    </row>
    <row r="1802" spans="1:29" x14ac:dyDescent="0.25">
      <c r="A1802" t="str">
        <f t="shared" si="29"/>
        <v xml:space="preserve">75220GOBFED 270304       </v>
      </c>
      <c r="B1802" s="71">
        <v>75220</v>
      </c>
      <c r="C1802" s="71" t="s">
        <v>847</v>
      </c>
      <c r="D1802" s="71" t="s">
        <v>381</v>
      </c>
      <c r="E1802" s="71" t="s">
        <v>623</v>
      </c>
      <c r="F1802" s="71" t="s">
        <v>624</v>
      </c>
      <c r="G1802" s="74">
        <v>890</v>
      </c>
      <c r="H1802" s="72">
        <v>94.870157000000006</v>
      </c>
      <c r="I1802" s="73">
        <v>84434.439729999998</v>
      </c>
      <c r="J1802" s="72">
        <v>97.423448415730334</v>
      </c>
      <c r="K1802" s="73">
        <v>-2272.4293600000001</v>
      </c>
      <c r="L1802" s="74">
        <v>0</v>
      </c>
      <c r="M1802" s="73">
        <v>0</v>
      </c>
      <c r="N1802" s="74">
        <v>0</v>
      </c>
      <c r="O1802" s="73">
        <v>0</v>
      </c>
      <c r="P1802" s="74">
        <v>890</v>
      </c>
      <c r="Q1802" s="73">
        <v>84434.439729999998</v>
      </c>
      <c r="R1802" s="71" t="s">
        <v>625</v>
      </c>
      <c r="S1802" s="71">
        <v>7414000005</v>
      </c>
      <c r="AB1802"/>
      <c r="AC1802"/>
    </row>
    <row r="1803" spans="1:29" x14ac:dyDescent="0.25">
      <c r="A1803" t="str">
        <f t="shared" si="29"/>
        <v xml:space="preserve">75220GOBFED 270603       </v>
      </c>
      <c r="B1803" s="71">
        <v>75220</v>
      </c>
      <c r="C1803" s="71" t="s">
        <v>847</v>
      </c>
      <c r="D1803" s="71" t="s">
        <v>382</v>
      </c>
      <c r="E1803" s="71" t="s">
        <v>623</v>
      </c>
      <c r="F1803" s="71" t="s">
        <v>624</v>
      </c>
      <c r="G1803" s="74">
        <v>60</v>
      </c>
      <c r="H1803" s="72">
        <v>89.489464999999996</v>
      </c>
      <c r="I1803" s="73">
        <v>5369.3679000000002</v>
      </c>
      <c r="J1803" s="72">
        <v>63.475725566666668</v>
      </c>
      <c r="K1803" s="73">
        <v>1560.8243660000001</v>
      </c>
      <c r="L1803" s="74">
        <v>0</v>
      </c>
      <c r="M1803" s="73">
        <v>0</v>
      </c>
      <c r="N1803" s="74">
        <v>0</v>
      </c>
      <c r="O1803" s="73">
        <v>0</v>
      </c>
      <c r="P1803" s="74">
        <v>60</v>
      </c>
      <c r="Q1803" s="73">
        <v>5369.3679000000002</v>
      </c>
      <c r="R1803" s="71" t="s">
        <v>625</v>
      </c>
      <c r="S1803" s="71">
        <v>7414000005</v>
      </c>
      <c r="AB1803"/>
      <c r="AC1803"/>
    </row>
    <row r="1804" spans="1:29" x14ac:dyDescent="0.25">
      <c r="A1804" t="str">
        <f t="shared" si="29"/>
        <v xml:space="preserve">75220GOBFED 290531       </v>
      </c>
      <c r="B1804" s="71">
        <v>75220</v>
      </c>
      <c r="C1804" s="71" t="s">
        <v>847</v>
      </c>
      <c r="D1804" s="71" t="s">
        <v>383</v>
      </c>
      <c r="E1804" s="71" t="s">
        <v>623</v>
      </c>
      <c r="F1804" s="71" t="s">
        <v>624</v>
      </c>
      <c r="G1804" s="74">
        <v>500</v>
      </c>
      <c r="H1804" s="72">
        <v>86.197128000000006</v>
      </c>
      <c r="I1804" s="73">
        <v>43098.563999999998</v>
      </c>
      <c r="J1804" s="72">
        <v>90.403334892399997</v>
      </c>
      <c r="K1804" s="73">
        <v>-2103.1034461999998</v>
      </c>
      <c r="L1804" s="74">
        <v>0</v>
      </c>
      <c r="M1804" s="73">
        <v>0</v>
      </c>
      <c r="N1804" s="74">
        <v>0</v>
      </c>
      <c r="O1804" s="73">
        <v>0</v>
      </c>
      <c r="P1804" s="74">
        <v>500</v>
      </c>
      <c r="Q1804" s="73">
        <v>43098.563999999998</v>
      </c>
      <c r="R1804" s="71" t="s">
        <v>625</v>
      </c>
      <c r="S1804" s="71">
        <v>7414000005</v>
      </c>
      <c r="AB1804"/>
      <c r="AC1804"/>
    </row>
    <row r="1805" spans="1:29" x14ac:dyDescent="0.25">
      <c r="A1805" t="str">
        <f t="shared" si="29"/>
        <v xml:space="preserve">75220GOBFED 310529       </v>
      </c>
      <c r="B1805" s="71">
        <v>75220</v>
      </c>
      <c r="C1805" s="71" t="s">
        <v>847</v>
      </c>
      <c r="D1805" s="71" t="s">
        <v>427</v>
      </c>
      <c r="E1805" s="71" t="s">
        <v>623</v>
      </c>
      <c r="F1805" s="71" t="s">
        <v>624</v>
      </c>
      <c r="G1805" s="74">
        <v>785</v>
      </c>
      <c r="H1805" s="72">
        <v>86.469353999999996</v>
      </c>
      <c r="I1805" s="73">
        <v>67878.442890000006</v>
      </c>
      <c r="J1805" s="72">
        <v>91.85044536961783</v>
      </c>
      <c r="K1805" s="73">
        <v>-4224.1567251500001</v>
      </c>
      <c r="L1805" s="74">
        <v>0</v>
      </c>
      <c r="M1805" s="73">
        <v>0</v>
      </c>
      <c r="N1805" s="74">
        <v>0</v>
      </c>
      <c r="O1805" s="73">
        <v>0</v>
      </c>
      <c r="P1805" s="74">
        <v>785</v>
      </c>
      <c r="Q1805" s="73">
        <v>67878.442890000006</v>
      </c>
      <c r="R1805" s="71" t="s">
        <v>625</v>
      </c>
      <c r="S1805" s="71">
        <v>7414000005</v>
      </c>
      <c r="AB1805"/>
      <c r="AC1805"/>
    </row>
    <row r="1806" spans="1:29" x14ac:dyDescent="0.25">
      <c r="A1806" t="str">
        <f t="shared" si="29"/>
        <v xml:space="preserve">75220GOBFED 330526       </v>
      </c>
      <c r="B1806" s="71">
        <v>75220</v>
      </c>
      <c r="C1806" s="71" t="s">
        <v>847</v>
      </c>
      <c r="D1806" s="71" t="s">
        <v>418</v>
      </c>
      <c r="E1806" s="71" t="s">
        <v>623</v>
      </c>
      <c r="F1806" s="71" t="s">
        <v>624</v>
      </c>
      <c r="G1806" s="74">
        <v>34</v>
      </c>
      <c r="H1806" s="72">
        <v>101.45096599999999</v>
      </c>
      <c r="I1806" s="73">
        <v>3449.332844</v>
      </c>
      <c r="J1806" s="72">
        <v>114.11447106</v>
      </c>
      <c r="K1806" s="73">
        <v>-430.55917204000002</v>
      </c>
      <c r="L1806" s="74">
        <v>0</v>
      </c>
      <c r="M1806" s="73">
        <v>0</v>
      </c>
      <c r="N1806" s="74">
        <v>0</v>
      </c>
      <c r="O1806" s="73">
        <v>0</v>
      </c>
      <c r="P1806" s="74">
        <v>34</v>
      </c>
      <c r="Q1806" s="73">
        <v>3449.332844</v>
      </c>
      <c r="R1806" s="71" t="s">
        <v>625</v>
      </c>
      <c r="S1806" s="71">
        <v>7414000005</v>
      </c>
      <c r="AB1806"/>
      <c r="AC1806"/>
    </row>
    <row r="1807" spans="1:29" x14ac:dyDescent="0.25">
      <c r="A1807" t="str">
        <f t="shared" si="29"/>
        <v xml:space="preserve">75220GOBFED 341123       </v>
      </c>
      <c r="B1807" s="71">
        <v>75220</v>
      </c>
      <c r="C1807" s="71" t="s">
        <v>847</v>
      </c>
      <c r="D1807" s="71" t="s">
        <v>408</v>
      </c>
      <c r="E1807" s="71" t="s">
        <v>623</v>
      </c>
      <c r="F1807" s="71" t="s">
        <v>624</v>
      </c>
      <c r="G1807" s="74">
        <v>28</v>
      </c>
      <c r="H1807" s="72">
        <v>89.643172000000007</v>
      </c>
      <c r="I1807" s="73">
        <v>2510.008816</v>
      </c>
      <c r="J1807" s="72">
        <v>108.47711812999999</v>
      </c>
      <c r="K1807" s="73">
        <v>-527.35049163999997</v>
      </c>
      <c r="L1807" s="74">
        <v>0</v>
      </c>
      <c r="M1807" s="73">
        <v>0</v>
      </c>
      <c r="N1807" s="74">
        <v>0</v>
      </c>
      <c r="O1807" s="73">
        <v>0</v>
      </c>
      <c r="P1807" s="74">
        <v>28</v>
      </c>
      <c r="Q1807" s="73">
        <v>2510.008816</v>
      </c>
      <c r="R1807" s="71" t="s">
        <v>625</v>
      </c>
      <c r="S1807" s="71">
        <v>7414000005</v>
      </c>
      <c r="AB1807"/>
      <c r="AC1807"/>
    </row>
    <row r="1808" spans="1:29" x14ac:dyDescent="0.25">
      <c r="A1808" t="str">
        <f t="shared" si="29"/>
        <v xml:space="preserve">75220GOBFED 361120       </v>
      </c>
      <c r="B1808" s="71">
        <v>75220</v>
      </c>
      <c r="C1808" s="71" t="s">
        <v>847</v>
      </c>
      <c r="D1808" s="71" t="s">
        <v>384</v>
      </c>
      <c r="E1808" s="71" t="s">
        <v>623</v>
      </c>
      <c r="F1808" s="71" t="s">
        <v>624</v>
      </c>
      <c r="G1808" s="74">
        <v>236</v>
      </c>
      <c r="H1808" s="72">
        <v>81.738860000000003</v>
      </c>
      <c r="I1808" s="73">
        <v>19290.37096</v>
      </c>
      <c r="J1808" s="72">
        <v>87.427712999999997</v>
      </c>
      <c r="K1808" s="73">
        <v>-1342.5693080000001</v>
      </c>
      <c r="L1808" s="74">
        <v>0</v>
      </c>
      <c r="M1808" s="73">
        <v>0</v>
      </c>
      <c r="N1808" s="74">
        <v>0</v>
      </c>
      <c r="O1808" s="73">
        <v>0</v>
      </c>
      <c r="P1808" s="74">
        <v>236</v>
      </c>
      <c r="Q1808" s="73">
        <v>19290.37096</v>
      </c>
      <c r="R1808" s="71" t="s">
        <v>625</v>
      </c>
      <c r="S1808" s="71">
        <v>7414000005</v>
      </c>
      <c r="AB1808"/>
      <c r="AC1808"/>
    </row>
    <row r="1809" spans="1:29" x14ac:dyDescent="0.25">
      <c r="A1809" t="str">
        <f t="shared" si="29"/>
        <v xml:space="preserve">75220GOBFED 381118       </v>
      </c>
      <c r="B1809" s="71">
        <v>75220</v>
      </c>
      <c r="C1809" s="71" t="s">
        <v>847</v>
      </c>
      <c r="D1809" s="71" t="s">
        <v>385</v>
      </c>
      <c r="E1809" s="71" t="s">
        <v>623</v>
      </c>
      <c r="F1809" s="71" t="s">
        <v>624</v>
      </c>
      <c r="G1809" s="74">
        <v>100</v>
      </c>
      <c r="H1809" s="72">
        <v>83.200761</v>
      </c>
      <c r="I1809" s="73">
        <v>8320.0761000000002</v>
      </c>
      <c r="J1809" s="72">
        <v>96.799409990000001</v>
      </c>
      <c r="K1809" s="73">
        <v>-1359.8648989999999</v>
      </c>
      <c r="L1809" s="74">
        <v>0</v>
      </c>
      <c r="M1809" s="73">
        <v>0</v>
      </c>
      <c r="N1809" s="74">
        <v>0</v>
      </c>
      <c r="O1809" s="73">
        <v>0</v>
      </c>
      <c r="P1809" s="74">
        <v>100</v>
      </c>
      <c r="Q1809" s="73">
        <v>8320.0761000000002</v>
      </c>
      <c r="R1809" s="71" t="s">
        <v>625</v>
      </c>
      <c r="S1809" s="71">
        <v>7414000005</v>
      </c>
      <c r="AB1809"/>
      <c r="AC1809"/>
    </row>
    <row r="1810" spans="1:29" x14ac:dyDescent="0.25">
      <c r="A1810" t="str">
        <f t="shared" si="29"/>
        <v xml:space="preserve">75220GOBFED 421113       </v>
      </c>
      <c r="B1810" s="71">
        <v>75220</v>
      </c>
      <c r="C1810" s="71" t="s">
        <v>847</v>
      </c>
      <c r="D1810" s="71" t="s">
        <v>386</v>
      </c>
      <c r="E1810" s="71" t="s">
        <v>623</v>
      </c>
      <c r="F1810" s="71" t="s">
        <v>624</v>
      </c>
      <c r="G1810" s="74">
        <v>35</v>
      </c>
      <c r="H1810" s="72">
        <v>82.159907000000004</v>
      </c>
      <c r="I1810" s="73">
        <v>2875.5967449999998</v>
      </c>
      <c r="J1810" s="72">
        <v>88.605995219999997</v>
      </c>
      <c r="K1810" s="73">
        <v>-225.61308769999999</v>
      </c>
      <c r="L1810" s="74">
        <v>0</v>
      </c>
      <c r="M1810" s="73">
        <v>0</v>
      </c>
      <c r="N1810" s="74">
        <v>0</v>
      </c>
      <c r="O1810" s="73">
        <v>0</v>
      </c>
      <c r="P1810" s="74">
        <v>35</v>
      </c>
      <c r="Q1810" s="73">
        <v>2875.5967449999998</v>
      </c>
      <c r="R1810" s="71" t="s">
        <v>625</v>
      </c>
      <c r="S1810" s="71">
        <v>7414000005</v>
      </c>
      <c r="AB1810"/>
      <c r="AC1810"/>
    </row>
    <row r="1811" spans="1:29" x14ac:dyDescent="0.25">
      <c r="A1811" t="str">
        <f t="shared" si="29"/>
        <v xml:space="preserve">75220GOBFED 471107       </v>
      </c>
      <c r="B1811" s="71">
        <v>75220</v>
      </c>
      <c r="C1811" s="71" t="s">
        <v>847</v>
      </c>
      <c r="D1811" s="71" t="s">
        <v>387</v>
      </c>
      <c r="E1811" s="71" t="s">
        <v>623</v>
      </c>
      <c r="F1811" s="71" t="s">
        <v>624</v>
      </c>
      <c r="G1811" s="74">
        <v>18</v>
      </c>
      <c r="H1811" s="72">
        <v>314.42</v>
      </c>
      <c r="I1811" s="73">
        <v>5659.56</v>
      </c>
      <c r="J1811" s="72">
        <v>259.66333333333336</v>
      </c>
      <c r="K1811" s="73">
        <v>985.62</v>
      </c>
      <c r="L1811" s="74">
        <v>0</v>
      </c>
      <c r="M1811" s="73">
        <v>0</v>
      </c>
      <c r="N1811" s="74">
        <v>0</v>
      </c>
      <c r="O1811" s="73">
        <v>0</v>
      </c>
      <c r="P1811" s="74">
        <v>18</v>
      </c>
      <c r="Q1811" s="73">
        <v>5659.56</v>
      </c>
      <c r="R1811" s="71" t="s">
        <v>625</v>
      </c>
      <c r="S1811" s="71">
        <v>7414000005</v>
      </c>
      <c r="AB1811"/>
      <c r="AC1811"/>
    </row>
    <row r="1812" spans="1:29" x14ac:dyDescent="0.25">
      <c r="A1812" t="str">
        <f t="shared" si="29"/>
        <v xml:space="preserve">75220GOBFED 530731       </v>
      </c>
      <c r="B1812" s="71">
        <v>75220</v>
      </c>
      <c r="C1812" s="71" t="s">
        <v>847</v>
      </c>
      <c r="D1812" s="71" t="s">
        <v>503</v>
      </c>
      <c r="E1812" s="71" t="s">
        <v>623</v>
      </c>
      <c r="F1812" s="71" t="s">
        <v>624</v>
      </c>
      <c r="G1812" s="74">
        <v>50</v>
      </c>
      <c r="H1812" s="72">
        <v>43.85</v>
      </c>
      <c r="I1812" s="73">
        <v>2192.5</v>
      </c>
      <c r="J1812" s="72">
        <v>39.805799999999998</v>
      </c>
      <c r="K1812" s="73">
        <v>202.21</v>
      </c>
      <c r="L1812" s="74">
        <v>0</v>
      </c>
      <c r="M1812" s="73">
        <v>0</v>
      </c>
      <c r="N1812" s="74">
        <v>0</v>
      </c>
      <c r="O1812" s="73">
        <v>0</v>
      </c>
      <c r="P1812" s="74">
        <v>50</v>
      </c>
      <c r="Q1812" s="73">
        <v>2192.5</v>
      </c>
      <c r="R1812" s="71" t="s">
        <v>625</v>
      </c>
      <c r="S1812" s="71">
        <v>7414000005</v>
      </c>
      <c r="AB1812"/>
      <c r="AC1812"/>
    </row>
    <row r="1813" spans="1:29" x14ac:dyDescent="0.25">
      <c r="A1813" t="str">
        <f t="shared" si="29"/>
        <v xml:space="preserve">75220GRUMA B             </v>
      </c>
      <c r="B1813" s="71">
        <v>75220</v>
      </c>
      <c r="C1813" s="71" t="s">
        <v>847</v>
      </c>
      <c r="D1813" s="71" t="s">
        <v>419</v>
      </c>
      <c r="E1813" s="71" t="s">
        <v>623</v>
      </c>
      <c r="F1813" s="71" t="s">
        <v>624</v>
      </c>
      <c r="G1813" s="74">
        <v>0</v>
      </c>
      <c r="H1813" s="72">
        <v>0</v>
      </c>
      <c r="I1813" s="73">
        <v>0</v>
      </c>
      <c r="J1813" s="72">
        <v>0</v>
      </c>
      <c r="K1813" s="73">
        <v>0</v>
      </c>
      <c r="L1813" s="74">
        <v>0</v>
      </c>
      <c r="M1813" s="73">
        <v>0</v>
      </c>
      <c r="N1813" s="74">
        <v>0</v>
      </c>
      <c r="O1813" s="73">
        <v>0</v>
      </c>
      <c r="P1813" s="74">
        <v>0</v>
      </c>
      <c r="Q1813" s="73">
        <v>0</v>
      </c>
      <c r="R1813" s="71" t="s">
        <v>625</v>
      </c>
      <c r="S1813" s="71">
        <v>7414000005</v>
      </c>
      <c r="AB1813"/>
      <c r="AC1813"/>
    </row>
    <row r="1814" spans="1:29" x14ac:dyDescent="0.25">
      <c r="A1814" t="str">
        <f t="shared" si="29"/>
        <v xml:space="preserve">75220HERDEZ *            </v>
      </c>
      <c r="B1814" s="71">
        <v>75220</v>
      </c>
      <c r="C1814" s="71" t="s">
        <v>847</v>
      </c>
      <c r="D1814" s="71" t="s">
        <v>540</v>
      </c>
      <c r="E1814" s="71" t="s">
        <v>623</v>
      </c>
      <c r="F1814" s="71" t="s">
        <v>624</v>
      </c>
      <c r="G1814" s="74">
        <v>54</v>
      </c>
      <c r="H1814" s="72">
        <v>36.28</v>
      </c>
      <c r="I1814" s="73">
        <v>1959.12</v>
      </c>
      <c r="J1814" s="72">
        <v>38.895370370370372</v>
      </c>
      <c r="K1814" s="73">
        <v>-141.22999999999999</v>
      </c>
      <c r="L1814" s="74">
        <v>0</v>
      </c>
      <c r="M1814" s="73">
        <v>0</v>
      </c>
      <c r="N1814" s="74">
        <v>0</v>
      </c>
      <c r="O1814" s="73">
        <v>0</v>
      </c>
      <c r="P1814" s="74">
        <v>54</v>
      </c>
      <c r="Q1814" s="73">
        <v>1959.12</v>
      </c>
      <c r="R1814" s="71" t="s">
        <v>625</v>
      </c>
      <c r="S1814" s="71">
        <v>7414000005</v>
      </c>
      <c r="AB1814"/>
      <c r="AC1814"/>
    </row>
    <row r="1815" spans="1:29" x14ac:dyDescent="0.25">
      <c r="A1815" t="str">
        <f t="shared" si="29"/>
        <v xml:space="preserve">75220IENOVA *            </v>
      </c>
      <c r="B1815" s="71">
        <v>75220</v>
      </c>
      <c r="C1815" s="71" t="s">
        <v>847</v>
      </c>
      <c r="D1815" s="71" t="s">
        <v>553</v>
      </c>
      <c r="E1815" s="71" t="s">
        <v>623</v>
      </c>
      <c r="F1815" s="71" t="s">
        <v>624</v>
      </c>
      <c r="G1815" s="74">
        <v>18</v>
      </c>
      <c r="H1815" s="72">
        <v>136.35</v>
      </c>
      <c r="I1815" s="73">
        <v>2454.3000000000002</v>
      </c>
      <c r="J1815" s="72">
        <v>125.99222222222222</v>
      </c>
      <c r="K1815" s="73">
        <v>186.44</v>
      </c>
      <c r="L1815" s="74">
        <v>0</v>
      </c>
      <c r="M1815" s="73">
        <v>0</v>
      </c>
      <c r="N1815" s="74">
        <v>0</v>
      </c>
      <c r="O1815" s="73">
        <v>0</v>
      </c>
      <c r="P1815" s="74">
        <v>18</v>
      </c>
      <c r="Q1815" s="73">
        <v>2454.3000000000002</v>
      </c>
      <c r="R1815" s="71" t="s">
        <v>625</v>
      </c>
      <c r="S1815" s="71">
        <v>7414000005</v>
      </c>
      <c r="AB1815"/>
      <c r="AC1815"/>
    </row>
    <row r="1816" spans="1:29" x14ac:dyDescent="0.25">
      <c r="A1816" t="str">
        <f t="shared" si="29"/>
        <v xml:space="preserve">75220LACOMER UBC         </v>
      </c>
      <c r="B1816" s="71">
        <v>75220</v>
      </c>
      <c r="C1816" s="71" t="s">
        <v>847</v>
      </c>
      <c r="D1816" s="71" t="s">
        <v>544</v>
      </c>
      <c r="E1816" s="71" t="s">
        <v>623</v>
      </c>
      <c r="F1816" s="71" t="s">
        <v>624</v>
      </c>
      <c r="G1816" s="74">
        <v>390</v>
      </c>
      <c r="H1816" s="72">
        <v>2.95</v>
      </c>
      <c r="I1816" s="73">
        <v>1150.5</v>
      </c>
      <c r="J1816" s="72">
        <v>4.489179487179487</v>
      </c>
      <c r="K1816" s="73">
        <v>-600.28</v>
      </c>
      <c r="L1816" s="74">
        <v>0</v>
      </c>
      <c r="M1816" s="73">
        <v>0</v>
      </c>
      <c r="N1816" s="74">
        <v>0</v>
      </c>
      <c r="O1816" s="73">
        <v>0</v>
      </c>
      <c r="P1816" s="74">
        <v>390</v>
      </c>
      <c r="Q1816" s="73">
        <v>1150.5</v>
      </c>
      <c r="R1816" s="71" t="s">
        <v>625</v>
      </c>
      <c r="S1816" s="71">
        <v>7414000005</v>
      </c>
      <c r="AB1816"/>
      <c r="AC1816"/>
    </row>
    <row r="1817" spans="1:29" x14ac:dyDescent="0.25">
      <c r="A1817" t="str">
        <f t="shared" si="29"/>
        <v xml:space="preserve">75220LIVEPOL C-1         </v>
      </c>
      <c r="B1817" s="71">
        <v>75220</v>
      </c>
      <c r="C1817" s="71" t="s">
        <v>847</v>
      </c>
      <c r="D1817" s="71" t="s">
        <v>429</v>
      </c>
      <c r="E1817" s="71" t="s">
        <v>623</v>
      </c>
      <c r="F1817" s="71" t="s">
        <v>624</v>
      </c>
      <c r="G1817" s="74">
        <v>395</v>
      </c>
      <c r="H1817" s="72">
        <v>98.007834000000003</v>
      </c>
      <c r="I1817" s="73">
        <v>38713.094429999997</v>
      </c>
      <c r="J1817" s="72">
        <v>91.988153008860763</v>
      </c>
      <c r="K1817" s="73">
        <v>2377.7739915000002</v>
      </c>
      <c r="L1817" s="74">
        <v>0</v>
      </c>
      <c r="M1817" s="73">
        <v>0</v>
      </c>
      <c r="N1817" s="74">
        <v>0</v>
      </c>
      <c r="O1817" s="73">
        <v>0</v>
      </c>
      <c r="P1817" s="74">
        <v>395</v>
      </c>
      <c r="Q1817" s="73">
        <v>38713.094429999997</v>
      </c>
      <c r="R1817" s="71" t="s">
        <v>625</v>
      </c>
      <c r="S1817" s="71">
        <v>7414000005</v>
      </c>
      <c r="AB1817"/>
      <c r="AC1817"/>
    </row>
    <row r="1818" spans="1:29" x14ac:dyDescent="0.25">
      <c r="A1818" t="str">
        <f t="shared" si="29"/>
        <v xml:space="preserve">75220NEMAK A             </v>
      </c>
      <c r="B1818" s="71">
        <v>75220</v>
      </c>
      <c r="C1818" s="71" t="s">
        <v>847</v>
      </c>
      <c r="D1818" s="71" t="s">
        <v>541</v>
      </c>
      <c r="E1818" s="71" t="s">
        <v>623</v>
      </c>
      <c r="F1818" s="71" t="s">
        <v>624</v>
      </c>
      <c r="G1818" s="74">
        <v>30</v>
      </c>
      <c r="H1818" s="72">
        <v>156</v>
      </c>
      <c r="I1818" s="73">
        <v>4680</v>
      </c>
      <c r="J1818" s="72">
        <v>144.05133333333333</v>
      </c>
      <c r="K1818" s="73">
        <v>358.46</v>
      </c>
      <c r="L1818" s="74">
        <v>0</v>
      </c>
      <c r="M1818" s="73">
        <v>0</v>
      </c>
      <c r="N1818" s="74">
        <v>0</v>
      </c>
      <c r="O1818" s="73">
        <v>0</v>
      </c>
      <c r="P1818" s="74">
        <v>30</v>
      </c>
      <c r="Q1818" s="73">
        <v>4680</v>
      </c>
      <c r="R1818" s="71" t="s">
        <v>625</v>
      </c>
      <c r="S1818" s="71">
        <v>7414000005</v>
      </c>
      <c r="AB1818"/>
      <c r="AC1818"/>
    </row>
    <row r="1819" spans="1:29" x14ac:dyDescent="0.25">
      <c r="A1819" t="str">
        <f t="shared" si="29"/>
        <v xml:space="preserve">75220PEMEX 13-2          </v>
      </c>
      <c r="B1819" s="71">
        <v>75220</v>
      </c>
      <c r="C1819" s="71" t="s">
        <v>847</v>
      </c>
      <c r="D1819" s="71" t="s">
        <v>459</v>
      </c>
      <c r="E1819" s="71" t="s">
        <v>623</v>
      </c>
      <c r="F1819" s="71" t="s">
        <v>624</v>
      </c>
      <c r="G1819" s="74">
        <v>52000</v>
      </c>
      <c r="H1819" s="72">
        <v>4.5848760000000004</v>
      </c>
      <c r="I1819" s="73">
        <v>238413.552</v>
      </c>
      <c r="J1819" s="72">
        <v>4.0912205769230772</v>
      </c>
      <c r="K1819" s="73">
        <v>25670.081999999999</v>
      </c>
      <c r="L1819" s="74">
        <v>0</v>
      </c>
      <c r="M1819" s="73">
        <v>0</v>
      </c>
      <c r="N1819" s="74">
        <v>0</v>
      </c>
      <c r="O1819" s="73">
        <v>0</v>
      </c>
      <c r="P1819" s="74">
        <v>52000</v>
      </c>
      <c r="Q1819" s="73">
        <v>238413.552</v>
      </c>
      <c r="R1819" s="71" t="s">
        <v>625</v>
      </c>
      <c r="S1819" s="71">
        <v>7414000005</v>
      </c>
      <c r="AB1819"/>
      <c r="AC1819"/>
    </row>
    <row r="1820" spans="1:29" x14ac:dyDescent="0.25">
      <c r="A1820" t="str">
        <f t="shared" si="29"/>
        <v xml:space="preserve">75220R A                 </v>
      </c>
      <c r="B1820" s="71">
        <v>75220</v>
      </c>
      <c r="C1820" s="71" t="s">
        <v>847</v>
      </c>
      <c r="D1820" s="71" t="s">
        <v>389</v>
      </c>
      <c r="E1820" s="71" t="s">
        <v>623</v>
      </c>
      <c r="F1820" s="71" t="s">
        <v>624</v>
      </c>
      <c r="G1820" s="74">
        <v>203484</v>
      </c>
      <c r="H1820" s="72">
        <v>3.3967719999999999</v>
      </c>
      <c r="I1820" s="73">
        <v>691188.75364799995</v>
      </c>
      <c r="J1820" s="72">
        <v>3.266363350435415</v>
      </c>
      <c r="K1820" s="73">
        <v>26536.073648000001</v>
      </c>
      <c r="L1820" s="74">
        <v>0</v>
      </c>
      <c r="M1820" s="73">
        <v>0</v>
      </c>
      <c r="N1820" s="74">
        <v>0</v>
      </c>
      <c r="O1820" s="73">
        <v>0</v>
      </c>
      <c r="P1820" s="74">
        <v>203484</v>
      </c>
      <c r="Q1820" s="73">
        <v>691188.75364799995</v>
      </c>
      <c r="R1820" s="71" t="s">
        <v>625</v>
      </c>
      <c r="S1820" s="71">
        <v>7414000005</v>
      </c>
      <c r="AB1820"/>
      <c r="AC1820"/>
    </row>
    <row r="1821" spans="1:29" x14ac:dyDescent="0.25">
      <c r="A1821" t="str">
        <f t="shared" si="29"/>
        <v xml:space="preserve">75220STER-OP ED          </v>
      </c>
      <c r="B1821" s="71">
        <v>75220</v>
      </c>
      <c r="C1821" s="71" t="s">
        <v>847</v>
      </c>
      <c r="D1821" s="71" t="s">
        <v>500</v>
      </c>
      <c r="E1821" s="71" t="s">
        <v>623</v>
      </c>
      <c r="F1821" s="71" t="s">
        <v>624</v>
      </c>
      <c r="G1821" s="74">
        <v>76</v>
      </c>
      <c r="H1821" s="72">
        <v>31.41</v>
      </c>
      <c r="I1821" s="73">
        <v>2387.16</v>
      </c>
      <c r="J1821" s="72">
        <v>33.13144736842105</v>
      </c>
      <c r="K1821" s="73">
        <v>-130.83000000000001</v>
      </c>
      <c r="L1821" s="74">
        <v>0</v>
      </c>
      <c r="M1821" s="73">
        <v>0</v>
      </c>
      <c r="N1821" s="74">
        <v>0</v>
      </c>
      <c r="O1821" s="73">
        <v>0</v>
      </c>
      <c r="P1821" s="74">
        <v>76</v>
      </c>
      <c r="Q1821" s="73">
        <v>2387.16</v>
      </c>
      <c r="R1821" s="71" t="s">
        <v>625</v>
      </c>
      <c r="S1821" s="71">
        <v>7414000005</v>
      </c>
      <c r="AB1821"/>
      <c r="AC1821"/>
    </row>
    <row r="1822" spans="1:29" x14ac:dyDescent="0.25">
      <c r="A1822" t="str">
        <f t="shared" si="29"/>
        <v xml:space="preserve">75220STERGOB ED          </v>
      </c>
      <c r="B1822" s="71">
        <v>75220</v>
      </c>
      <c r="C1822" s="71" t="s">
        <v>847</v>
      </c>
      <c r="D1822" s="71" t="s">
        <v>565</v>
      </c>
      <c r="E1822" s="71" t="s">
        <v>623</v>
      </c>
      <c r="F1822" s="71" t="s">
        <v>624</v>
      </c>
      <c r="G1822" s="74">
        <v>0</v>
      </c>
      <c r="H1822" s="72">
        <v>0</v>
      </c>
      <c r="I1822" s="73">
        <v>0</v>
      </c>
      <c r="J1822" s="72">
        <v>0</v>
      </c>
      <c r="K1822" s="73">
        <v>0</v>
      </c>
      <c r="L1822" s="74">
        <v>0</v>
      </c>
      <c r="M1822" s="73">
        <v>0</v>
      </c>
      <c r="N1822" s="74">
        <v>0</v>
      </c>
      <c r="O1822" s="73">
        <v>0</v>
      </c>
      <c r="P1822" s="74">
        <v>0</v>
      </c>
      <c r="Q1822" s="73">
        <v>0</v>
      </c>
      <c r="R1822" s="71" t="s">
        <v>625</v>
      </c>
      <c r="S1822" s="71">
        <v>7414000005</v>
      </c>
      <c r="AB1822"/>
      <c r="AC1822"/>
    </row>
    <row r="1823" spans="1:29" x14ac:dyDescent="0.25">
      <c r="A1823" t="str">
        <f t="shared" si="29"/>
        <v xml:space="preserve">75220TRAXION A           </v>
      </c>
      <c r="B1823" s="71">
        <v>75220</v>
      </c>
      <c r="C1823" s="71" t="s">
        <v>847</v>
      </c>
      <c r="D1823" s="71" t="s">
        <v>391</v>
      </c>
      <c r="E1823" s="71" t="s">
        <v>623</v>
      </c>
      <c r="F1823" s="71" t="s">
        <v>624</v>
      </c>
      <c r="G1823" s="74">
        <v>9</v>
      </c>
      <c r="H1823" s="72">
        <v>775.69178699999998</v>
      </c>
      <c r="I1823" s="73">
        <v>6981.2260829999996</v>
      </c>
      <c r="J1823" s="72">
        <v>728.26654728000005</v>
      </c>
      <c r="K1823" s="73">
        <v>426.82715747999998</v>
      </c>
      <c r="L1823" s="74">
        <v>0</v>
      </c>
      <c r="M1823" s="73">
        <v>0</v>
      </c>
      <c r="N1823" s="74">
        <v>0</v>
      </c>
      <c r="O1823" s="73">
        <v>0</v>
      </c>
      <c r="P1823" s="74">
        <v>9</v>
      </c>
      <c r="Q1823" s="73">
        <v>6981.2260829999996</v>
      </c>
      <c r="R1823" s="71" t="s">
        <v>625</v>
      </c>
      <c r="S1823" s="71">
        <v>7414000005</v>
      </c>
      <c r="AB1823"/>
      <c r="AC1823"/>
    </row>
    <row r="1824" spans="1:29" x14ac:dyDescent="0.25">
      <c r="A1824" t="str">
        <f t="shared" si="29"/>
        <v xml:space="preserve">75220UDIBONO 141218      </v>
      </c>
      <c r="B1824" s="71">
        <v>75220</v>
      </c>
      <c r="C1824" s="71" t="s">
        <v>847</v>
      </c>
      <c r="D1824" s="71" t="s">
        <v>392</v>
      </c>
      <c r="E1824" s="71" t="s">
        <v>623</v>
      </c>
      <c r="F1824" s="71" t="s">
        <v>624</v>
      </c>
      <c r="G1824" s="74">
        <v>60</v>
      </c>
      <c r="H1824" s="72">
        <v>747.17843200000004</v>
      </c>
      <c r="I1824" s="73">
        <v>44830.70592</v>
      </c>
      <c r="J1824" s="72">
        <v>709.94684380499996</v>
      </c>
      <c r="K1824" s="73">
        <v>2233.8952917000001</v>
      </c>
      <c r="L1824" s="74">
        <v>0</v>
      </c>
      <c r="M1824" s="73">
        <v>0</v>
      </c>
      <c r="N1824" s="74">
        <v>0</v>
      </c>
      <c r="O1824" s="73">
        <v>0</v>
      </c>
      <c r="P1824" s="74">
        <v>60</v>
      </c>
      <c r="Q1824" s="73">
        <v>44830.70592</v>
      </c>
      <c r="R1824" s="71" t="s">
        <v>625</v>
      </c>
      <c r="S1824" s="71">
        <v>7414000005</v>
      </c>
      <c r="AB1824"/>
      <c r="AC1824"/>
    </row>
    <row r="1825" spans="1:29" x14ac:dyDescent="0.25">
      <c r="A1825" t="str">
        <f t="shared" si="29"/>
        <v xml:space="preserve">75220UDIBONO 251204      </v>
      </c>
      <c r="B1825" s="71">
        <v>75220</v>
      </c>
      <c r="C1825" s="71" t="s">
        <v>847</v>
      </c>
      <c r="D1825" s="71" t="s">
        <v>393</v>
      </c>
      <c r="E1825" s="71" t="s">
        <v>623</v>
      </c>
      <c r="F1825" s="71" t="s">
        <v>624</v>
      </c>
      <c r="G1825" s="74">
        <v>24</v>
      </c>
      <c r="H1825" s="72">
        <v>765.92388300000005</v>
      </c>
      <c r="I1825" s="73">
        <v>18382.173191999998</v>
      </c>
      <c r="J1825" s="72">
        <v>773.79722630833328</v>
      </c>
      <c r="K1825" s="73">
        <v>-188.96023940000001</v>
      </c>
      <c r="L1825" s="74">
        <v>0</v>
      </c>
      <c r="M1825" s="73">
        <v>0</v>
      </c>
      <c r="N1825" s="74">
        <v>0</v>
      </c>
      <c r="O1825" s="73">
        <v>0</v>
      </c>
      <c r="P1825" s="74">
        <v>24</v>
      </c>
      <c r="Q1825" s="73">
        <v>18382.173191999998</v>
      </c>
      <c r="R1825" s="71" t="s">
        <v>625</v>
      </c>
      <c r="S1825" s="71">
        <v>7414000005</v>
      </c>
      <c r="AB1825"/>
      <c r="AC1825"/>
    </row>
    <row r="1826" spans="1:29" x14ac:dyDescent="0.25">
      <c r="A1826" t="str">
        <f t="shared" si="29"/>
        <v xml:space="preserve">75220UDIBONO 261203      </v>
      </c>
      <c r="B1826" s="71">
        <v>75220</v>
      </c>
      <c r="C1826" s="71" t="s">
        <v>847</v>
      </c>
      <c r="D1826" s="71" t="s">
        <v>394</v>
      </c>
      <c r="E1826" s="71" t="s">
        <v>623</v>
      </c>
      <c r="F1826" s="71" t="s">
        <v>624</v>
      </c>
      <c r="G1826" s="74">
        <v>24</v>
      </c>
      <c r="H1826" s="72">
        <v>684.88915799999995</v>
      </c>
      <c r="I1826" s="73">
        <v>16437.339791999999</v>
      </c>
      <c r="J1826" s="72">
        <v>674.82119490000002</v>
      </c>
      <c r="K1826" s="73">
        <v>241.6311144</v>
      </c>
      <c r="L1826" s="74">
        <v>0</v>
      </c>
      <c r="M1826" s="73">
        <v>0</v>
      </c>
      <c r="N1826" s="74">
        <v>0</v>
      </c>
      <c r="O1826" s="73">
        <v>0</v>
      </c>
      <c r="P1826" s="74">
        <v>24</v>
      </c>
      <c r="Q1826" s="73">
        <v>16437.339791999999</v>
      </c>
      <c r="R1826" s="71" t="s">
        <v>625</v>
      </c>
      <c r="S1826" s="71">
        <v>7414000005</v>
      </c>
      <c r="AB1826"/>
      <c r="AC1826"/>
    </row>
    <row r="1827" spans="1:29" x14ac:dyDescent="0.25">
      <c r="A1827" t="str">
        <f t="shared" si="29"/>
        <v xml:space="preserve">75220UDIBONO 281130      </v>
      </c>
      <c r="B1827" s="71">
        <v>75220</v>
      </c>
      <c r="C1827" s="71" t="s">
        <v>847</v>
      </c>
      <c r="D1827" s="71" t="s">
        <v>395</v>
      </c>
      <c r="E1827" s="71" t="s">
        <v>623</v>
      </c>
      <c r="F1827" s="71" t="s">
        <v>624</v>
      </c>
      <c r="G1827" s="74">
        <v>20</v>
      </c>
      <c r="H1827" s="72">
        <v>772.926965</v>
      </c>
      <c r="I1827" s="73">
        <v>15458.5393</v>
      </c>
      <c r="J1827" s="72">
        <v>798.93664675000002</v>
      </c>
      <c r="K1827" s="73">
        <v>-520.19363499999997</v>
      </c>
      <c r="L1827" s="74">
        <v>0</v>
      </c>
      <c r="M1827" s="73">
        <v>0</v>
      </c>
      <c r="N1827" s="74">
        <v>0</v>
      </c>
      <c r="O1827" s="73">
        <v>0</v>
      </c>
      <c r="P1827" s="74">
        <v>20</v>
      </c>
      <c r="Q1827" s="73">
        <v>15458.5393</v>
      </c>
      <c r="R1827" s="71" t="s">
        <v>625</v>
      </c>
      <c r="S1827" s="71">
        <v>7414000005</v>
      </c>
      <c r="AB1827"/>
      <c r="AC1827"/>
    </row>
    <row r="1828" spans="1:29" x14ac:dyDescent="0.25">
      <c r="A1828" t="str">
        <f t="shared" si="29"/>
        <v xml:space="preserve">75220UDIBONO 311127      </v>
      </c>
      <c r="B1828" s="71">
        <v>75220</v>
      </c>
      <c r="C1828" s="71" t="s">
        <v>847</v>
      </c>
      <c r="D1828" s="71" t="s">
        <v>396</v>
      </c>
      <c r="E1828" s="71" t="s">
        <v>623</v>
      </c>
      <c r="F1828" s="71" t="s">
        <v>624</v>
      </c>
      <c r="G1828" s="74">
        <v>6</v>
      </c>
      <c r="H1828" s="72">
        <v>721.59464000000003</v>
      </c>
      <c r="I1828" s="73">
        <v>4329.5678399999997</v>
      </c>
      <c r="J1828" s="72">
        <v>634.44666196666662</v>
      </c>
      <c r="K1828" s="73">
        <v>522.88786819999996</v>
      </c>
      <c r="L1828" s="74">
        <v>0</v>
      </c>
      <c r="M1828" s="73">
        <v>0</v>
      </c>
      <c r="N1828" s="74">
        <v>0</v>
      </c>
      <c r="O1828" s="73">
        <v>0</v>
      </c>
      <c r="P1828" s="74">
        <v>6</v>
      </c>
      <c r="Q1828" s="73">
        <v>4329.5678399999997</v>
      </c>
      <c r="R1828" s="71" t="s">
        <v>625</v>
      </c>
      <c r="S1828" s="71">
        <v>7414000005</v>
      </c>
      <c r="AB1828"/>
      <c r="AC1828"/>
    </row>
    <row r="1829" spans="1:29" x14ac:dyDescent="0.25">
      <c r="A1829" t="str">
        <f t="shared" si="29"/>
        <v xml:space="preserve">75220UDIBONO 351122      </v>
      </c>
      <c r="B1829" s="71">
        <v>75220</v>
      </c>
      <c r="C1829" s="71" t="s">
        <v>847</v>
      </c>
      <c r="D1829" s="71" t="s">
        <v>398</v>
      </c>
      <c r="E1829" s="71" t="s">
        <v>623</v>
      </c>
      <c r="F1829" s="71" t="s">
        <v>624</v>
      </c>
      <c r="G1829" s="74">
        <v>15</v>
      </c>
      <c r="H1829" s="72">
        <v>709.36974099999998</v>
      </c>
      <c r="I1829" s="73">
        <v>10640.546114999999</v>
      </c>
      <c r="J1829" s="72">
        <v>700.5651538533333</v>
      </c>
      <c r="K1829" s="73">
        <v>132.06880720000001</v>
      </c>
      <c r="L1829" s="74">
        <v>0</v>
      </c>
      <c r="M1829" s="73">
        <v>0</v>
      </c>
      <c r="N1829" s="74">
        <v>0</v>
      </c>
      <c r="O1829" s="73">
        <v>0</v>
      </c>
      <c r="P1829" s="74">
        <v>15</v>
      </c>
      <c r="Q1829" s="73">
        <v>10640.546114999999</v>
      </c>
      <c r="R1829" s="71" t="s">
        <v>625</v>
      </c>
      <c r="S1829" s="71">
        <v>7414000005</v>
      </c>
      <c r="AB1829"/>
      <c r="AC1829"/>
    </row>
    <row r="1830" spans="1:29" x14ac:dyDescent="0.25">
      <c r="A1830" t="str">
        <f t="shared" si="29"/>
        <v xml:space="preserve">75220UDIBONO 401115      </v>
      </c>
      <c r="B1830" s="71">
        <v>75220</v>
      </c>
      <c r="C1830" s="71" t="s">
        <v>847</v>
      </c>
      <c r="D1830" s="71" t="s">
        <v>400</v>
      </c>
      <c r="E1830" s="71" t="s">
        <v>623</v>
      </c>
      <c r="F1830" s="71" t="s">
        <v>624</v>
      </c>
      <c r="G1830" s="74">
        <v>140</v>
      </c>
      <c r="H1830" s="72">
        <v>58.67</v>
      </c>
      <c r="I1830" s="73">
        <v>8213.7999999999993</v>
      </c>
      <c r="J1830" s="72">
        <v>46.810428571428574</v>
      </c>
      <c r="K1830" s="73">
        <v>1660.34</v>
      </c>
      <c r="L1830" s="74">
        <v>0</v>
      </c>
      <c r="M1830" s="73">
        <v>0</v>
      </c>
      <c r="N1830" s="74">
        <v>0</v>
      </c>
      <c r="O1830" s="73">
        <v>0</v>
      </c>
      <c r="P1830" s="74">
        <v>140</v>
      </c>
      <c r="Q1830" s="73">
        <v>8213.7999999999993</v>
      </c>
      <c r="R1830" s="71" t="s">
        <v>625</v>
      </c>
      <c r="S1830" s="71">
        <v>7414000005</v>
      </c>
      <c r="AB1830"/>
      <c r="AC1830"/>
    </row>
    <row r="1831" spans="1:29" x14ac:dyDescent="0.25">
      <c r="A1831" t="str">
        <f t="shared" si="29"/>
        <v xml:space="preserve">75220UDIBONO 461108      </v>
      </c>
      <c r="B1831" s="71">
        <v>75220</v>
      </c>
      <c r="C1831" s="71" t="s">
        <v>847</v>
      </c>
      <c r="D1831" s="71" t="s">
        <v>403</v>
      </c>
      <c r="E1831" s="71" t="s">
        <v>623</v>
      </c>
      <c r="F1831" s="71" t="s">
        <v>624</v>
      </c>
      <c r="G1831" s="74">
        <v>200</v>
      </c>
      <c r="H1831" s="72">
        <v>65.260000000000005</v>
      </c>
      <c r="I1831" s="73">
        <v>13052</v>
      </c>
      <c r="J1831" s="72">
        <v>68.203550000000007</v>
      </c>
      <c r="K1831" s="73">
        <v>-588.71</v>
      </c>
      <c r="L1831" s="74">
        <v>0</v>
      </c>
      <c r="M1831" s="73">
        <v>0</v>
      </c>
      <c r="N1831" s="74">
        <v>0</v>
      </c>
      <c r="O1831" s="73">
        <v>0</v>
      </c>
      <c r="P1831" s="74">
        <v>200</v>
      </c>
      <c r="Q1831" s="73">
        <v>13052</v>
      </c>
      <c r="R1831" s="71" t="s">
        <v>625</v>
      </c>
      <c r="S1831" s="71">
        <v>7414000005</v>
      </c>
      <c r="AB1831"/>
      <c r="AC1831"/>
    </row>
    <row r="1832" spans="1:29" x14ac:dyDescent="0.25">
      <c r="A1832" t="str">
        <f t="shared" si="29"/>
        <v xml:space="preserve">75220VESTA *             </v>
      </c>
      <c r="B1832" s="71">
        <v>75221</v>
      </c>
      <c r="C1832" s="71" t="s">
        <v>848</v>
      </c>
      <c r="D1832" s="71" t="s">
        <v>409</v>
      </c>
      <c r="E1832" s="71" t="s">
        <v>623</v>
      </c>
      <c r="F1832" s="71" t="s">
        <v>624</v>
      </c>
      <c r="G1832" s="74">
        <v>784170</v>
      </c>
      <c r="H1832" s="72">
        <v>9.3381629999999998</v>
      </c>
      <c r="I1832" s="73">
        <v>7322707.2797100004</v>
      </c>
      <c r="J1832" s="72">
        <v>8.3307969100000001</v>
      </c>
      <c r="K1832" s="73">
        <v>789946.26679529995</v>
      </c>
      <c r="L1832" s="74">
        <v>0</v>
      </c>
      <c r="M1832" s="73">
        <v>0</v>
      </c>
      <c r="N1832" s="74">
        <v>0</v>
      </c>
      <c r="O1832" s="73">
        <v>0</v>
      </c>
      <c r="P1832" s="74">
        <v>784170</v>
      </c>
      <c r="Q1832" s="73">
        <v>7322707.2797100004</v>
      </c>
      <c r="R1832" s="71" t="s">
        <v>625</v>
      </c>
      <c r="S1832" s="71">
        <v>7414000005</v>
      </c>
      <c r="AB1832"/>
      <c r="AC1832"/>
    </row>
    <row r="1833" spans="1:29" x14ac:dyDescent="0.25">
      <c r="A1833" t="str">
        <f t="shared" si="29"/>
        <v xml:space="preserve">75220WALMEX *            </v>
      </c>
      <c r="B1833" s="71">
        <v>75221</v>
      </c>
      <c r="C1833" s="71" t="s">
        <v>848</v>
      </c>
      <c r="D1833" s="71" t="s">
        <v>613</v>
      </c>
      <c r="E1833" s="71" t="s">
        <v>623</v>
      </c>
      <c r="F1833" s="71" t="s">
        <v>624</v>
      </c>
      <c r="G1833" s="74">
        <v>73540</v>
      </c>
      <c r="H1833" s="72">
        <v>8.2580650000000002</v>
      </c>
      <c r="I1833" s="73">
        <v>607298.10010000004</v>
      </c>
      <c r="J1833" s="72">
        <v>8.2501711100000001</v>
      </c>
      <c r="K1833" s="73">
        <v>580.5166706</v>
      </c>
      <c r="L1833" s="74">
        <v>0</v>
      </c>
      <c r="M1833" s="73">
        <v>0</v>
      </c>
      <c r="N1833" s="74">
        <v>0</v>
      </c>
      <c r="O1833" s="73">
        <v>0</v>
      </c>
      <c r="P1833" s="74">
        <v>73540</v>
      </c>
      <c r="Q1833" s="73">
        <v>607298.10010000004</v>
      </c>
      <c r="R1833" s="71" t="s">
        <v>625</v>
      </c>
      <c r="S1833" s="71">
        <v>7414000005</v>
      </c>
      <c r="AB1833"/>
      <c r="AC1833"/>
    </row>
    <row r="1834" spans="1:29" x14ac:dyDescent="0.25">
      <c r="A1834" t="str">
        <f t="shared" si="29"/>
        <v xml:space="preserve">75221CETES 241128        </v>
      </c>
      <c r="B1834" s="71">
        <v>75221</v>
      </c>
      <c r="C1834" s="71" t="s">
        <v>848</v>
      </c>
      <c r="D1834" s="71" t="s">
        <v>376</v>
      </c>
      <c r="E1834" s="71" t="s">
        <v>623</v>
      </c>
      <c r="F1834" s="71" t="s">
        <v>624</v>
      </c>
      <c r="G1834" s="74">
        <v>0</v>
      </c>
      <c r="H1834" s="72">
        <v>0</v>
      </c>
      <c r="I1834" s="73">
        <v>0</v>
      </c>
      <c r="J1834" s="72">
        <v>0</v>
      </c>
      <c r="K1834" s="73">
        <v>0</v>
      </c>
      <c r="L1834" s="74">
        <v>0</v>
      </c>
      <c r="M1834" s="73">
        <v>0</v>
      </c>
      <c r="N1834" s="74">
        <v>0</v>
      </c>
      <c r="O1834" s="73">
        <v>0</v>
      </c>
      <c r="P1834" s="74">
        <v>0</v>
      </c>
      <c r="Q1834" s="73">
        <v>0</v>
      </c>
      <c r="R1834" s="71" t="s">
        <v>625</v>
      </c>
      <c r="S1834" s="71">
        <v>7414000005</v>
      </c>
      <c r="AB1834"/>
      <c r="AC1834"/>
    </row>
    <row r="1835" spans="1:29" x14ac:dyDescent="0.25">
      <c r="A1835" t="str">
        <f t="shared" si="29"/>
        <v xml:space="preserve">75221CETES 260219        </v>
      </c>
      <c r="B1835" s="71">
        <v>75221</v>
      </c>
      <c r="C1835" s="71" t="s">
        <v>848</v>
      </c>
      <c r="D1835" s="71" t="s">
        <v>382</v>
      </c>
      <c r="E1835" s="71" t="s">
        <v>623</v>
      </c>
      <c r="F1835" s="71" t="s">
        <v>624</v>
      </c>
      <c r="G1835" s="74">
        <v>0</v>
      </c>
      <c r="H1835" s="72">
        <v>0</v>
      </c>
      <c r="I1835" s="73">
        <v>0</v>
      </c>
      <c r="J1835" s="72">
        <v>0</v>
      </c>
      <c r="K1835" s="73">
        <v>0</v>
      </c>
      <c r="L1835" s="74">
        <v>0</v>
      </c>
      <c r="M1835" s="73">
        <v>0</v>
      </c>
      <c r="N1835" s="74">
        <v>0</v>
      </c>
      <c r="O1835" s="73">
        <v>0</v>
      </c>
      <c r="P1835" s="74">
        <v>0</v>
      </c>
      <c r="Q1835" s="73">
        <v>0</v>
      </c>
      <c r="R1835" s="71" t="s">
        <v>625</v>
      </c>
      <c r="S1835" s="71">
        <v>7414000005</v>
      </c>
      <c r="AB1835"/>
      <c r="AC1835"/>
    </row>
    <row r="1836" spans="1:29" x14ac:dyDescent="0.25">
      <c r="A1836" t="str">
        <f t="shared" si="29"/>
        <v xml:space="preserve">75221GOBFED 241205       </v>
      </c>
      <c r="B1836" s="71">
        <v>75221</v>
      </c>
      <c r="C1836" s="71" t="s">
        <v>848</v>
      </c>
      <c r="D1836" s="71" t="s">
        <v>384</v>
      </c>
      <c r="E1836" s="71" t="s">
        <v>623</v>
      </c>
      <c r="F1836" s="71" t="s">
        <v>624</v>
      </c>
      <c r="G1836" s="74">
        <v>12000</v>
      </c>
      <c r="H1836" s="72">
        <v>81.738860000000003</v>
      </c>
      <c r="I1836" s="73">
        <v>980866.32</v>
      </c>
      <c r="J1836" s="72">
        <v>82.321475193333328</v>
      </c>
      <c r="K1836" s="73">
        <v>-6991.3823199999997</v>
      </c>
      <c r="L1836" s="74">
        <v>0</v>
      </c>
      <c r="M1836" s="73">
        <v>0</v>
      </c>
      <c r="N1836" s="74">
        <v>0</v>
      </c>
      <c r="O1836" s="73">
        <v>0</v>
      </c>
      <c r="P1836" s="74">
        <v>12000</v>
      </c>
      <c r="Q1836" s="73">
        <v>980866.32</v>
      </c>
      <c r="R1836" s="71" t="s">
        <v>625</v>
      </c>
      <c r="S1836" s="71">
        <v>7414000005</v>
      </c>
      <c r="AB1836"/>
      <c r="AC1836"/>
    </row>
    <row r="1837" spans="1:29" x14ac:dyDescent="0.25">
      <c r="A1837" t="str">
        <f t="shared" si="29"/>
        <v xml:space="preserve">75221GOBFED 310529       </v>
      </c>
      <c r="B1837" s="71">
        <v>75221</v>
      </c>
      <c r="C1837" s="71" t="s">
        <v>848</v>
      </c>
      <c r="D1837" s="71" t="s">
        <v>386</v>
      </c>
      <c r="E1837" s="71" t="s">
        <v>623</v>
      </c>
      <c r="F1837" s="71" t="s">
        <v>624</v>
      </c>
      <c r="G1837" s="74">
        <v>25000</v>
      </c>
      <c r="H1837" s="72">
        <v>82.159907000000004</v>
      </c>
      <c r="I1837" s="73">
        <v>2053997.675</v>
      </c>
      <c r="J1837" s="72">
        <v>84.345688319999994</v>
      </c>
      <c r="K1837" s="73">
        <v>-54644.533000000003</v>
      </c>
      <c r="L1837" s="74">
        <v>0</v>
      </c>
      <c r="M1837" s="73">
        <v>0</v>
      </c>
      <c r="N1837" s="74">
        <v>0</v>
      </c>
      <c r="O1837" s="73">
        <v>0</v>
      </c>
      <c r="P1837" s="74">
        <v>25000</v>
      </c>
      <c r="Q1837" s="73">
        <v>2053997.675</v>
      </c>
      <c r="R1837" s="71" t="s">
        <v>625</v>
      </c>
      <c r="S1837" s="71">
        <v>7414000005</v>
      </c>
      <c r="AB1837"/>
      <c r="AC1837"/>
    </row>
    <row r="1838" spans="1:29" x14ac:dyDescent="0.25">
      <c r="A1838" t="str">
        <f t="shared" si="29"/>
        <v xml:space="preserve">75221GOBFED 421113       </v>
      </c>
      <c r="B1838" s="71">
        <v>75221</v>
      </c>
      <c r="C1838" s="71" t="s">
        <v>848</v>
      </c>
      <c r="D1838" s="71" t="s">
        <v>389</v>
      </c>
      <c r="E1838" s="71" t="s">
        <v>623</v>
      </c>
      <c r="F1838" s="71" t="s">
        <v>624</v>
      </c>
      <c r="G1838" s="74">
        <v>2459952</v>
      </c>
      <c r="H1838" s="72">
        <v>3.3967719999999999</v>
      </c>
      <c r="I1838" s="73">
        <v>8355896.0749439998</v>
      </c>
      <c r="J1838" s="72">
        <v>3.3030511570957484</v>
      </c>
      <c r="K1838" s="73">
        <v>230548.774944</v>
      </c>
      <c r="L1838" s="74">
        <v>0</v>
      </c>
      <c r="M1838" s="73">
        <v>0</v>
      </c>
      <c r="N1838" s="74">
        <v>0</v>
      </c>
      <c r="O1838" s="73">
        <v>0</v>
      </c>
      <c r="P1838" s="74">
        <v>2459952</v>
      </c>
      <c r="Q1838" s="73">
        <v>8355896.0749439998</v>
      </c>
      <c r="R1838" s="71" t="s">
        <v>625</v>
      </c>
      <c r="S1838" s="71">
        <v>7414000005</v>
      </c>
      <c r="AB1838"/>
      <c r="AC1838"/>
    </row>
    <row r="1839" spans="1:29" x14ac:dyDescent="0.25">
      <c r="A1839" t="str">
        <f t="shared" si="29"/>
        <v xml:space="preserve">75221GOBFED 530731       </v>
      </c>
      <c r="B1839" s="71">
        <v>75221</v>
      </c>
      <c r="C1839" s="71" t="s">
        <v>848</v>
      </c>
      <c r="D1839" s="71" t="s">
        <v>394</v>
      </c>
      <c r="E1839" s="71" t="s">
        <v>623</v>
      </c>
      <c r="F1839" s="71" t="s">
        <v>624</v>
      </c>
      <c r="G1839" s="74">
        <v>6000</v>
      </c>
      <c r="H1839" s="72">
        <v>684.88915799999995</v>
      </c>
      <c r="I1839" s="73">
        <v>4109334.9479999999</v>
      </c>
      <c r="J1839" s="72">
        <v>705.54665124999997</v>
      </c>
      <c r="K1839" s="73">
        <v>-123944.9595</v>
      </c>
      <c r="L1839" s="74">
        <v>0</v>
      </c>
      <c r="M1839" s="73">
        <v>0</v>
      </c>
      <c r="N1839" s="74">
        <v>0</v>
      </c>
      <c r="O1839" s="73">
        <v>0</v>
      </c>
      <c r="P1839" s="74">
        <v>6000</v>
      </c>
      <c r="Q1839" s="73">
        <v>4109334.9479999999</v>
      </c>
      <c r="R1839" s="71" t="s">
        <v>625</v>
      </c>
      <c r="S1839" s="71">
        <v>7414000005</v>
      </c>
      <c r="AB1839"/>
      <c r="AC1839"/>
    </row>
    <row r="1840" spans="1:29" x14ac:dyDescent="0.25">
      <c r="A1840" t="str">
        <f t="shared" si="29"/>
        <v xml:space="preserve">75221STERGOB ED          </v>
      </c>
      <c r="B1840" s="71">
        <v>75221</v>
      </c>
      <c r="C1840" s="71" t="s">
        <v>848</v>
      </c>
      <c r="D1840" s="71" t="s">
        <v>396</v>
      </c>
      <c r="E1840" s="71" t="s">
        <v>623</v>
      </c>
      <c r="F1840" s="71" t="s">
        <v>624</v>
      </c>
      <c r="G1840" s="74">
        <v>0</v>
      </c>
      <c r="H1840" s="72">
        <v>0</v>
      </c>
      <c r="I1840" s="73">
        <v>0</v>
      </c>
      <c r="J1840" s="72">
        <v>0</v>
      </c>
      <c r="K1840" s="73">
        <v>0</v>
      </c>
      <c r="L1840" s="74">
        <v>0</v>
      </c>
      <c r="M1840" s="73">
        <v>0</v>
      </c>
      <c r="N1840" s="74">
        <v>0</v>
      </c>
      <c r="O1840" s="73">
        <v>0</v>
      </c>
      <c r="P1840" s="74">
        <v>0</v>
      </c>
      <c r="Q1840" s="73">
        <v>0</v>
      </c>
      <c r="R1840" s="71" t="s">
        <v>625</v>
      </c>
      <c r="S1840" s="71">
        <v>7414000005</v>
      </c>
      <c r="AB1840"/>
      <c r="AC1840"/>
    </row>
    <row r="1841" spans="1:29" x14ac:dyDescent="0.25">
      <c r="A1841" t="str">
        <f t="shared" si="29"/>
        <v xml:space="preserve">75221UDIBONO 311127      </v>
      </c>
      <c r="B1841" s="71">
        <v>75221</v>
      </c>
      <c r="C1841" s="71" t="s">
        <v>848</v>
      </c>
      <c r="D1841" s="71" t="s">
        <v>399</v>
      </c>
      <c r="E1841" s="71" t="s">
        <v>623</v>
      </c>
      <c r="F1841" s="71" t="s">
        <v>624</v>
      </c>
      <c r="G1841" s="74">
        <v>3000</v>
      </c>
      <c r="H1841" s="72">
        <v>694.41118700000004</v>
      </c>
      <c r="I1841" s="73">
        <v>2083233.561</v>
      </c>
      <c r="J1841" s="72">
        <v>719.08721302000004</v>
      </c>
      <c r="K1841" s="73">
        <v>-74028.07806</v>
      </c>
      <c r="L1841" s="74">
        <v>0</v>
      </c>
      <c r="M1841" s="73">
        <v>0</v>
      </c>
      <c r="N1841" s="74">
        <v>0</v>
      </c>
      <c r="O1841" s="73">
        <v>0</v>
      </c>
      <c r="P1841" s="74">
        <v>3000</v>
      </c>
      <c r="Q1841" s="73">
        <v>2083233.561</v>
      </c>
      <c r="R1841" s="71" t="s">
        <v>625</v>
      </c>
      <c r="S1841" s="71">
        <v>7414000005</v>
      </c>
      <c r="AB1841"/>
      <c r="AC1841"/>
    </row>
    <row r="1842" spans="1:29" x14ac:dyDescent="0.25">
      <c r="A1842" t="str">
        <f t="shared" si="29"/>
        <v xml:space="preserve">75221UDIBONO 401115      </v>
      </c>
      <c r="B1842" s="71">
        <v>75222</v>
      </c>
      <c r="C1842" s="71" t="s">
        <v>849</v>
      </c>
      <c r="D1842" s="71" t="s">
        <v>409</v>
      </c>
      <c r="E1842" s="71" t="s">
        <v>623</v>
      </c>
      <c r="F1842" s="71" t="s">
        <v>624</v>
      </c>
      <c r="G1842" s="74">
        <v>94140</v>
      </c>
      <c r="H1842" s="72">
        <v>9.3381629999999998</v>
      </c>
      <c r="I1842" s="73">
        <v>879094.66481999995</v>
      </c>
      <c r="J1842" s="72">
        <v>8.3307969100000001</v>
      </c>
      <c r="K1842" s="73">
        <v>94833.443712599998</v>
      </c>
      <c r="L1842" s="74">
        <v>0</v>
      </c>
      <c r="M1842" s="73">
        <v>0</v>
      </c>
      <c r="N1842" s="74">
        <v>0</v>
      </c>
      <c r="O1842" s="73">
        <v>0</v>
      </c>
      <c r="P1842" s="74">
        <v>94140</v>
      </c>
      <c r="Q1842" s="73">
        <v>879094.66481999995</v>
      </c>
      <c r="R1842" s="71" t="s">
        <v>625</v>
      </c>
      <c r="S1842" s="71">
        <v>7414000005</v>
      </c>
      <c r="AB1842"/>
      <c r="AC1842"/>
    </row>
    <row r="1843" spans="1:29" x14ac:dyDescent="0.25">
      <c r="A1843" t="str">
        <f t="shared" si="29"/>
        <v xml:space="preserve">75221UDIBONO 501103      </v>
      </c>
      <c r="B1843" s="71">
        <v>75222</v>
      </c>
      <c r="C1843" s="71" t="s">
        <v>849</v>
      </c>
      <c r="D1843" s="71" t="s">
        <v>613</v>
      </c>
      <c r="E1843" s="71" t="s">
        <v>623</v>
      </c>
      <c r="F1843" s="71" t="s">
        <v>624</v>
      </c>
      <c r="G1843" s="74">
        <v>61500</v>
      </c>
      <c r="H1843" s="72">
        <v>8.2580650000000002</v>
      </c>
      <c r="I1843" s="73">
        <v>507870.9975</v>
      </c>
      <c r="J1843" s="72">
        <v>8.2501711100000001</v>
      </c>
      <c r="K1843" s="73">
        <v>485.47423500000002</v>
      </c>
      <c r="L1843" s="74">
        <v>0</v>
      </c>
      <c r="M1843" s="73">
        <v>0</v>
      </c>
      <c r="N1843" s="74">
        <v>0</v>
      </c>
      <c r="O1843" s="73">
        <v>0</v>
      </c>
      <c r="P1843" s="74">
        <v>61500</v>
      </c>
      <c r="Q1843" s="73">
        <v>507870.9975</v>
      </c>
      <c r="R1843" s="71" t="s">
        <v>625</v>
      </c>
      <c r="S1843" s="71">
        <v>7414000005</v>
      </c>
      <c r="AB1843"/>
      <c r="AC1843"/>
    </row>
    <row r="1844" spans="1:29" x14ac:dyDescent="0.25">
      <c r="A1844" t="str">
        <f t="shared" si="29"/>
        <v xml:space="preserve">75222CETES 241128        </v>
      </c>
      <c r="B1844" s="71">
        <v>75222</v>
      </c>
      <c r="C1844" s="71" t="s">
        <v>849</v>
      </c>
      <c r="D1844" s="71" t="s">
        <v>375</v>
      </c>
      <c r="E1844" s="71" t="s">
        <v>623</v>
      </c>
      <c r="F1844" s="71" t="s">
        <v>624</v>
      </c>
      <c r="G1844" s="74">
        <v>3250</v>
      </c>
      <c r="H1844" s="72">
        <v>98.730349000000004</v>
      </c>
      <c r="I1844" s="73">
        <v>320873.63425</v>
      </c>
      <c r="J1844" s="72">
        <v>111.89286593999999</v>
      </c>
      <c r="K1844" s="73">
        <v>-42778.180054999997</v>
      </c>
      <c r="L1844" s="74">
        <v>0</v>
      </c>
      <c r="M1844" s="73">
        <v>0</v>
      </c>
      <c r="N1844" s="74">
        <v>0</v>
      </c>
      <c r="O1844" s="73">
        <v>0</v>
      </c>
      <c r="P1844" s="74">
        <v>3250</v>
      </c>
      <c r="Q1844" s="73">
        <v>320873.63425</v>
      </c>
      <c r="R1844" s="71" t="s">
        <v>625</v>
      </c>
      <c r="S1844" s="71">
        <v>7414000005</v>
      </c>
      <c r="AB1844"/>
      <c r="AC1844"/>
    </row>
    <row r="1845" spans="1:29" x14ac:dyDescent="0.25">
      <c r="A1845" t="str">
        <f t="shared" si="29"/>
        <v xml:space="preserve">75222CETES 260219        </v>
      </c>
      <c r="B1845" s="71">
        <v>75222</v>
      </c>
      <c r="C1845" s="71" t="s">
        <v>849</v>
      </c>
      <c r="D1845" s="71" t="s">
        <v>376</v>
      </c>
      <c r="E1845" s="71" t="s">
        <v>623</v>
      </c>
      <c r="F1845" s="71" t="s">
        <v>624</v>
      </c>
      <c r="G1845" s="74">
        <v>1390</v>
      </c>
      <c r="H1845" s="72">
        <v>99.247497999999993</v>
      </c>
      <c r="I1845" s="73">
        <v>137954.02222000001</v>
      </c>
      <c r="J1845" s="72">
        <v>225.00392571129495</v>
      </c>
      <c r="K1845" s="73">
        <v>450709.47895870003</v>
      </c>
      <c r="L1845" s="74">
        <v>0</v>
      </c>
      <c r="M1845" s="73">
        <v>0</v>
      </c>
      <c r="N1845" s="74">
        <v>0</v>
      </c>
      <c r="O1845" s="73">
        <v>0</v>
      </c>
      <c r="P1845" s="74">
        <v>1390</v>
      </c>
      <c r="Q1845" s="73">
        <v>137954.02222000001</v>
      </c>
      <c r="R1845" s="71" t="s">
        <v>625</v>
      </c>
      <c r="S1845" s="71">
        <v>7414000005</v>
      </c>
      <c r="AB1845"/>
      <c r="AC1845"/>
    </row>
    <row r="1846" spans="1:29" x14ac:dyDescent="0.25">
      <c r="A1846" t="str">
        <f t="shared" si="29"/>
        <v xml:space="preserve">75222GOBFED 240905       </v>
      </c>
      <c r="B1846" s="71">
        <v>75222</v>
      </c>
      <c r="C1846" s="71" t="s">
        <v>849</v>
      </c>
      <c r="D1846" s="71" t="s">
        <v>377</v>
      </c>
      <c r="E1846" s="71" t="s">
        <v>623</v>
      </c>
      <c r="F1846" s="71" t="s">
        <v>624</v>
      </c>
      <c r="G1846" s="74">
        <v>2360</v>
      </c>
      <c r="H1846" s="72">
        <v>94.973146999999997</v>
      </c>
      <c r="I1846" s="73">
        <v>224136.62692000001</v>
      </c>
      <c r="J1846" s="72">
        <v>89.85155469</v>
      </c>
      <c r="K1846" s="73">
        <v>12086.9578516</v>
      </c>
      <c r="L1846" s="74">
        <v>0</v>
      </c>
      <c r="M1846" s="73">
        <v>0</v>
      </c>
      <c r="N1846" s="74">
        <v>0</v>
      </c>
      <c r="O1846" s="73">
        <v>0</v>
      </c>
      <c r="P1846" s="74">
        <v>2360</v>
      </c>
      <c r="Q1846" s="73">
        <v>224136.62692000001</v>
      </c>
      <c r="R1846" s="71" t="s">
        <v>625</v>
      </c>
      <c r="S1846" s="71">
        <v>7414000005</v>
      </c>
      <c r="AB1846"/>
      <c r="AC1846"/>
    </row>
    <row r="1847" spans="1:29" x14ac:dyDescent="0.25">
      <c r="A1847" t="str">
        <f t="shared" si="29"/>
        <v xml:space="preserve">75222GOBFED 241205       </v>
      </c>
      <c r="B1847" s="71">
        <v>75222</v>
      </c>
      <c r="C1847" s="71" t="s">
        <v>849</v>
      </c>
      <c r="D1847" s="71" t="s">
        <v>378</v>
      </c>
      <c r="E1847" s="71" t="s">
        <v>623</v>
      </c>
      <c r="F1847" s="71" t="s">
        <v>624</v>
      </c>
      <c r="G1847" s="74">
        <v>610</v>
      </c>
      <c r="H1847" s="72">
        <v>91.911821000000003</v>
      </c>
      <c r="I1847" s="73">
        <v>56066.210809999997</v>
      </c>
      <c r="J1847" s="72">
        <v>97.816962799999999</v>
      </c>
      <c r="K1847" s="73">
        <v>-3602.1364979999998</v>
      </c>
      <c r="L1847" s="74">
        <v>0</v>
      </c>
      <c r="M1847" s="73">
        <v>0</v>
      </c>
      <c r="N1847" s="74">
        <v>0</v>
      </c>
      <c r="O1847" s="73">
        <v>0</v>
      </c>
      <c r="P1847" s="74">
        <v>610</v>
      </c>
      <c r="Q1847" s="73">
        <v>56066.210809999997</v>
      </c>
      <c r="R1847" s="71" t="s">
        <v>625</v>
      </c>
      <c r="S1847" s="71">
        <v>7414000005</v>
      </c>
      <c r="AB1847"/>
      <c r="AC1847"/>
    </row>
    <row r="1848" spans="1:29" x14ac:dyDescent="0.25">
      <c r="A1848" t="str">
        <f t="shared" si="29"/>
        <v xml:space="preserve">75222GOBFED 250306       </v>
      </c>
      <c r="B1848" s="71">
        <v>75222</v>
      </c>
      <c r="C1848" s="71" t="s">
        <v>849</v>
      </c>
      <c r="D1848" s="71" t="s">
        <v>379</v>
      </c>
      <c r="E1848" s="71" t="s">
        <v>623</v>
      </c>
      <c r="F1848" s="71" t="s">
        <v>624</v>
      </c>
      <c r="G1848" s="74">
        <v>3398</v>
      </c>
      <c r="H1848" s="72">
        <v>88.698122999999995</v>
      </c>
      <c r="I1848" s="73">
        <v>301396.22195400001</v>
      </c>
      <c r="J1848" s="72">
        <v>85.347607287504417</v>
      </c>
      <c r="K1848" s="73">
        <v>11385.05239106</v>
      </c>
      <c r="L1848" s="74">
        <v>0</v>
      </c>
      <c r="M1848" s="73">
        <v>0</v>
      </c>
      <c r="N1848" s="74">
        <v>0</v>
      </c>
      <c r="O1848" s="73">
        <v>0</v>
      </c>
      <c r="P1848" s="74">
        <v>3398</v>
      </c>
      <c r="Q1848" s="73">
        <v>301396.22195400001</v>
      </c>
      <c r="R1848" s="71" t="s">
        <v>625</v>
      </c>
      <c r="S1848" s="71">
        <v>7414000005</v>
      </c>
      <c r="AB1848"/>
      <c r="AC1848"/>
    </row>
    <row r="1849" spans="1:29" x14ac:dyDescent="0.25">
      <c r="A1849" t="str">
        <f t="shared" si="29"/>
        <v xml:space="preserve">75222GOBFED 260305       </v>
      </c>
      <c r="B1849" s="71">
        <v>75222</v>
      </c>
      <c r="C1849" s="71" t="s">
        <v>849</v>
      </c>
      <c r="D1849" s="71" t="s">
        <v>380</v>
      </c>
      <c r="E1849" s="71" t="s">
        <v>623</v>
      </c>
      <c r="F1849" s="71" t="s">
        <v>624</v>
      </c>
      <c r="G1849" s="74">
        <v>14130</v>
      </c>
      <c r="H1849" s="72">
        <v>93.314192000000006</v>
      </c>
      <c r="I1849" s="73">
        <v>1318529.53296</v>
      </c>
      <c r="J1849" s="72">
        <v>92.227958081408346</v>
      </c>
      <c r="K1849" s="73">
        <v>15348.485269700001</v>
      </c>
      <c r="L1849" s="74">
        <v>0</v>
      </c>
      <c r="M1849" s="73">
        <v>0</v>
      </c>
      <c r="N1849" s="74">
        <v>0</v>
      </c>
      <c r="O1849" s="73">
        <v>0</v>
      </c>
      <c r="P1849" s="74">
        <v>14130</v>
      </c>
      <c r="Q1849" s="73">
        <v>1318529.53296</v>
      </c>
      <c r="R1849" s="71" t="s">
        <v>625</v>
      </c>
      <c r="S1849" s="71">
        <v>7414000005</v>
      </c>
      <c r="AB1849"/>
      <c r="AC1849"/>
    </row>
    <row r="1850" spans="1:29" x14ac:dyDescent="0.25">
      <c r="A1850" t="str">
        <f t="shared" si="29"/>
        <v xml:space="preserve">75222GOBFED 270304       </v>
      </c>
      <c r="B1850" s="71">
        <v>75222</v>
      </c>
      <c r="C1850" s="71" t="s">
        <v>849</v>
      </c>
      <c r="D1850" s="71" t="s">
        <v>381</v>
      </c>
      <c r="E1850" s="71" t="s">
        <v>623</v>
      </c>
      <c r="F1850" s="71" t="s">
        <v>624</v>
      </c>
      <c r="G1850" s="74">
        <v>23720</v>
      </c>
      <c r="H1850" s="72">
        <v>94.870157000000006</v>
      </c>
      <c r="I1850" s="73">
        <v>2250320.1240400001</v>
      </c>
      <c r="J1850" s="72">
        <v>97.111679589198985</v>
      </c>
      <c r="K1850" s="73">
        <v>-53168.915815799999</v>
      </c>
      <c r="L1850" s="74">
        <v>0</v>
      </c>
      <c r="M1850" s="73">
        <v>0</v>
      </c>
      <c r="N1850" s="74">
        <v>0</v>
      </c>
      <c r="O1850" s="73">
        <v>0</v>
      </c>
      <c r="P1850" s="74">
        <v>23720</v>
      </c>
      <c r="Q1850" s="73">
        <v>2250320.1240400001</v>
      </c>
      <c r="R1850" s="71" t="s">
        <v>625</v>
      </c>
      <c r="S1850" s="71">
        <v>7414000005</v>
      </c>
      <c r="AB1850"/>
      <c r="AC1850"/>
    </row>
    <row r="1851" spans="1:29" x14ac:dyDescent="0.25">
      <c r="A1851" t="str">
        <f t="shared" si="29"/>
        <v xml:space="preserve">75222GOBFED 270603       </v>
      </c>
      <c r="B1851" s="71">
        <v>75222</v>
      </c>
      <c r="C1851" s="71" t="s">
        <v>849</v>
      </c>
      <c r="D1851" s="71" t="s">
        <v>382</v>
      </c>
      <c r="E1851" s="71" t="s">
        <v>623</v>
      </c>
      <c r="F1851" s="71" t="s">
        <v>624</v>
      </c>
      <c r="G1851" s="74">
        <v>10888</v>
      </c>
      <c r="H1851" s="72">
        <v>89.489464999999996</v>
      </c>
      <c r="I1851" s="73">
        <v>974361.29492000001</v>
      </c>
      <c r="J1851" s="72">
        <v>62.718103157716754</v>
      </c>
      <c r="K1851" s="73">
        <v>291486.58773878001</v>
      </c>
      <c r="L1851" s="74">
        <v>0</v>
      </c>
      <c r="M1851" s="73">
        <v>0</v>
      </c>
      <c r="N1851" s="74">
        <v>0</v>
      </c>
      <c r="O1851" s="73">
        <v>0</v>
      </c>
      <c r="P1851" s="74">
        <v>10888</v>
      </c>
      <c r="Q1851" s="73">
        <v>974361.29492000001</v>
      </c>
      <c r="R1851" s="71" t="s">
        <v>625</v>
      </c>
      <c r="S1851" s="71">
        <v>7414000005</v>
      </c>
      <c r="AB1851"/>
      <c r="AC1851"/>
    </row>
    <row r="1852" spans="1:29" x14ac:dyDescent="0.25">
      <c r="A1852" t="str">
        <f t="shared" si="29"/>
        <v xml:space="preserve">75222GOBFED 290531       </v>
      </c>
      <c r="B1852" s="71">
        <v>75222</v>
      </c>
      <c r="C1852" s="71" t="s">
        <v>849</v>
      </c>
      <c r="D1852" s="71" t="s">
        <v>383</v>
      </c>
      <c r="E1852" s="71" t="s">
        <v>623</v>
      </c>
      <c r="F1852" s="71" t="s">
        <v>624</v>
      </c>
      <c r="G1852" s="74">
        <v>23180</v>
      </c>
      <c r="H1852" s="72">
        <v>86.197128000000006</v>
      </c>
      <c r="I1852" s="73">
        <v>1998049.42704</v>
      </c>
      <c r="J1852" s="72">
        <v>89.727333718563415</v>
      </c>
      <c r="K1852" s="73">
        <v>-81830.168556300006</v>
      </c>
      <c r="L1852" s="74">
        <v>0</v>
      </c>
      <c r="M1852" s="73">
        <v>0</v>
      </c>
      <c r="N1852" s="74">
        <v>0</v>
      </c>
      <c r="O1852" s="73">
        <v>0</v>
      </c>
      <c r="P1852" s="74">
        <v>23180</v>
      </c>
      <c r="Q1852" s="73">
        <v>1998049.42704</v>
      </c>
      <c r="R1852" s="71" t="s">
        <v>625</v>
      </c>
      <c r="S1852" s="71">
        <v>7414000005</v>
      </c>
      <c r="AB1852"/>
      <c r="AC1852"/>
    </row>
    <row r="1853" spans="1:29" x14ac:dyDescent="0.25">
      <c r="A1853" t="str">
        <f t="shared" si="29"/>
        <v xml:space="preserve">75222GOBFED 310529       </v>
      </c>
      <c r="B1853" s="71">
        <v>75222</v>
      </c>
      <c r="C1853" s="71" t="s">
        <v>849</v>
      </c>
      <c r="D1853" s="71" t="s">
        <v>427</v>
      </c>
      <c r="E1853" s="71" t="s">
        <v>623</v>
      </c>
      <c r="F1853" s="71" t="s">
        <v>624</v>
      </c>
      <c r="G1853" s="74">
        <v>16135</v>
      </c>
      <c r="H1853" s="72">
        <v>86.469353999999996</v>
      </c>
      <c r="I1853" s="73">
        <v>1395183.02679</v>
      </c>
      <c r="J1853" s="72">
        <v>90.225169450533002</v>
      </c>
      <c r="K1853" s="73">
        <v>-60600.082294350002</v>
      </c>
      <c r="L1853" s="74">
        <v>0</v>
      </c>
      <c r="M1853" s="73">
        <v>0</v>
      </c>
      <c r="N1853" s="74">
        <v>0</v>
      </c>
      <c r="O1853" s="73">
        <v>0</v>
      </c>
      <c r="P1853" s="74">
        <v>16135</v>
      </c>
      <c r="Q1853" s="73">
        <v>1395183.02679</v>
      </c>
      <c r="R1853" s="71" t="s">
        <v>625</v>
      </c>
      <c r="S1853" s="71">
        <v>7414000005</v>
      </c>
      <c r="AB1853"/>
      <c r="AC1853"/>
    </row>
    <row r="1854" spans="1:29" x14ac:dyDescent="0.25">
      <c r="A1854" t="str">
        <f t="shared" si="29"/>
        <v xml:space="preserve">75222GOBFED 330526       </v>
      </c>
      <c r="B1854" s="71">
        <v>75222</v>
      </c>
      <c r="C1854" s="71" t="s">
        <v>849</v>
      </c>
      <c r="D1854" s="71" t="s">
        <v>408</v>
      </c>
      <c r="E1854" s="71" t="s">
        <v>623</v>
      </c>
      <c r="F1854" s="71" t="s">
        <v>624</v>
      </c>
      <c r="G1854" s="74">
        <v>360</v>
      </c>
      <c r="H1854" s="72">
        <v>89.643172000000007</v>
      </c>
      <c r="I1854" s="73">
        <v>32271.54192</v>
      </c>
      <c r="J1854" s="72">
        <v>108.47711812999999</v>
      </c>
      <c r="K1854" s="73">
        <v>-6780.2206067999996</v>
      </c>
      <c r="L1854" s="74">
        <v>0</v>
      </c>
      <c r="M1854" s="73">
        <v>0</v>
      </c>
      <c r="N1854" s="74">
        <v>0</v>
      </c>
      <c r="O1854" s="73">
        <v>0</v>
      </c>
      <c r="P1854" s="74">
        <v>360</v>
      </c>
      <c r="Q1854" s="73">
        <v>32271.54192</v>
      </c>
      <c r="R1854" s="71" t="s">
        <v>625</v>
      </c>
      <c r="S1854" s="71">
        <v>7414000005</v>
      </c>
      <c r="AB1854"/>
      <c r="AC1854"/>
    </row>
    <row r="1855" spans="1:29" x14ac:dyDescent="0.25">
      <c r="A1855" t="str">
        <f t="shared" si="29"/>
        <v xml:space="preserve">75222GOBFED 341123       </v>
      </c>
      <c r="B1855" s="71">
        <v>75222</v>
      </c>
      <c r="C1855" s="71" t="s">
        <v>849</v>
      </c>
      <c r="D1855" s="71" t="s">
        <v>384</v>
      </c>
      <c r="E1855" s="71" t="s">
        <v>623</v>
      </c>
      <c r="F1855" s="71" t="s">
        <v>624</v>
      </c>
      <c r="G1855" s="74">
        <v>16756</v>
      </c>
      <c r="H1855" s="72">
        <v>81.738860000000003</v>
      </c>
      <c r="I1855" s="73">
        <v>1369616.33816</v>
      </c>
      <c r="J1855" s="72">
        <v>86.375239870520417</v>
      </c>
      <c r="K1855" s="73">
        <v>-77687.181110439997</v>
      </c>
      <c r="L1855" s="74">
        <v>0</v>
      </c>
      <c r="M1855" s="73">
        <v>0</v>
      </c>
      <c r="N1855" s="74">
        <v>0</v>
      </c>
      <c r="O1855" s="73">
        <v>0</v>
      </c>
      <c r="P1855" s="74">
        <v>16756</v>
      </c>
      <c r="Q1855" s="73">
        <v>1369616.33816</v>
      </c>
      <c r="R1855" s="71" t="s">
        <v>625</v>
      </c>
      <c r="S1855" s="71">
        <v>7414000005</v>
      </c>
      <c r="AB1855"/>
      <c r="AC1855"/>
    </row>
    <row r="1856" spans="1:29" x14ac:dyDescent="0.25">
      <c r="A1856" t="str">
        <f t="shared" si="29"/>
        <v xml:space="preserve">75222GOBFED 381118       </v>
      </c>
      <c r="B1856" s="71">
        <v>75222</v>
      </c>
      <c r="C1856" s="71" t="s">
        <v>849</v>
      </c>
      <c r="D1856" s="71" t="s">
        <v>385</v>
      </c>
      <c r="E1856" s="71" t="s">
        <v>623</v>
      </c>
      <c r="F1856" s="71" t="s">
        <v>624</v>
      </c>
      <c r="G1856" s="74">
        <v>1410</v>
      </c>
      <c r="H1856" s="72">
        <v>83.200761</v>
      </c>
      <c r="I1856" s="73">
        <v>117313.07300999999</v>
      </c>
      <c r="J1856" s="72">
        <v>91.920784408297877</v>
      </c>
      <c r="K1856" s="73">
        <v>-12295.2330057</v>
      </c>
      <c r="L1856" s="74">
        <v>0</v>
      </c>
      <c r="M1856" s="73">
        <v>0</v>
      </c>
      <c r="N1856" s="74">
        <v>0</v>
      </c>
      <c r="O1856" s="73">
        <v>0</v>
      </c>
      <c r="P1856" s="74">
        <v>1410</v>
      </c>
      <c r="Q1856" s="73">
        <v>117313.07300999999</v>
      </c>
      <c r="R1856" s="71" t="s">
        <v>625</v>
      </c>
      <c r="S1856" s="71">
        <v>7414000005</v>
      </c>
      <c r="AB1856"/>
      <c r="AC1856"/>
    </row>
    <row r="1857" spans="1:29" x14ac:dyDescent="0.25">
      <c r="A1857" t="str">
        <f t="shared" si="29"/>
        <v xml:space="preserve">75222GOBFED 421113       </v>
      </c>
      <c r="B1857" s="71">
        <v>75222</v>
      </c>
      <c r="C1857" s="71" t="s">
        <v>849</v>
      </c>
      <c r="D1857" s="71" t="s">
        <v>386</v>
      </c>
      <c r="E1857" s="71" t="s">
        <v>623</v>
      </c>
      <c r="F1857" s="71" t="s">
        <v>624</v>
      </c>
      <c r="G1857" s="74">
        <v>4893</v>
      </c>
      <c r="H1857" s="72">
        <v>82.159907000000004</v>
      </c>
      <c r="I1857" s="73">
        <v>402008.42495100002</v>
      </c>
      <c r="J1857" s="72">
        <v>86.420874420000004</v>
      </c>
      <c r="K1857" s="73">
        <v>-20848.91358606</v>
      </c>
      <c r="L1857" s="74">
        <v>0</v>
      </c>
      <c r="M1857" s="73">
        <v>0</v>
      </c>
      <c r="N1857" s="74">
        <v>0</v>
      </c>
      <c r="O1857" s="73">
        <v>0</v>
      </c>
      <c r="P1857" s="74">
        <v>4893</v>
      </c>
      <c r="Q1857" s="73">
        <v>402008.42495100002</v>
      </c>
      <c r="R1857" s="71" t="s">
        <v>625</v>
      </c>
      <c r="S1857" s="71">
        <v>7414000005</v>
      </c>
      <c r="AB1857"/>
      <c r="AC1857"/>
    </row>
    <row r="1858" spans="1:29" x14ac:dyDescent="0.25">
      <c r="A1858" t="str">
        <f t="shared" si="29"/>
        <v xml:space="preserve">75222GOBFED 471107       </v>
      </c>
      <c r="B1858" s="71">
        <v>75222</v>
      </c>
      <c r="C1858" s="71" t="s">
        <v>849</v>
      </c>
      <c r="D1858" s="71" t="s">
        <v>389</v>
      </c>
      <c r="E1858" s="71" t="s">
        <v>623</v>
      </c>
      <c r="F1858" s="71" t="s">
        <v>624</v>
      </c>
      <c r="G1858" s="74">
        <v>29050</v>
      </c>
      <c r="H1858" s="72">
        <v>3.3967719999999999</v>
      </c>
      <c r="I1858" s="73">
        <v>98676.226599999995</v>
      </c>
      <c r="J1858" s="72">
        <v>3.3645807228915663</v>
      </c>
      <c r="K1858" s="73">
        <v>935.15660000000003</v>
      </c>
      <c r="L1858" s="74">
        <v>0</v>
      </c>
      <c r="M1858" s="73">
        <v>0</v>
      </c>
      <c r="N1858" s="74">
        <v>0</v>
      </c>
      <c r="O1858" s="73">
        <v>0</v>
      </c>
      <c r="P1858" s="74">
        <v>29050</v>
      </c>
      <c r="Q1858" s="73">
        <v>98676.226599999995</v>
      </c>
      <c r="R1858" s="71" t="s">
        <v>625</v>
      </c>
      <c r="S1858" s="71">
        <v>7414000005</v>
      </c>
      <c r="AB1858"/>
      <c r="AC1858"/>
    </row>
    <row r="1859" spans="1:29" x14ac:dyDescent="0.25">
      <c r="A1859" t="str">
        <f t="shared" si="29"/>
        <v xml:space="preserve">75222GOBFED 530731       </v>
      </c>
      <c r="B1859" s="71">
        <v>75222</v>
      </c>
      <c r="C1859" s="71" t="s">
        <v>849</v>
      </c>
      <c r="D1859" s="71" t="s">
        <v>391</v>
      </c>
      <c r="E1859" s="71" t="s">
        <v>623</v>
      </c>
      <c r="F1859" s="71" t="s">
        <v>624</v>
      </c>
      <c r="G1859" s="74">
        <v>1625</v>
      </c>
      <c r="H1859" s="72">
        <v>775.69178699999998</v>
      </c>
      <c r="I1859" s="73">
        <v>1260499.1538750001</v>
      </c>
      <c r="J1859" s="72">
        <v>766.69784126000002</v>
      </c>
      <c r="K1859" s="73">
        <v>14615.1618275</v>
      </c>
      <c r="L1859" s="74">
        <v>0</v>
      </c>
      <c r="M1859" s="73">
        <v>0</v>
      </c>
      <c r="N1859" s="74">
        <v>0</v>
      </c>
      <c r="O1859" s="73">
        <v>0</v>
      </c>
      <c r="P1859" s="74">
        <v>1625</v>
      </c>
      <c r="Q1859" s="73">
        <v>1260499.1538750001</v>
      </c>
      <c r="R1859" s="71" t="s">
        <v>625</v>
      </c>
      <c r="S1859" s="71">
        <v>7414000005</v>
      </c>
      <c r="AB1859"/>
      <c r="AC1859"/>
    </row>
    <row r="1860" spans="1:29" x14ac:dyDescent="0.25">
      <c r="A1860" t="str">
        <f t="shared" si="29"/>
        <v xml:space="preserve">75222STERGOB ED          </v>
      </c>
      <c r="B1860" s="71">
        <v>75222</v>
      </c>
      <c r="C1860" s="71" t="s">
        <v>849</v>
      </c>
      <c r="D1860" s="71" t="s">
        <v>392</v>
      </c>
      <c r="E1860" s="71" t="s">
        <v>623</v>
      </c>
      <c r="F1860" s="71" t="s">
        <v>624</v>
      </c>
      <c r="G1860" s="74">
        <v>1995</v>
      </c>
      <c r="H1860" s="72">
        <v>747.17843200000004</v>
      </c>
      <c r="I1860" s="73">
        <v>1490620.97184</v>
      </c>
      <c r="J1860" s="72">
        <v>724.09524604962405</v>
      </c>
      <c r="K1860" s="73">
        <v>46050.955971000003</v>
      </c>
      <c r="L1860" s="74">
        <v>0</v>
      </c>
      <c r="M1860" s="73">
        <v>0</v>
      </c>
      <c r="N1860" s="74">
        <v>0</v>
      </c>
      <c r="O1860" s="73">
        <v>0</v>
      </c>
      <c r="P1860" s="74">
        <v>1995</v>
      </c>
      <c r="Q1860" s="73">
        <v>1490620.97184</v>
      </c>
      <c r="R1860" s="71" t="s">
        <v>625</v>
      </c>
      <c r="S1860" s="71">
        <v>7414000005</v>
      </c>
      <c r="AB1860"/>
      <c r="AC1860"/>
    </row>
    <row r="1861" spans="1:29" x14ac:dyDescent="0.25">
      <c r="A1861" t="str">
        <f t="shared" si="29"/>
        <v xml:space="preserve">75222UDIBONO 251204      </v>
      </c>
      <c r="B1861" s="71">
        <v>75222</v>
      </c>
      <c r="C1861" s="71" t="s">
        <v>849</v>
      </c>
      <c r="D1861" s="71" t="s">
        <v>394</v>
      </c>
      <c r="E1861" s="71" t="s">
        <v>623</v>
      </c>
      <c r="F1861" s="71" t="s">
        <v>624</v>
      </c>
      <c r="G1861" s="74">
        <v>1821</v>
      </c>
      <c r="H1861" s="72">
        <v>684.88915799999995</v>
      </c>
      <c r="I1861" s="73">
        <v>1247183.1567180001</v>
      </c>
      <c r="J1861" s="72">
        <v>674.98000248940696</v>
      </c>
      <c r="K1861" s="73">
        <v>18044.572184789999</v>
      </c>
      <c r="L1861" s="74">
        <v>0</v>
      </c>
      <c r="M1861" s="73">
        <v>0</v>
      </c>
      <c r="N1861" s="74">
        <v>0</v>
      </c>
      <c r="O1861" s="73">
        <v>0</v>
      </c>
      <c r="P1861" s="74">
        <v>1821</v>
      </c>
      <c r="Q1861" s="73">
        <v>1247183.1567180001</v>
      </c>
      <c r="R1861" s="71" t="s">
        <v>625</v>
      </c>
      <c r="S1861" s="71">
        <v>7414000005</v>
      </c>
      <c r="AB1861"/>
      <c r="AC1861"/>
    </row>
    <row r="1862" spans="1:29" x14ac:dyDescent="0.25">
      <c r="A1862" t="str">
        <f t="shared" si="29"/>
        <v xml:space="preserve">75222UDIBONO 261203      </v>
      </c>
      <c r="B1862" s="71">
        <v>75222</v>
      </c>
      <c r="C1862" s="71" t="s">
        <v>849</v>
      </c>
      <c r="D1862" s="71" t="s">
        <v>395</v>
      </c>
      <c r="E1862" s="71" t="s">
        <v>623</v>
      </c>
      <c r="F1862" s="71" t="s">
        <v>624</v>
      </c>
      <c r="G1862" s="74">
        <v>1689</v>
      </c>
      <c r="H1862" s="72">
        <v>772.926965</v>
      </c>
      <c r="I1862" s="73">
        <v>1305473.6438849999</v>
      </c>
      <c r="J1862" s="72">
        <v>803.54136684371224</v>
      </c>
      <c r="K1862" s="73">
        <v>-51707.724714030002</v>
      </c>
      <c r="L1862" s="74">
        <v>0</v>
      </c>
      <c r="M1862" s="73">
        <v>0</v>
      </c>
      <c r="N1862" s="74">
        <v>0</v>
      </c>
      <c r="O1862" s="73">
        <v>0</v>
      </c>
      <c r="P1862" s="74">
        <v>1689</v>
      </c>
      <c r="Q1862" s="73">
        <v>1305473.6438849999</v>
      </c>
      <c r="R1862" s="71" t="s">
        <v>625</v>
      </c>
      <c r="S1862" s="71">
        <v>7414000005</v>
      </c>
      <c r="AB1862"/>
      <c r="AC1862"/>
    </row>
    <row r="1863" spans="1:29" x14ac:dyDescent="0.25">
      <c r="A1863" t="str">
        <f t="shared" ref="A1863:A1926" si="30">B1861&amp;D1861</f>
        <v xml:space="preserve">75222UDIBONO 311127      </v>
      </c>
      <c r="B1863" s="71">
        <v>75222</v>
      </c>
      <c r="C1863" s="71" t="s">
        <v>849</v>
      </c>
      <c r="D1863" s="71" t="s">
        <v>396</v>
      </c>
      <c r="E1863" s="71" t="s">
        <v>623</v>
      </c>
      <c r="F1863" s="71" t="s">
        <v>624</v>
      </c>
      <c r="G1863" s="74">
        <v>1521</v>
      </c>
      <c r="H1863" s="72">
        <v>721.59464000000003</v>
      </c>
      <c r="I1863" s="73">
        <v>1097545.44744</v>
      </c>
      <c r="J1863" s="72">
        <v>780.7923593813149</v>
      </c>
      <c r="K1863" s="73">
        <v>-90039.731178980001</v>
      </c>
      <c r="L1863" s="74">
        <v>0</v>
      </c>
      <c r="M1863" s="73">
        <v>0</v>
      </c>
      <c r="N1863" s="74">
        <v>0</v>
      </c>
      <c r="O1863" s="73">
        <v>0</v>
      </c>
      <c r="P1863" s="74">
        <v>1521</v>
      </c>
      <c r="Q1863" s="73">
        <v>1097545.44744</v>
      </c>
      <c r="R1863" s="71" t="s">
        <v>625</v>
      </c>
      <c r="S1863" s="71">
        <v>7414000005</v>
      </c>
      <c r="AB1863"/>
      <c r="AC1863"/>
    </row>
    <row r="1864" spans="1:29" x14ac:dyDescent="0.25">
      <c r="A1864" t="str">
        <f t="shared" si="30"/>
        <v xml:space="preserve">75222UDIBONO 351122      </v>
      </c>
      <c r="B1864" s="71">
        <v>75222</v>
      </c>
      <c r="C1864" s="71" t="s">
        <v>849</v>
      </c>
      <c r="D1864" s="71" t="s">
        <v>397</v>
      </c>
      <c r="E1864" s="71" t="s">
        <v>623</v>
      </c>
      <c r="F1864" s="71" t="s">
        <v>624</v>
      </c>
      <c r="G1864" s="74">
        <v>508</v>
      </c>
      <c r="H1864" s="72">
        <v>635.96311900000001</v>
      </c>
      <c r="I1864" s="73">
        <v>323069.26445199997</v>
      </c>
      <c r="J1864" s="72">
        <v>647.93802047999998</v>
      </c>
      <c r="K1864" s="73">
        <v>-6083.24995184</v>
      </c>
      <c r="L1864" s="74">
        <v>0</v>
      </c>
      <c r="M1864" s="73">
        <v>0</v>
      </c>
      <c r="N1864" s="74">
        <v>0</v>
      </c>
      <c r="O1864" s="73">
        <v>0</v>
      </c>
      <c r="P1864" s="74">
        <v>508</v>
      </c>
      <c r="Q1864" s="73">
        <v>323069.26445199997</v>
      </c>
      <c r="R1864" s="71" t="s">
        <v>625</v>
      </c>
      <c r="S1864" s="71">
        <v>7414000005</v>
      </c>
      <c r="AB1864"/>
      <c r="AC1864"/>
    </row>
    <row r="1865" spans="1:29" x14ac:dyDescent="0.25">
      <c r="A1865" t="str">
        <f t="shared" si="30"/>
        <v xml:space="preserve">75222UDIBONO 401115      </v>
      </c>
      <c r="B1865" s="71">
        <v>75222</v>
      </c>
      <c r="C1865" s="71" t="s">
        <v>849</v>
      </c>
      <c r="D1865" s="71" t="s">
        <v>398</v>
      </c>
      <c r="E1865" s="71" t="s">
        <v>623</v>
      </c>
      <c r="F1865" s="71" t="s">
        <v>624</v>
      </c>
      <c r="G1865" s="74">
        <v>127</v>
      </c>
      <c r="H1865" s="72">
        <v>709.36974099999998</v>
      </c>
      <c r="I1865" s="73">
        <v>90089.957106999995</v>
      </c>
      <c r="J1865" s="72">
        <v>738.26600040000005</v>
      </c>
      <c r="K1865" s="73">
        <v>-3669.8249437999998</v>
      </c>
      <c r="L1865" s="74">
        <v>0</v>
      </c>
      <c r="M1865" s="73">
        <v>0</v>
      </c>
      <c r="N1865" s="74">
        <v>0</v>
      </c>
      <c r="O1865" s="73">
        <v>0</v>
      </c>
      <c r="P1865" s="74">
        <v>127</v>
      </c>
      <c r="Q1865" s="73">
        <v>90089.957106999995</v>
      </c>
      <c r="R1865" s="71" t="s">
        <v>625</v>
      </c>
      <c r="S1865" s="71">
        <v>7414000005</v>
      </c>
      <c r="AB1865"/>
      <c r="AC1865"/>
    </row>
    <row r="1866" spans="1:29" x14ac:dyDescent="0.25">
      <c r="A1866" t="str">
        <f t="shared" si="30"/>
        <v xml:space="preserve">75222UDIBONO 431112      </v>
      </c>
      <c r="B1866" s="71">
        <v>75222</v>
      </c>
      <c r="C1866" s="71" t="s">
        <v>849</v>
      </c>
      <c r="D1866" s="71" t="s">
        <v>399</v>
      </c>
      <c r="E1866" s="71" t="s">
        <v>623</v>
      </c>
      <c r="F1866" s="71" t="s">
        <v>624</v>
      </c>
      <c r="G1866" s="74">
        <v>1790</v>
      </c>
      <c r="H1866" s="72">
        <v>694.41118700000004</v>
      </c>
      <c r="I1866" s="73">
        <v>1242996.0247299999</v>
      </c>
      <c r="J1866" s="72">
        <v>722.06277493048049</v>
      </c>
      <c r="K1866" s="73">
        <v>-49496.342395560001</v>
      </c>
      <c r="L1866" s="74">
        <v>0</v>
      </c>
      <c r="M1866" s="73">
        <v>0</v>
      </c>
      <c r="N1866" s="74">
        <v>0</v>
      </c>
      <c r="O1866" s="73">
        <v>0</v>
      </c>
      <c r="P1866" s="74">
        <v>1790</v>
      </c>
      <c r="Q1866" s="73">
        <v>1242996.0247299999</v>
      </c>
      <c r="R1866" s="71" t="s">
        <v>625</v>
      </c>
      <c r="S1866" s="71">
        <v>7414000005</v>
      </c>
      <c r="AB1866"/>
      <c r="AC1866"/>
    </row>
    <row r="1867" spans="1:29" x14ac:dyDescent="0.25">
      <c r="A1867" t="str">
        <f t="shared" si="30"/>
        <v xml:space="preserve">75222UDIBONO 461108      </v>
      </c>
      <c r="B1867" s="71">
        <v>75223</v>
      </c>
      <c r="C1867" s="71" t="s">
        <v>850</v>
      </c>
      <c r="D1867" s="71" t="s">
        <v>376</v>
      </c>
      <c r="E1867" s="71" t="s">
        <v>623</v>
      </c>
      <c r="F1867" s="71" t="s">
        <v>624</v>
      </c>
      <c r="G1867" s="74">
        <v>0</v>
      </c>
      <c r="H1867" s="72">
        <v>0</v>
      </c>
      <c r="I1867" s="73">
        <v>0</v>
      </c>
      <c r="J1867" s="72">
        <v>0</v>
      </c>
      <c r="K1867" s="73">
        <v>0</v>
      </c>
      <c r="L1867" s="74">
        <v>0</v>
      </c>
      <c r="M1867" s="73">
        <v>0</v>
      </c>
      <c r="N1867" s="74">
        <v>0</v>
      </c>
      <c r="O1867" s="73">
        <v>0</v>
      </c>
      <c r="P1867" s="74">
        <v>0</v>
      </c>
      <c r="Q1867" s="73">
        <v>0</v>
      </c>
      <c r="R1867" s="71" t="s">
        <v>625</v>
      </c>
      <c r="S1867" s="71">
        <v>7414000005</v>
      </c>
      <c r="AB1867"/>
      <c r="AC1867"/>
    </row>
    <row r="1868" spans="1:29" x14ac:dyDescent="0.25">
      <c r="A1868" t="str">
        <f t="shared" si="30"/>
        <v xml:space="preserve">75222UDIBONO 501103      </v>
      </c>
      <c r="B1868" s="71">
        <v>75223</v>
      </c>
      <c r="C1868" s="71" t="s">
        <v>850</v>
      </c>
      <c r="D1868" s="71" t="s">
        <v>382</v>
      </c>
      <c r="E1868" s="71" t="s">
        <v>623</v>
      </c>
      <c r="F1868" s="71" t="s">
        <v>624</v>
      </c>
      <c r="G1868" s="74">
        <v>0</v>
      </c>
      <c r="H1868" s="72">
        <v>0</v>
      </c>
      <c r="I1868" s="73">
        <v>0</v>
      </c>
      <c r="J1868" s="72">
        <v>0</v>
      </c>
      <c r="K1868" s="73">
        <v>0</v>
      </c>
      <c r="L1868" s="74">
        <v>0</v>
      </c>
      <c r="M1868" s="73">
        <v>0</v>
      </c>
      <c r="N1868" s="74">
        <v>0</v>
      </c>
      <c r="O1868" s="73">
        <v>0</v>
      </c>
      <c r="P1868" s="74">
        <v>0</v>
      </c>
      <c r="Q1868" s="73">
        <v>0</v>
      </c>
      <c r="R1868" s="71" t="s">
        <v>625</v>
      </c>
      <c r="S1868" s="71">
        <v>7414000005</v>
      </c>
      <c r="AB1868"/>
      <c r="AC1868"/>
    </row>
    <row r="1869" spans="1:29" x14ac:dyDescent="0.25">
      <c r="A1869" t="str">
        <f t="shared" si="30"/>
        <v xml:space="preserve">75223GOBFED 241205       </v>
      </c>
      <c r="B1869" s="71">
        <v>75223</v>
      </c>
      <c r="C1869" s="71" t="s">
        <v>850</v>
      </c>
      <c r="D1869" s="71" t="s">
        <v>396</v>
      </c>
      <c r="E1869" s="71" t="s">
        <v>623</v>
      </c>
      <c r="F1869" s="71" t="s">
        <v>624</v>
      </c>
      <c r="G1869" s="74">
        <v>0</v>
      </c>
      <c r="H1869" s="72">
        <v>0</v>
      </c>
      <c r="I1869" s="73">
        <v>0</v>
      </c>
      <c r="J1869" s="72">
        <v>0</v>
      </c>
      <c r="K1869" s="73">
        <v>0</v>
      </c>
      <c r="L1869" s="74">
        <v>0</v>
      </c>
      <c r="M1869" s="73">
        <v>0</v>
      </c>
      <c r="N1869" s="74">
        <v>0</v>
      </c>
      <c r="O1869" s="73">
        <v>0</v>
      </c>
      <c r="P1869" s="74">
        <v>0</v>
      </c>
      <c r="Q1869" s="73">
        <v>0</v>
      </c>
      <c r="R1869" s="71" t="s">
        <v>625</v>
      </c>
      <c r="S1869" s="71">
        <v>7414000005</v>
      </c>
      <c r="AB1869"/>
      <c r="AC1869"/>
    </row>
    <row r="1870" spans="1:29" x14ac:dyDescent="0.25">
      <c r="A1870" t="str">
        <f t="shared" si="30"/>
        <v xml:space="preserve">75223GOBFED 310529       </v>
      </c>
      <c r="B1870" s="71">
        <v>75224</v>
      </c>
      <c r="C1870" s="71" t="s">
        <v>851</v>
      </c>
      <c r="D1870" s="71" t="s">
        <v>376</v>
      </c>
      <c r="E1870" s="71" t="s">
        <v>623</v>
      </c>
      <c r="F1870" s="71" t="s">
        <v>624</v>
      </c>
      <c r="G1870" s="74">
        <v>0</v>
      </c>
      <c r="H1870" s="72">
        <v>0</v>
      </c>
      <c r="I1870" s="73">
        <v>0</v>
      </c>
      <c r="J1870" s="72">
        <v>0</v>
      </c>
      <c r="K1870" s="73">
        <v>0</v>
      </c>
      <c r="L1870" s="74">
        <v>0</v>
      </c>
      <c r="M1870" s="73">
        <v>0</v>
      </c>
      <c r="N1870" s="74">
        <v>0</v>
      </c>
      <c r="O1870" s="73">
        <v>0</v>
      </c>
      <c r="P1870" s="74">
        <v>0</v>
      </c>
      <c r="Q1870" s="73">
        <v>0</v>
      </c>
      <c r="R1870" s="71" t="s">
        <v>625</v>
      </c>
      <c r="S1870" s="71">
        <v>7414000005</v>
      </c>
      <c r="AB1870"/>
      <c r="AC1870"/>
    </row>
    <row r="1871" spans="1:29" x14ac:dyDescent="0.25">
      <c r="A1871" t="str">
        <f t="shared" si="30"/>
        <v xml:space="preserve">75223UDIBONO 401115      </v>
      </c>
      <c r="B1871" s="71">
        <v>75224</v>
      </c>
      <c r="C1871" s="71" t="s">
        <v>851</v>
      </c>
      <c r="D1871" s="71" t="s">
        <v>382</v>
      </c>
      <c r="E1871" s="71" t="s">
        <v>623</v>
      </c>
      <c r="F1871" s="71" t="s">
        <v>624</v>
      </c>
      <c r="G1871" s="74">
        <v>0</v>
      </c>
      <c r="H1871" s="72">
        <v>0</v>
      </c>
      <c r="I1871" s="73">
        <v>0</v>
      </c>
      <c r="J1871" s="72">
        <v>0</v>
      </c>
      <c r="K1871" s="73">
        <v>0</v>
      </c>
      <c r="L1871" s="74">
        <v>0</v>
      </c>
      <c r="M1871" s="73">
        <v>0</v>
      </c>
      <c r="N1871" s="74">
        <v>0</v>
      </c>
      <c r="O1871" s="73">
        <v>0</v>
      </c>
      <c r="P1871" s="74">
        <v>0</v>
      </c>
      <c r="Q1871" s="73">
        <v>0</v>
      </c>
      <c r="R1871" s="71" t="s">
        <v>625</v>
      </c>
      <c r="S1871" s="71">
        <v>7414000005</v>
      </c>
      <c r="AB1871"/>
      <c r="AC1871"/>
    </row>
    <row r="1872" spans="1:29" x14ac:dyDescent="0.25">
      <c r="A1872" t="str">
        <f t="shared" si="30"/>
        <v xml:space="preserve">75224GOBFED 241205       </v>
      </c>
      <c r="B1872" s="71">
        <v>75224</v>
      </c>
      <c r="C1872" s="71" t="s">
        <v>851</v>
      </c>
      <c r="D1872" s="71" t="s">
        <v>396</v>
      </c>
      <c r="E1872" s="71" t="s">
        <v>623</v>
      </c>
      <c r="F1872" s="71" t="s">
        <v>624</v>
      </c>
      <c r="G1872" s="74">
        <v>0</v>
      </c>
      <c r="H1872" s="72">
        <v>0</v>
      </c>
      <c r="I1872" s="73">
        <v>0</v>
      </c>
      <c r="J1872" s="72">
        <v>0</v>
      </c>
      <c r="K1872" s="73">
        <v>0</v>
      </c>
      <c r="L1872" s="74">
        <v>0</v>
      </c>
      <c r="M1872" s="73">
        <v>0</v>
      </c>
      <c r="N1872" s="74">
        <v>0</v>
      </c>
      <c r="O1872" s="73">
        <v>0</v>
      </c>
      <c r="P1872" s="74">
        <v>0</v>
      </c>
      <c r="Q1872" s="73">
        <v>0</v>
      </c>
      <c r="R1872" s="71" t="s">
        <v>625</v>
      </c>
      <c r="S1872" s="71">
        <v>7414000005</v>
      </c>
      <c r="AB1872"/>
      <c r="AC1872"/>
    </row>
    <row r="1873" spans="1:29" x14ac:dyDescent="0.25">
      <c r="A1873" t="str">
        <f t="shared" si="30"/>
        <v xml:space="preserve">75224GOBFED 310529       </v>
      </c>
      <c r="B1873" s="71">
        <v>75225</v>
      </c>
      <c r="C1873" s="71" t="s">
        <v>852</v>
      </c>
      <c r="D1873" s="71" t="s">
        <v>376</v>
      </c>
      <c r="E1873" s="71" t="s">
        <v>623</v>
      </c>
      <c r="F1873" s="71" t="s">
        <v>624</v>
      </c>
      <c r="G1873" s="74">
        <v>0</v>
      </c>
      <c r="H1873" s="72">
        <v>0</v>
      </c>
      <c r="I1873" s="73">
        <v>0</v>
      </c>
      <c r="J1873" s="72">
        <v>0</v>
      </c>
      <c r="K1873" s="73">
        <v>0</v>
      </c>
      <c r="L1873" s="74">
        <v>0</v>
      </c>
      <c r="M1873" s="73">
        <v>0</v>
      </c>
      <c r="N1873" s="74">
        <v>0</v>
      </c>
      <c r="O1873" s="73">
        <v>0</v>
      </c>
      <c r="P1873" s="74">
        <v>0</v>
      </c>
      <c r="Q1873" s="73">
        <v>0</v>
      </c>
      <c r="R1873" s="71" t="s">
        <v>625</v>
      </c>
      <c r="S1873" s="71">
        <v>7414000005</v>
      </c>
      <c r="AB1873"/>
      <c r="AC1873"/>
    </row>
    <row r="1874" spans="1:29" x14ac:dyDescent="0.25">
      <c r="A1874" t="str">
        <f t="shared" si="30"/>
        <v xml:space="preserve">75224UDIBONO 401115      </v>
      </c>
      <c r="B1874" s="71">
        <v>75225</v>
      </c>
      <c r="C1874" s="71" t="s">
        <v>852</v>
      </c>
      <c r="D1874" s="71" t="s">
        <v>382</v>
      </c>
      <c r="E1874" s="71" t="s">
        <v>623</v>
      </c>
      <c r="F1874" s="71" t="s">
        <v>624</v>
      </c>
      <c r="G1874" s="74">
        <v>0</v>
      </c>
      <c r="H1874" s="72">
        <v>0</v>
      </c>
      <c r="I1874" s="73">
        <v>0</v>
      </c>
      <c r="J1874" s="72">
        <v>0</v>
      </c>
      <c r="K1874" s="73">
        <v>0</v>
      </c>
      <c r="L1874" s="74">
        <v>0</v>
      </c>
      <c r="M1874" s="73">
        <v>0</v>
      </c>
      <c r="N1874" s="74">
        <v>0</v>
      </c>
      <c r="O1874" s="73">
        <v>0</v>
      </c>
      <c r="P1874" s="74">
        <v>0</v>
      </c>
      <c r="Q1874" s="73">
        <v>0</v>
      </c>
      <c r="R1874" s="71" t="s">
        <v>625</v>
      </c>
      <c r="S1874" s="71">
        <v>7414000005</v>
      </c>
      <c r="AB1874"/>
      <c r="AC1874"/>
    </row>
    <row r="1875" spans="1:29" x14ac:dyDescent="0.25">
      <c r="A1875" t="str">
        <f t="shared" si="30"/>
        <v xml:space="preserve">75225GOBFED 241205       </v>
      </c>
      <c r="B1875" s="71">
        <v>75225</v>
      </c>
      <c r="C1875" s="71" t="s">
        <v>852</v>
      </c>
      <c r="D1875" s="71" t="s">
        <v>396</v>
      </c>
      <c r="E1875" s="71" t="s">
        <v>623</v>
      </c>
      <c r="F1875" s="71" t="s">
        <v>624</v>
      </c>
      <c r="G1875" s="74">
        <v>0</v>
      </c>
      <c r="H1875" s="72">
        <v>0</v>
      </c>
      <c r="I1875" s="73">
        <v>0</v>
      </c>
      <c r="J1875" s="72">
        <v>0</v>
      </c>
      <c r="K1875" s="73">
        <v>0</v>
      </c>
      <c r="L1875" s="74">
        <v>0</v>
      </c>
      <c r="M1875" s="73">
        <v>0</v>
      </c>
      <c r="N1875" s="74">
        <v>0</v>
      </c>
      <c r="O1875" s="73">
        <v>0</v>
      </c>
      <c r="P1875" s="74">
        <v>0</v>
      </c>
      <c r="Q1875" s="73">
        <v>0</v>
      </c>
      <c r="R1875" s="71" t="s">
        <v>625</v>
      </c>
      <c r="S1875" s="71">
        <v>7414000005</v>
      </c>
      <c r="AB1875"/>
      <c r="AC1875"/>
    </row>
    <row r="1876" spans="1:29" x14ac:dyDescent="0.25">
      <c r="A1876" t="str">
        <f t="shared" si="30"/>
        <v xml:space="preserve">75225GOBFED 310529       </v>
      </c>
      <c r="B1876" s="71">
        <v>75226</v>
      </c>
      <c r="C1876" s="71" t="s">
        <v>853</v>
      </c>
      <c r="D1876" s="71" t="s">
        <v>376</v>
      </c>
      <c r="E1876" s="71" t="s">
        <v>623</v>
      </c>
      <c r="F1876" s="71" t="s">
        <v>624</v>
      </c>
      <c r="G1876" s="74">
        <v>0</v>
      </c>
      <c r="H1876" s="72">
        <v>0</v>
      </c>
      <c r="I1876" s="73">
        <v>0</v>
      </c>
      <c r="J1876" s="72">
        <v>0</v>
      </c>
      <c r="K1876" s="73">
        <v>0</v>
      </c>
      <c r="L1876" s="74">
        <v>0</v>
      </c>
      <c r="M1876" s="73">
        <v>0</v>
      </c>
      <c r="N1876" s="74">
        <v>0</v>
      </c>
      <c r="O1876" s="73">
        <v>0</v>
      </c>
      <c r="P1876" s="74">
        <v>0</v>
      </c>
      <c r="Q1876" s="73">
        <v>0</v>
      </c>
      <c r="R1876" s="71" t="s">
        <v>625</v>
      </c>
      <c r="S1876" s="71">
        <v>7414000005</v>
      </c>
      <c r="AB1876"/>
      <c r="AC1876"/>
    </row>
    <row r="1877" spans="1:29" x14ac:dyDescent="0.25">
      <c r="A1877" t="str">
        <f t="shared" si="30"/>
        <v xml:space="preserve">75225UDIBONO 401115      </v>
      </c>
      <c r="B1877" s="71">
        <v>75226</v>
      </c>
      <c r="C1877" s="71" t="s">
        <v>853</v>
      </c>
      <c r="D1877" s="71" t="s">
        <v>382</v>
      </c>
      <c r="E1877" s="71" t="s">
        <v>623</v>
      </c>
      <c r="F1877" s="71" t="s">
        <v>624</v>
      </c>
      <c r="G1877" s="74">
        <v>0</v>
      </c>
      <c r="H1877" s="72">
        <v>0</v>
      </c>
      <c r="I1877" s="73">
        <v>0</v>
      </c>
      <c r="J1877" s="72">
        <v>0</v>
      </c>
      <c r="K1877" s="73">
        <v>0</v>
      </c>
      <c r="L1877" s="74">
        <v>0</v>
      </c>
      <c r="M1877" s="73">
        <v>0</v>
      </c>
      <c r="N1877" s="74">
        <v>0</v>
      </c>
      <c r="O1877" s="73">
        <v>0</v>
      </c>
      <c r="P1877" s="74">
        <v>0</v>
      </c>
      <c r="Q1877" s="73">
        <v>0</v>
      </c>
      <c r="R1877" s="71" t="s">
        <v>625</v>
      </c>
      <c r="S1877" s="71">
        <v>7414000005</v>
      </c>
      <c r="AB1877"/>
      <c r="AC1877"/>
    </row>
    <row r="1878" spans="1:29" x14ac:dyDescent="0.25">
      <c r="A1878" t="str">
        <f t="shared" si="30"/>
        <v xml:space="preserve">75226GOBFED 241205       </v>
      </c>
      <c r="B1878" s="71">
        <v>75226</v>
      </c>
      <c r="C1878" s="71" t="s">
        <v>853</v>
      </c>
      <c r="D1878" s="71" t="s">
        <v>396</v>
      </c>
      <c r="E1878" s="71" t="s">
        <v>623</v>
      </c>
      <c r="F1878" s="71" t="s">
        <v>624</v>
      </c>
      <c r="G1878" s="74">
        <v>0</v>
      </c>
      <c r="H1878" s="72">
        <v>0</v>
      </c>
      <c r="I1878" s="73">
        <v>0</v>
      </c>
      <c r="J1878" s="72">
        <v>0</v>
      </c>
      <c r="K1878" s="73">
        <v>0</v>
      </c>
      <c r="L1878" s="74">
        <v>0</v>
      </c>
      <c r="M1878" s="73">
        <v>0</v>
      </c>
      <c r="N1878" s="74">
        <v>0</v>
      </c>
      <c r="O1878" s="73">
        <v>0</v>
      </c>
      <c r="P1878" s="74">
        <v>0</v>
      </c>
      <c r="Q1878" s="73">
        <v>0</v>
      </c>
      <c r="R1878" s="71" t="s">
        <v>625</v>
      </c>
      <c r="S1878" s="71">
        <v>7414000005</v>
      </c>
      <c r="AB1878"/>
      <c r="AC1878"/>
    </row>
    <row r="1879" spans="1:29" x14ac:dyDescent="0.25">
      <c r="A1879" t="str">
        <f t="shared" si="30"/>
        <v xml:space="preserve">75226GOBFED 310529       </v>
      </c>
      <c r="B1879" s="71">
        <v>75227</v>
      </c>
      <c r="C1879" s="71" t="s">
        <v>854</v>
      </c>
      <c r="D1879" s="71" t="s">
        <v>376</v>
      </c>
      <c r="E1879" s="71" t="s">
        <v>623</v>
      </c>
      <c r="F1879" s="71" t="s">
        <v>624</v>
      </c>
      <c r="G1879" s="74">
        <v>0</v>
      </c>
      <c r="H1879" s="72">
        <v>0</v>
      </c>
      <c r="I1879" s="73">
        <v>0</v>
      </c>
      <c r="J1879" s="72">
        <v>0</v>
      </c>
      <c r="K1879" s="73">
        <v>0</v>
      </c>
      <c r="L1879" s="74">
        <v>0</v>
      </c>
      <c r="M1879" s="73">
        <v>0</v>
      </c>
      <c r="N1879" s="74">
        <v>0</v>
      </c>
      <c r="O1879" s="73">
        <v>0</v>
      </c>
      <c r="P1879" s="74">
        <v>0</v>
      </c>
      <c r="Q1879" s="73">
        <v>0</v>
      </c>
      <c r="R1879" s="71" t="s">
        <v>625</v>
      </c>
      <c r="S1879" s="71">
        <v>7414000005</v>
      </c>
      <c r="AB1879"/>
      <c r="AC1879"/>
    </row>
    <row r="1880" spans="1:29" x14ac:dyDescent="0.25">
      <c r="A1880" t="str">
        <f t="shared" si="30"/>
        <v xml:space="preserve">75226UDIBONO 401115      </v>
      </c>
      <c r="B1880" s="71">
        <v>75227</v>
      </c>
      <c r="C1880" s="71" t="s">
        <v>854</v>
      </c>
      <c r="D1880" s="71" t="s">
        <v>382</v>
      </c>
      <c r="E1880" s="71" t="s">
        <v>623</v>
      </c>
      <c r="F1880" s="71" t="s">
        <v>624</v>
      </c>
      <c r="G1880" s="74">
        <v>0</v>
      </c>
      <c r="H1880" s="72">
        <v>0</v>
      </c>
      <c r="I1880" s="73">
        <v>0</v>
      </c>
      <c r="J1880" s="72">
        <v>0</v>
      </c>
      <c r="K1880" s="73">
        <v>0</v>
      </c>
      <c r="L1880" s="74">
        <v>0</v>
      </c>
      <c r="M1880" s="73">
        <v>0</v>
      </c>
      <c r="N1880" s="74">
        <v>0</v>
      </c>
      <c r="O1880" s="73">
        <v>0</v>
      </c>
      <c r="P1880" s="74">
        <v>0</v>
      </c>
      <c r="Q1880" s="73">
        <v>0</v>
      </c>
      <c r="R1880" s="71" t="s">
        <v>625</v>
      </c>
      <c r="S1880" s="71">
        <v>7414000005</v>
      </c>
      <c r="AB1880"/>
      <c r="AC1880"/>
    </row>
    <row r="1881" spans="1:29" x14ac:dyDescent="0.25">
      <c r="A1881" t="str">
        <f t="shared" si="30"/>
        <v xml:space="preserve">75227GOBFED 241205       </v>
      </c>
      <c r="B1881" s="71">
        <v>75227</v>
      </c>
      <c r="C1881" s="71" t="s">
        <v>854</v>
      </c>
      <c r="D1881" s="71" t="s">
        <v>396</v>
      </c>
      <c r="E1881" s="71" t="s">
        <v>623</v>
      </c>
      <c r="F1881" s="71" t="s">
        <v>624</v>
      </c>
      <c r="G1881" s="74">
        <v>0</v>
      </c>
      <c r="H1881" s="72">
        <v>0</v>
      </c>
      <c r="I1881" s="73">
        <v>0</v>
      </c>
      <c r="J1881" s="72">
        <v>0</v>
      </c>
      <c r="K1881" s="73">
        <v>0</v>
      </c>
      <c r="L1881" s="74">
        <v>0</v>
      </c>
      <c r="M1881" s="73">
        <v>0</v>
      </c>
      <c r="N1881" s="74">
        <v>0</v>
      </c>
      <c r="O1881" s="73">
        <v>0</v>
      </c>
      <c r="P1881" s="74">
        <v>0</v>
      </c>
      <c r="Q1881" s="73">
        <v>0</v>
      </c>
      <c r="R1881" s="71" t="s">
        <v>625</v>
      </c>
      <c r="S1881" s="71">
        <v>7414000005</v>
      </c>
      <c r="AB1881"/>
      <c r="AC1881"/>
    </row>
    <row r="1882" spans="1:29" x14ac:dyDescent="0.25">
      <c r="A1882" t="str">
        <f t="shared" si="30"/>
        <v xml:space="preserve">75227GOBFED 310529       </v>
      </c>
      <c r="B1882" s="71">
        <v>75228</v>
      </c>
      <c r="C1882" s="71" t="s">
        <v>855</v>
      </c>
      <c r="D1882" s="71" t="s">
        <v>376</v>
      </c>
      <c r="E1882" s="71" t="s">
        <v>623</v>
      </c>
      <c r="F1882" s="71" t="s">
        <v>624</v>
      </c>
      <c r="G1882" s="74">
        <v>0</v>
      </c>
      <c r="H1882" s="72">
        <v>0</v>
      </c>
      <c r="I1882" s="73">
        <v>0</v>
      </c>
      <c r="J1882" s="72">
        <v>0</v>
      </c>
      <c r="K1882" s="73">
        <v>0</v>
      </c>
      <c r="L1882" s="74">
        <v>0</v>
      </c>
      <c r="M1882" s="73">
        <v>0</v>
      </c>
      <c r="N1882" s="74">
        <v>0</v>
      </c>
      <c r="O1882" s="73">
        <v>0</v>
      </c>
      <c r="P1882" s="74">
        <v>0</v>
      </c>
      <c r="Q1882" s="73">
        <v>0</v>
      </c>
      <c r="R1882" s="71" t="s">
        <v>625</v>
      </c>
      <c r="S1882" s="71">
        <v>7414000005</v>
      </c>
      <c r="AB1882"/>
      <c r="AC1882"/>
    </row>
    <row r="1883" spans="1:29" x14ac:dyDescent="0.25">
      <c r="A1883" t="str">
        <f t="shared" si="30"/>
        <v xml:space="preserve">75227UDIBONO 401115      </v>
      </c>
      <c r="B1883" s="71">
        <v>75228</v>
      </c>
      <c r="C1883" s="71" t="s">
        <v>855</v>
      </c>
      <c r="D1883" s="71" t="s">
        <v>382</v>
      </c>
      <c r="E1883" s="71" t="s">
        <v>623</v>
      </c>
      <c r="F1883" s="71" t="s">
        <v>624</v>
      </c>
      <c r="G1883" s="74">
        <v>0</v>
      </c>
      <c r="H1883" s="72">
        <v>0</v>
      </c>
      <c r="I1883" s="73">
        <v>0</v>
      </c>
      <c r="J1883" s="72">
        <v>0</v>
      </c>
      <c r="K1883" s="73">
        <v>0</v>
      </c>
      <c r="L1883" s="74">
        <v>0</v>
      </c>
      <c r="M1883" s="73">
        <v>0</v>
      </c>
      <c r="N1883" s="74">
        <v>0</v>
      </c>
      <c r="O1883" s="73">
        <v>0</v>
      </c>
      <c r="P1883" s="74">
        <v>0</v>
      </c>
      <c r="Q1883" s="73">
        <v>0</v>
      </c>
      <c r="R1883" s="71" t="s">
        <v>625</v>
      </c>
      <c r="S1883" s="71">
        <v>7414000005</v>
      </c>
      <c r="AB1883"/>
      <c r="AC1883"/>
    </row>
    <row r="1884" spans="1:29" x14ac:dyDescent="0.25">
      <c r="A1884" t="str">
        <f t="shared" si="30"/>
        <v xml:space="preserve">75228GOBFED 241205       </v>
      </c>
      <c r="B1884" s="71">
        <v>75228</v>
      </c>
      <c r="C1884" s="71" t="s">
        <v>855</v>
      </c>
      <c r="D1884" s="71" t="s">
        <v>396</v>
      </c>
      <c r="E1884" s="71" t="s">
        <v>623</v>
      </c>
      <c r="F1884" s="71" t="s">
        <v>624</v>
      </c>
      <c r="G1884" s="74">
        <v>0</v>
      </c>
      <c r="H1884" s="72">
        <v>0</v>
      </c>
      <c r="I1884" s="73">
        <v>0</v>
      </c>
      <c r="J1884" s="72">
        <v>0</v>
      </c>
      <c r="K1884" s="73">
        <v>0</v>
      </c>
      <c r="L1884" s="74">
        <v>0</v>
      </c>
      <c r="M1884" s="73">
        <v>0</v>
      </c>
      <c r="N1884" s="74">
        <v>0</v>
      </c>
      <c r="O1884" s="73">
        <v>0</v>
      </c>
      <c r="P1884" s="74">
        <v>0</v>
      </c>
      <c r="Q1884" s="73">
        <v>0</v>
      </c>
      <c r="R1884" s="71" t="s">
        <v>625</v>
      </c>
      <c r="S1884" s="71">
        <v>7414000005</v>
      </c>
      <c r="AB1884"/>
      <c r="AC1884"/>
    </row>
    <row r="1885" spans="1:29" x14ac:dyDescent="0.25">
      <c r="A1885" t="str">
        <f t="shared" si="30"/>
        <v xml:space="preserve">75228GOBFED 310529       </v>
      </c>
      <c r="B1885" s="71">
        <v>77704</v>
      </c>
      <c r="C1885" s="71" t="s">
        <v>856</v>
      </c>
      <c r="D1885" s="71" t="s">
        <v>376</v>
      </c>
      <c r="E1885" s="71" t="s">
        <v>623</v>
      </c>
      <c r="F1885" s="71" t="s">
        <v>624</v>
      </c>
      <c r="G1885" s="74">
        <v>0</v>
      </c>
      <c r="H1885" s="72">
        <v>0</v>
      </c>
      <c r="I1885" s="73">
        <v>0</v>
      </c>
      <c r="J1885" s="72">
        <v>0</v>
      </c>
      <c r="K1885" s="73">
        <v>0</v>
      </c>
      <c r="L1885" s="74">
        <v>0</v>
      </c>
      <c r="M1885" s="73">
        <v>0</v>
      </c>
      <c r="N1885" s="74">
        <v>0</v>
      </c>
      <c r="O1885" s="73">
        <v>0</v>
      </c>
      <c r="P1885" s="74">
        <v>0</v>
      </c>
      <c r="Q1885" s="73">
        <v>0</v>
      </c>
      <c r="R1885" s="71" t="s">
        <v>625</v>
      </c>
      <c r="S1885" s="71">
        <v>7414000005</v>
      </c>
      <c r="AB1885"/>
      <c r="AC1885"/>
    </row>
    <row r="1886" spans="1:29" x14ac:dyDescent="0.25">
      <c r="A1886" t="str">
        <f t="shared" si="30"/>
        <v xml:space="preserve">75228UDIBONO 401115      </v>
      </c>
      <c r="B1886" s="71">
        <v>78665</v>
      </c>
      <c r="C1886" s="71" t="s">
        <v>857</v>
      </c>
      <c r="D1886" s="71" t="s">
        <v>480</v>
      </c>
      <c r="E1886" s="71" t="s">
        <v>623</v>
      </c>
      <c r="F1886" s="71" t="s">
        <v>624</v>
      </c>
      <c r="G1886" s="74">
        <v>668079</v>
      </c>
      <c r="H1886" s="72">
        <v>3.612981</v>
      </c>
      <c r="I1886" s="73">
        <v>2413756.7334989998</v>
      </c>
      <c r="J1886" s="72">
        <v>3.6023749885866789</v>
      </c>
      <c r="K1886" s="73">
        <v>7085.653499</v>
      </c>
      <c r="L1886" s="74">
        <v>0</v>
      </c>
      <c r="M1886" s="73">
        <v>0</v>
      </c>
      <c r="N1886" s="74">
        <v>0</v>
      </c>
      <c r="O1886" s="73">
        <v>0</v>
      </c>
      <c r="P1886" s="74">
        <v>668079</v>
      </c>
      <c r="Q1886" s="73">
        <v>2413756.7334989998</v>
      </c>
      <c r="R1886" s="71" t="s">
        <v>625</v>
      </c>
      <c r="S1886" s="71">
        <v>7414000005</v>
      </c>
      <c r="AB1886"/>
      <c r="AC1886"/>
    </row>
    <row r="1887" spans="1:29" x14ac:dyDescent="0.25">
      <c r="A1887" t="str">
        <f t="shared" si="30"/>
        <v xml:space="preserve">77704GOBFED 241205       </v>
      </c>
      <c r="B1887" s="71">
        <v>78665</v>
      </c>
      <c r="C1887" s="71" t="s">
        <v>857</v>
      </c>
      <c r="D1887" s="71" t="s">
        <v>413</v>
      </c>
      <c r="E1887" s="71" t="s">
        <v>623</v>
      </c>
      <c r="F1887" s="71" t="s">
        <v>624</v>
      </c>
      <c r="G1887" s="74">
        <v>3853660</v>
      </c>
      <c r="H1887" s="72">
        <v>137.04691399999999</v>
      </c>
      <c r="I1887" s="73">
        <v>528132210.60523999</v>
      </c>
      <c r="J1887" s="72">
        <v>117.20955695364925</v>
      </c>
      <c r="K1887" s="73">
        <v>76446429.355240002</v>
      </c>
      <c r="L1887" s="74">
        <v>0</v>
      </c>
      <c r="M1887" s="73">
        <v>0</v>
      </c>
      <c r="N1887" s="74">
        <v>0</v>
      </c>
      <c r="O1887" s="73">
        <v>0</v>
      </c>
      <c r="P1887" s="74">
        <v>3853660</v>
      </c>
      <c r="Q1887" s="73">
        <v>528132210.60523999</v>
      </c>
      <c r="R1887" s="71" t="s">
        <v>625</v>
      </c>
      <c r="S1887" s="71">
        <v>7414000005</v>
      </c>
      <c r="AB1887"/>
      <c r="AC1887"/>
    </row>
    <row r="1888" spans="1:29" x14ac:dyDescent="0.25">
      <c r="A1888" t="str">
        <f t="shared" si="30"/>
        <v xml:space="preserve">78665STERGOB B4          </v>
      </c>
      <c r="B1888" s="71">
        <v>78666</v>
      </c>
      <c r="C1888" s="71" t="s">
        <v>858</v>
      </c>
      <c r="D1888" s="71" t="s">
        <v>413</v>
      </c>
      <c r="E1888" s="71" t="s">
        <v>623</v>
      </c>
      <c r="F1888" s="71" t="s">
        <v>624</v>
      </c>
      <c r="G1888" s="74">
        <v>11235729</v>
      </c>
      <c r="H1888" s="72">
        <v>137.04691399999999</v>
      </c>
      <c r="I1888" s="73">
        <v>1539821985.9903059</v>
      </c>
      <c r="J1888" s="72">
        <v>95.653063462103788</v>
      </c>
      <c r="K1888" s="73">
        <v>465090086.91030598</v>
      </c>
      <c r="L1888" s="74">
        <v>0</v>
      </c>
      <c r="M1888" s="73">
        <v>0</v>
      </c>
      <c r="N1888" s="74">
        <v>0</v>
      </c>
      <c r="O1888" s="73">
        <v>0</v>
      </c>
      <c r="P1888" s="74">
        <v>11235729</v>
      </c>
      <c r="Q1888" s="73">
        <v>1539821985.9903059</v>
      </c>
      <c r="R1888" s="71" t="s">
        <v>625</v>
      </c>
      <c r="S1888" s="71">
        <v>7414000005</v>
      </c>
      <c r="AB1888"/>
      <c r="AC1888"/>
    </row>
    <row r="1889" spans="1:29" x14ac:dyDescent="0.25">
      <c r="A1889" t="str">
        <f t="shared" si="30"/>
        <v xml:space="preserve">78665SVIVE20 S           </v>
      </c>
      <c r="B1889" s="71">
        <v>78669</v>
      </c>
      <c r="C1889" s="71" t="s">
        <v>859</v>
      </c>
      <c r="D1889" s="71" t="s">
        <v>357</v>
      </c>
      <c r="E1889" s="71" t="s">
        <v>623</v>
      </c>
      <c r="F1889" s="71" t="s">
        <v>624</v>
      </c>
      <c r="G1889" s="74">
        <v>15500</v>
      </c>
      <c r="H1889" s="72">
        <v>168.64</v>
      </c>
      <c r="I1889" s="73">
        <v>2613920</v>
      </c>
      <c r="J1889" s="72">
        <v>170.82553999999999</v>
      </c>
      <c r="K1889" s="73">
        <v>-33875.870000000003</v>
      </c>
      <c r="L1889" s="74">
        <v>0</v>
      </c>
      <c r="M1889" s="73">
        <v>0</v>
      </c>
      <c r="N1889" s="74">
        <v>0</v>
      </c>
      <c r="O1889" s="73">
        <v>0</v>
      </c>
      <c r="P1889" s="74">
        <v>15500</v>
      </c>
      <c r="Q1889" s="73">
        <v>2613920</v>
      </c>
      <c r="R1889" s="71" t="s">
        <v>625</v>
      </c>
      <c r="S1889" s="71">
        <v>7414000005</v>
      </c>
      <c r="AB1889"/>
      <c r="AC1889"/>
    </row>
    <row r="1890" spans="1:29" x14ac:dyDescent="0.25">
      <c r="A1890" t="str">
        <f t="shared" si="30"/>
        <v xml:space="preserve">78666SVIVE20 S           </v>
      </c>
      <c r="B1890" s="71">
        <v>78669</v>
      </c>
      <c r="C1890" s="71" t="s">
        <v>859</v>
      </c>
      <c r="D1890" s="71" t="s">
        <v>506</v>
      </c>
      <c r="E1890" s="71" t="s">
        <v>623</v>
      </c>
      <c r="F1890" s="71" t="s">
        <v>624</v>
      </c>
      <c r="G1890" s="74">
        <v>80000</v>
      </c>
      <c r="H1890" s="72">
        <v>12.48</v>
      </c>
      <c r="I1890" s="73">
        <v>998400</v>
      </c>
      <c r="J1890" s="72">
        <v>11.544299867499999</v>
      </c>
      <c r="K1890" s="73">
        <v>74856.010599999994</v>
      </c>
      <c r="L1890" s="74">
        <v>0</v>
      </c>
      <c r="M1890" s="73">
        <v>0</v>
      </c>
      <c r="N1890" s="74">
        <v>0</v>
      </c>
      <c r="O1890" s="73">
        <v>0</v>
      </c>
      <c r="P1890" s="74">
        <v>80000</v>
      </c>
      <c r="Q1890" s="73">
        <v>998400</v>
      </c>
      <c r="R1890" s="71" t="s">
        <v>625</v>
      </c>
      <c r="S1890" s="71">
        <v>7414000005</v>
      </c>
      <c r="AB1890"/>
      <c r="AC1890"/>
    </row>
    <row r="1891" spans="1:29" x14ac:dyDescent="0.25">
      <c r="A1891" t="str">
        <f t="shared" si="30"/>
        <v xml:space="preserve">78669AC *                </v>
      </c>
      <c r="B1891" s="71">
        <v>78669</v>
      </c>
      <c r="C1891" s="71" t="s">
        <v>859</v>
      </c>
      <c r="D1891" s="71" t="s">
        <v>617</v>
      </c>
      <c r="E1891" s="71" t="s">
        <v>623</v>
      </c>
      <c r="F1891" s="71" t="s">
        <v>624</v>
      </c>
      <c r="G1891" s="74">
        <v>33657</v>
      </c>
      <c r="H1891" s="72">
        <v>11.86</v>
      </c>
      <c r="I1891" s="73">
        <v>399172.02</v>
      </c>
      <c r="J1891" s="72">
        <v>12.731641560448049</v>
      </c>
      <c r="K1891" s="73">
        <v>-29336.84</v>
      </c>
      <c r="L1891" s="74">
        <v>0</v>
      </c>
      <c r="M1891" s="73">
        <v>0</v>
      </c>
      <c r="N1891" s="74">
        <v>0</v>
      </c>
      <c r="O1891" s="73">
        <v>0</v>
      </c>
      <c r="P1891" s="74">
        <v>33657</v>
      </c>
      <c r="Q1891" s="73">
        <v>399172.02</v>
      </c>
      <c r="R1891" s="71" t="s">
        <v>625</v>
      </c>
      <c r="S1891" s="71">
        <v>7414000005</v>
      </c>
      <c r="AB1891"/>
      <c r="AC1891"/>
    </row>
    <row r="1892" spans="1:29" x14ac:dyDescent="0.25">
      <c r="A1892" t="str">
        <f t="shared" si="30"/>
        <v xml:space="preserve">78669ALFA A              </v>
      </c>
      <c r="B1892" s="71">
        <v>78669</v>
      </c>
      <c r="C1892" s="71" t="s">
        <v>859</v>
      </c>
      <c r="D1892" s="71" t="s">
        <v>359</v>
      </c>
      <c r="E1892" s="71" t="s">
        <v>623</v>
      </c>
      <c r="F1892" s="71" t="s">
        <v>624</v>
      </c>
      <c r="G1892" s="74">
        <v>30000</v>
      </c>
      <c r="H1892" s="72">
        <v>73.37</v>
      </c>
      <c r="I1892" s="73">
        <v>2201100</v>
      </c>
      <c r="J1892" s="72">
        <v>59.822946999999999</v>
      </c>
      <c r="K1892" s="73">
        <v>406411.59</v>
      </c>
      <c r="L1892" s="74">
        <v>0</v>
      </c>
      <c r="M1892" s="73">
        <v>0</v>
      </c>
      <c r="N1892" s="74">
        <v>0</v>
      </c>
      <c r="O1892" s="73">
        <v>0</v>
      </c>
      <c r="P1892" s="74">
        <v>30000</v>
      </c>
      <c r="Q1892" s="73">
        <v>2201100</v>
      </c>
      <c r="R1892" s="71" t="s">
        <v>625</v>
      </c>
      <c r="S1892" s="71">
        <v>7414000005</v>
      </c>
      <c r="AB1892"/>
      <c r="AC1892"/>
    </row>
    <row r="1893" spans="1:29" x14ac:dyDescent="0.25">
      <c r="A1893" t="str">
        <f t="shared" si="30"/>
        <v xml:space="preserve">78669ALPEK A             </v>
      </c>
      <c r="B1893" s="71">
        <v>78669</v>
      </c>
      <c r="C1893" s="71" t="s">
        <v>859</v>
      </c>
      <c r="D1893" s="71" t="s">
        <v>360</v>
      </c>
      <c r="E1893" s="71" t="s">
        <v>623</v>
      </c>
      <c r="F1893" s="71" t="s">
        <v>624</v>
      </c>
      <c r="G1893" s="74">
        <v>543000</v>
      </c>
      <c r="H1893" s="72">
        <v>15.12</v>
      </c>
      <c r="I1893" s="73">
        <v>8210160</v>
      </c>
      <c r="J1893" s="72">
        <v>16.445542259300183</v>
      </c>
      <c r="K1893" s="73">
        <v>-719769.44680000003</v>
      </c>
      <c r="L1893" s="74">
        <v>0</v>
      </c>
      <c r="M1893" s="73">
        <v>0</v>
      </c>
      <c r="N1893" s="74">
        <v>0</v>
      </c>
      <c r="O1893" s="73">
        <v>0</v>
      </c>
      <c r="P1893" s="74">
        <v>543000</v>
      </c>
      <c r="Q1893" s="73">
        <v>8210160</v>
      </c>
      <c r="R1893" s="71" t="s">
        <v>625</v>
      </c>
      <c r="S1893" s="71">
        <v>7414000005</v>
      </c>
      <c r="AB1893"/>
      <c r="AC1893"/>
    </row>
    <row r="1894" spans="1:29" x14ac:dyDescent="0.25">
      <c r="A1894" t="str">
        <f t="shared" si="30"/>
        <v xml:space="preserve">78669ALSEA *             </v>
      </c>
      <c r="B1894" s="71">
        <v>78669</v>
      </c>
      <c r="C1894" s="71" t="s">
        <v>859</v>
      </c>
      <c r="D1894" s="71" t="s">
        <v>551</v>
      </c>
      <c r="E1894" s="71" t="s">
        <v>623</v>
      </c>
      <c r="F1894" s="71" t="s">
        <v>624</v>
      </c>
      <c r="G1894" s="74">
        <v>8200</v>
      </c>
      <c r="H1894" s="72">
        <v>525.09</v>
      </c>
      <c r="I1894" s="73">
        <v>4305738</v>
      </c>
      <c r="J1894" s="72">
        <v>505.66193902439022</v>
      </c>
      <c r="K1894" s="73">
        <v>159310.1</v>
      </c>
      <c r="L1894" s="74">
        <v>0</v>
      </c>
      <c r="M1894" s="73">
        <v>0</v>
      </c>
      <c r="N1894" s="74">
        <v>0</v>
      </c>
      <c r="O1894" s="73">
        <v>0</v>
      </c>
      <c r="P1894" s="74">
        <v>8200</v>
      </c>
      <c r="Q1894" s="73">
        <v>4305738</v>
      </c>
      <c r="R1894" s="71" t="s">
        <v>625</v>
      </c>
      <c r="S1894" s="71">
        <v>7414000005</v>
      </c>
      <c r="AB1894"/>
      <c r="AC1894"/>
    </row>
    <row r="1895" spans="1:29" x14ac:dyDescent="0.25">
      <c r="A1895" t="str">
        <f t="shared" si="30"/>
        <v xml:space="preserve">78669AMX B               </v>
      </c>
      <c r="B1895" s="71">
        <v>78669</v>
      </c>
      <c r="C1895" s="71" t="s">
        <v>859</v>
      </c>
      <c r="D1895" s="71" t="s">
        <v>361</v>
      </c>
      <c r="E1895" s="71" t="s">
        <v>623</v>
      </c>
      <c r="F1895" s="71" t="s">
        <v>624</v>
      </c>
      <c r="G1895" s="74">
        <v>28700</v>
      </c>
      <c r="H1895" s="72">
        <v>68.25</v>
      </c>
      <c r="I1895" s="73">
        <v>1958775</v>
      </c>
      <c r="J1895" s="72">
        <v>77.533172125435541</v>
      </c>
      <c r="K1895" s="73">
        <v>-266427.03999999998</v>
      </c>
      <c r="L1895" s="74">
        <v>0</v>
      </c>
      <c r="M1895" s="73">
        <v>0</v>
      </c>
      <c r="N1895" s="74">
        <v>0</v>
      </c>
      <c r="O1895" s="73">
        <v>0</v>
      </c>
      <c r="P1895" s="74">
        <v>28700</v>
      </c>
      <c r="Q1895" s="73">
        <v>1958775</v>
      </c>
      <c r="R1895" s="71" t="s">
        <v>625</v>
      </c>
      <c r="S1895" s="71">
        <v>7414000005</v>
      </c>
      <c r="AB1895"/>
      <c r="AC1895"/>
    </row>
    <row r="1896" spans="1:29" x14ac:dyDescent="0.25">
      <c r="A1896" t="str">
        <f t="shared" si="30"/>
        <v xml:space="preserve">78669ASUR B              </v>
      </c>
      <c r="B1896" s="71">
        <v>78669</v>
      </c>
      <c r="C1896" s="71" t="s">
        <v>859</v>
      </c>
      <c r="D1896" s="71" t="s">
        <v>362</v>
      </c>
      <c r="E1896" s="71" t="s">
        <v>623</v>
      </c>
      <c r="F1896" s="71" t="s">
        <v>624</v>
      </c>
      <c r="G1896" s="74">
        <v>620000</v>
      </c>
      <c r="H1896" s="72">
        <v>14.33</v>
      </c>
      <c r="I1896" s="73">
        <v>8884600</v>
      </c>
      <c r="J1896" s="72">
        <v>10.717748806451613</v>
      </c>
      <c r="K1896" s="73">
        <v>2239595.7400000002</v>
      </c>
      <c r="L1896" s="74">
        <v>0</v>
      </c>
      <c r="M1896" s="73">
        <v>0</v>
      </c>
      <c r="N1896" s="74">
        <v>0</v>
      </c>
      <c r="O1896" s="73">
        <v>0</v>
      </c>
      <c r="P1896" s="74">
        <v>620000</v>
      </c>
      <c r="Q1896" s="73">
        <v>8884600</v>
      </c>
      <c r="R1896" s="71" t="s">
        <v>625</v>
      </c>
      <c r="S1896" s="71">
        <v>7414000005</v>
      </c>
      <c r="AB1896"/>
      <c r="AC1896"/>
    </row>
    <row r="1897" spans="1:29" x14ac:dyDescent="0.25">
      <c r="A1897" t="str">
        <f t="shared" si="30"/>
        <v xml:space="preserve">78669BIMBO A             </v>
      </c>
      <c r="B1897" s="71">
        <v>78669</v>
      </c>
      <c r="C1897" s="71" t="s">
        <v>859</v>
      </c>
      <c r="D1897" s="71" t="s">
        <v>860</v>
      </c>
      <c r="E1897" s="71" t="s">
        <v>623</v>
      </c>
      <c r="F1897" s="71" t="s">
        <v>624</v>
      </c>
      <c r="G1897" s="74">
        <v>6300</v>
      </c>
      <c r="H1897" s="72">
        <v>124.49</v>
      </c>
      <c r="I1897" s="73">
        <v>784287</v>
      </c>
      <c r="J1897" s="72">
        <v>131.39971587301588</v>
      </c>
      <c r="K1897" s="73">
        <v>-43531.21</v>
      </c>
      <c r="L1897" s="74">
        <v>0</v>
      </c>
      <c r="M1897" s="73">
        <v>0</v>
      </c>
      <c r="N1897" s="74">
        <v>0</v>
      </c>
      <c r="O1897" s="73">
        <v>0</v>
      </c>
      <c r="P1897" s="74">
        <v>6300</v>
      </c>
      <c r="Q1897" s="73">
        <v>784287</v>
      </c>
      <c r="R1897" s="71" t="s">
        <v>625</v>
      </c>
      <c r="S1897" s="71">
        <v>7414000005</v>
      </c>
      <c r="AB1897"/>
      <c r="AC1897"/>
    </row>
    <row r="1898" spans="1:29" x14ac:dyDescent="0.25">
      <c r="A1898" t="str">
        <f t="shared" si="30"/>
        <v xml:space="preserve">78669CEMEX CPO           </v>
      </c>
      <c r="B1898" s="71">
        <v>78669</v>
      </c>
      <c r="C1898" s="71" t="s">
        <v>859</v>
      </c>
      <c r="D1898" s="71" t="s">
        <v>599</v>
      </c>
      <c r="E1898" s="71" t="s">
        <v>623</v>
      </c>
      <c r="F1898" s="71" t="s">
        <v>624</v>
      </c>
      <c r="G1898" s="74">
        <v>213000</v>
      </c>
      <c r="H1898" s="72">
        <v>20.11</v>
      </c>
      <c r="I1898" s="73">
        <v>4283430</v>
      </c>
      <c r="J1898" s="72">
        <v>25.833747323943662</v>
      </c>
      <c r="K1898" s="73">
        <v>-1219158.18</v>
      </c>
      <c r="L1898" s="74">
        <v>0</v>
      </c>
      <c r="M1898" s="73">
        <v>0</v>
      </c>
      <c r="N1898" s="74">
        <v>0</v>
      </c>
      <c r="O1898" s="73">
        <v>0</v>
      </c>
      <c r="P1898" s="74">
        <v>213000</v>
      </c>
      <c r="Q1898" s="73">
        <v>4283430</v>
      </c>
      <c r="R1898" s="71" t="s">
        <v>625</v>
      </c>
      <c r="S1898" s="71">
        <v>7414000005</v>
      </c>
      <c r="AB1898"/>
      <c r="AC1898"/>
    </row>
    <row r="1899" spans="1:29" x14ac:dyDescent="0.25">
      <c r="A1899" t="str">
        <f t="shared" si="30"/>
        <v xml:space="preserve">78669CHDRAUI B           </v>
      </c>
      <c r="B1899" s="71">
        <v>78669</v>
      </c>
      <c r="C1899" s="71" t="s">
        <v>859</v>
      </c>
      <c r="D1899" s="71" t="s">
        <v>600</v>
      </c>
      <c r="E1899" s="71" t="s">
        <v>623</v>
      </c>
      <c r="F1899" s="71" t="s">
        <v>624</v>
      </c>
      <c r="G1899" s="74">
        <v>29629</v>
      </c>
      <c r="H1899" s="72">
        <v>55</v>
      </c>
      <c r="I1899" s="73">
        <v>1629595</v>
      </c>
      <c r="J1899" s="72">
        <v>20</v>
      </c>
      <c r="K1899" s="73">
        <v>1037015</v>
      </c>
      <c r="L1899" s="74">
        <v>0</v>
      </c>
      <c r="M1899" s="73">
        <v>0</v>
      </c>
      <c r="N1899" s="74">
        <v>0</v>
      </c>
      <c r="O1899" s="73">
        <v>0</v>
      </c>
      <c r="P1899" s="74">
        <v>29629</v>
      </c>
      <c r="Q1899" s="73">
        <v>1629595</v>
      </c>
      <c r="R1899" s="71" t="s">
        <v>625</v>
      </c>
      <c r="S1899" s="71">
        <v>7414000005</v>
      </c>
      <c r="AB1899"/>
      <c r="AC1899"/>
    </row>
    <row r="1900" spans="1:29" x14ac:dyDescent="0.25">
      <c r="A1900" t="str">
        <f t="shared" si="30"/>
        <v xml:space="preserve">78669DANHOS 13           </v>
      </c>
      <c r="B1900" s="71">
        <v>78669</v>
      </c>
      <c r="C1900" s="71" t="s">
        <v>859</v>
      </c>
      <c r="D1900" s="71" t="s">
        <v>365</v>
      </c>
      <c r="E1900" s="71" t="s">
        <v>623</v>
      </c>
      <c r="F1900" s="71" t="s">
        <v>624</v>
      </c>
      <c r="G1900" s="74">
        <v>8140</v>
      </c>
      <c r="H1900" s="72">
        <v>675.38</v>
      </c>
      <c r="I1900" s="73">
        <v>5497593.2000000002</v>
      </c>
      <c r="J1900" s="72">
        <v>837.4808353808354</v>
      </c>
      <c r="K1900" s="73">
        <v>-1319500.8</v>
      </c>
      <c r="L1900" s="74">
        <v>0</v>
      </c>
      <c r="M1900" s="73">
        <v>0</v>
      </c>
      <c r="N1900" s="74">
        <v>0</v>
      </c>
      <c r="O1900" s="73">
        <v>0</v>
      </c>
      <c r="P1900" s="74">
        <v>8140</v>
      </c>
      <c r="Q1900" s="73">
        <v>5497593.2000000002</v>
      </c>
      <c r="R1900" s="71" t="s">
        <v>625</v>
      </c>
      <c r="S1900" s="71">
        <v>7414000005</v>
      </c>
      <c r="AB1900"/>
      <c r="AC1900"/>
    </row>
    <row r="1901" spans="1:29" x14ac:dyDescent="0.25">
      <c r="A1901" t="str">
        <f t="shared" si="30"/>
        <v xml:space="preserve">78669EDUCA 18            </v>
      </c>
      <c r="B1901" s="71">
        <v>78669</v>
      </c>
      <c r="C1901" s="71" t="s">
        <v>859</v>
      </c>
      <c r="D1901" s="71" t="s">
        <v>366</v>
      </c>
      <c r="E1901" s="71" t="s">
        <v>623</v>
      </c>
      <c r="F1901" s="71" t="s">
        <v>624</v>
      </c>
      <c r="G1901" s="74">
        <v>0</v>
      </c>
      <c r="H1901" s="72">
        <v>0</v>
      </c>
      <c r="I1901" s="73">
        <v>44802929.479999997</v>
      </c>
      <c r="J1901" s="72">
        <v>0</v>
      </c>
      <c r="K1901" s="73">
        <v>0</v>
      </c>
      <c r="L1901" s="74">
        <v>0</v>
      </c>
      <c r="M1901" s="73">
        <v>0</v>
      </c>
      <c r="N1901" s="74">
        <v>0</v>
      </c>
      <c r="O1901" s="73">
        <v>0</v>
      </c>
      <c r="P1901" s="74">
        <v>0</v>
      </c>
      <c r="Q1901" s="73">
        <v>44802929.479999997</v>
      </c>
      <c r="R1901" s="71" t="s">
        <v>625</v>
      </c>
      <c r="S1901" s="71">
        <v>7414000005</v>
      </c>
      <c r="AB1901"/>
      <c r="AC1901"/>
    </row>
    <row r="1902" spans="1:29" x14ac:dyDescent="0.25">
      <c r="A1902" t="str">
        <f t="shared" si="30"/>
        <v xml:space="preserve">78669EEM *               </v>
      </c>
      <c r="B1902" s="71">
        <v>78669</v>
      </c>
      <c r="C1902" s="71" t="s">
        <v>859</v>
      </c>
      <c r="D1902" s="71" t="s">
        <v>367</v>
      </c>
      <c r="E1902" s="71" t="s">
        <v>623</v>
      </c>
      <c r="F1902" s="71" t="s">
        <v>624</v>
      </c>
      <c r="G1902" s="74">
        <v>1930</v>
      </c>
      <c r="H1902" s="72">
        <v>700.65</v>
      </c>
      <c r="I1902" s="73">
        <v>1352254.5</v>
      </c>
      <c r="J1902" s="72">
        <v>774.49088082901551</v>
      </c>
      <c r="K1902" s="73">
        <v>-142512.9</v>
      </c>
      <c r="L1902" s="74">
        <v>0</v>
      </c>
      <c r="M1902" s="73">
        <v>0</v>
      </c>
      <c r="N1902" s="74">
        <v>0</v>
      </c>
      <c r="O1902" s="73">
        <v>0</v>
      </c>
      <c r="P1902" s="74">
        <v>1930</v>
      </c>
      <c r="Q1902" s="73">
        <v>1352254.5</v>
      </c>
      <c r="R1902" s="71" t="s">
        <v>625</v>
      </c>
      <c r="S1902" s="71">
        <v>7414000005</v>
      </c>
      <c r="AB1902"/>
      <c r="AC1902"/>
    </row>
    <row r="1903" spans="1:29" x14ac:dyDescent="0.25">
      <c r="A1903" t="str">
        <f t="shared" si="30"/>
        <v>78669EFECTIVO</v>
      </c>
      <c r="B1903" s="71">
        <v>78669</v>
      </c>
      <c r="C1903" s="71" t="s">
        <v>859</v>
      </c>
      <c r="D1903" s="71" t="s">
        <v>368</v>
      </c>
      <c r="E1903" s="71" t="s">
        <v>623</v>
      </c>
      <c r="F1903" s="71" t="s">
        <v>624</v>
      </c>
      <c r="G1903" s="74">
        <v>2670</v>
      </c>
      <c r="H1903" s="72">
        <v>1151</v>
      </c>
      <c r="I1903" s="73">
        <v>3073170</v>
      </c>
      <c r="J1903" s="72">
        <v>1073.7219101123596</v>
      </c>
      <c r="K1903" s="73">
        <v>206332.5</v>
      </c>
      <c r="L1903" s="74">
        <v>0</v>
      </c>
      <c r="M1903" s="73">
        <v>0</v>
      </c>
      <c r="N1903" s="74">
        <v>0</v>
      </c>
      <c r="O1903" s="73">
        <v>0</v>
      </c>
      <c r="P1903" s="74">
        <v>2670</v>
      </c>
      <c r="Q1903" s="73">
        <v>3073170</v>
      </c>
      <c r="R1903" s="71" t="s">
        <v>625</v>
      </c>
      <c r="S1903" s="71">
        <v>7414000005</v>
      </c>
      <c r="AB1903"/>
      <c r="AC1903"/>
    </row>
    <row r="1904" spans="1:29" x14ac:dyDescent="0.25">
      <c r="A1904" t="str">
        <f t="shared" si="30"/>
        <v xml:space="preserve">78669EPP *               </v>
      </c>
      <c r="B1904" s="71">
        <v>78669</v>
      </c>
      <c r="C1904" s="71" t="s">
        <v>859</v>
      </c>
      <c r="D1904" s="71" t="s">
        <v>369</v>
      </c>
      <c r="E1904" s="71" t="s">
        <v>623</v>
      </c>
      <c r="F1904" s="71" t="s">
        <v>624</v>
      </c>
      <c r="G1904" s="74">
        <v>48800</v>
      </c>
      <c r="H1904" s="72">
        <v>207.81</v>
      </c>
      <c r="I1904" s="73">
        <v>10141128</v>
      </c>
      <c r="J1904" s="72">
        <v>164.2448868852459</v>
      </c>
      <c r="K1904" s="73">
        <v>2125977.52</v>
      </c>
      <c r="L1904" s="74">
        <v>0</v>
      </c>
      <c r="M1904" s="73">
        <v>0</v>
      </c>
      <c r="N1904" s="74">
        <v>0</v>
      </c>
      <c r="O1904" s="73">
        <v>0</v>
      </c>
      <c r="P1904" s="74">
        <v>48800</v>
      </c>
      <c r="Q1904" s="73">
        <v>10141128</v>
      </c>
      <c r="R1904" s="71" t="s">
        <v>625</v>
      </c>
      <c r="S1904" s="71">
        <v>7414000005</v>
      </c>
      <c r="AB1904"/>
      <c r="AC1904"/>
    </row>
    <row r="1905" spans="1:29" x14ac:dyDescent="0.25">
      <c r="A1905" t="str">
        <f t="shared" si="30"/>
        <v xml:space="preserve">78669EWJ *               </v>
      </c>
      <c r="B1905" s="71">
        <v>78669</v>
      </c>
      <c r="C1905" s="71" t="s">
        <v>859</v>
      </c>
      <c r="D1905" s="71" t="s">
        <v>601</v>
      </c>
      <c r="E1905" s="71" t="s">
        <v>623</v>
      </c>
      <c r="F1905" s="71" t="s">
        <v>624</v>
      </c>
      <c r="G1905" s="74">
        <v>2790</v>
      </c>
      <c r="H1905" s="72">
        <v>838.1</v>
      </c>
      <c r="I1905" s="73">
        <v>2338299</v>
      </c>
      <c r="J1905" s="72">
        <v>632.7621505376344</v>
      </c>
      <c r="K1905" s="73">
        <v>572892.6</v>
      </c>
      <c r="L1905" s="74">
        <v>0</v>
      </c>
      <c r="M1905" s="73">
        <v>0</v>
      </c>
      <c r="N1905" s="74">
        <v>0</v>
      </c>
      <c r="O1905" s="73">
        <v>0</v>
      </c>
      <c r="P1905" s="74">
        <v>2790</v>
      </c>
      <c r="Q1905" s="73">
        <v>2338299</v>
      </c>
      <c r="R1905" s="71" t="s">
        <v>625</v>
      </c>
      <c r="S1905" s="71">
        <v>7414000005</v>
      </c>
      <c r="AB1905"/>
      <c r="AC1905"/>
    </row>
    <row r="1906" spans="1:29" x14ac:dyDescent="0.25">
      <c r="A1906" t="str">
        <f t="shared" si="30"/>
        <v xml:space="preserve">78669FEMSA UBD           </v>
      </c>
      <c r="B1906" s="71">
        <v>78669</v>
      </c>
      <c r="C1906" s="71" t="s">
        <v>859</v>
      </c>
      <c r="D1906" s="71" t="s">
        <v>602</v>
      </c>
      <c r="E1906" s="71" t="s">
        <v>623</v>
      </c>
      <c r="F1906" s="71" t="s">
        <v>624</v>
      </c>
      <c r="G1906" s="74">
        <v>21901</v>
      </c>
      <c r="H1906" s="72">
        <v>293.147626</v>
      </c>
      <c r="I1906" s="73">
        <v>6420226.1570260003</v>
      </c>
      <c r="J1906" s="72">
        <v>575.54750000000001</v>
      </c>
      <c r="K1906" s="73">
        <v>-6184839.640474</v>
      </c>
      <c r="L1906" s="74">
        <v>0</v>
      </c>
      <c r="M1906" s="73">
        <v>0</v>
      </c>
      <c r="N1906" s="74">
        <v>0</v>
      </c>
      <c r="O1906" s="73">
        <v>0</v>
      </c>
      <c r="P1906" s="74">
        <v>21901</v>
      </c>
      <c r="Q1906" s="73">
        <v>6420226.1570260003</v>
      </c>
      <c r="R1906" s="71" t="s">
        <v>625</v>
      </c>
      <c r="S1906" s="71">
        <v>7414000005</v>
      </c>
      <c r="AB1906"/>
      <c r="AC1906"/>
    </row>
    <row r="1907" spans="1:29" x14ac:dyDescent="0.25">
      <c r="A1907" t="str">
        <f t="shared" si="30"/>
        <v xml:space="preserve">78669FEZ *               </v>
      </c>
      <c r="B1907" s="71">
        <v>78669</v>
      </c>
      <c r="C1907" s="71" t="s">
        <v>859</v>
      </c>
      <c r="D1907" s="71" t="s">
        <v>576</v>
      </c>
      <c r="E1907" s="71" t="s">
        <v>623</v>
      </c>
      <c r="F1907" s="71" t="s">
        <v>624</v>
      </c>
      <c r="G1907" s="74">
        <v>223079</v>
      </c>
      <c r="H1907" s="72">
        <v>30.9</v>
      </c>
      <c r="I1907" s="73">
        <v>6893141.0999999996</v>
      </c>
      <c r="J1907" s="72">
        <v>22.913386511056622</v>
      </c>
      <c r="K1907" s="73">
        <v>1781645.7505000001</v>
      </c>
      <c r="L1907" s="74">
        <v>0</v>
      </c>
      <c r="M1907" s="73">
        <v>0</v>
      </c>
      <c r="N1907" s="74">
        <v>0</v>
      </c>
      <c r="O1907" s="73">
        <v>0</v>
      </c>
      <c r="P1907" s="74">
        <v>223079</v>
      </c>
      <c r="Q1907" s="73">
        <v>6893141.0999999996</v>
      </c>
      <c r="R1907" s="71" t="s">
        <v>625</v>
      </c>
      <c r="S1907" s="71">
        <v>7414000005</v>
      </c>
      <c r="AB1907"/>
      <c r="AC1907"/>
    </row>
    <row r="1908" spans="1:29" x14ac:dyDescent="0.25">
      <c r="A1908" t="str">
        <f t="shared" si="30"/>
        <v xml:space="preserve">78669FHIPOCB 17U         </v>
      </c>
      <c r="B1908" s="71">
        <v>78669</v>
      </c>
      <c r="C1908" s="71" t="s">
        <v>859</v>
      </c>
      <c r="D1908" s="71" t="s">
        <v>577</v>
      </c>
      <c r="E1908" s="71" t="s">
        <v>623</v>
      </c>
      <c r="F1908" s="71" t="s">
        <v>624</v>
      </c>
      <c r="G1908" s="74">
        <v>151410</v>
      </c>
      <c r="H1908" s="72">
        <v>68.83</v>
      </c>
      <c r="I1908" s="73">
        <v>10421550.300000001</v>
      </c>
      <c r="J1908" s="72">
        <v>44.799007720758205</v>
      </c>
      <c r="K1908" s="73">
        <v>3638532.5410000002</v>
      </c>
      <c r="L1908" s="74">
        <v>0</v>
      </c>
      <c r="M1908" s="73">
        <v>0</v>
      </c>
      <c r="N1908" s="74">
        <v>0</v>
      </c>
      <c r="O1908" s="73">
        <v>0</v>
      </c>
      <c r="P1908" s="74">
        <v>151410</v>
      </c>
      <c r="Q1908" s="73">
        <v>10421550.300000001</v>
      </c>
      <c r="R1908" s="71" t="s">
        <v>625</v>
      </c>
      <c r="S1908" s="71">
        <v>7414000005</v>
      </c>
      <c r="AB1908"/>
      <c r="AC1908"/>
    </row>
    <row r="1909" spans="1:29" x14ac:dyDescent="0.25">
      <c r="A1909" t="str">
        <f t="shared" si="30"/>
        <v xml:space="preserve">78669FIBRAMQ 12          </v>
      </c>
      <c r="B1909" s="71">
        <v>78669</v>
      </c>
      <c r="C1909" s="71" t="s">
        <v>859</v>
      </c>
      <c r="D1909" s="71" t="s">
        <v>603</v>
      </c>
      <c r="E1909" s="71" t="s">
        <v>623</v>
      </c>
      <c r="F1909" s="71" t="s">
        <v>624</v>
      </c>
      <c r="G1909" s="74">
        <v>2648</v>
      </c>
      <c r="H1909" s="72">
        <v>958</v>
      </c>
      <c r="I1909" s="73">
        <v>2536784</v>
      </c>
      <c r="J1909" s="72">
        <v>1000</v>
      </c>
      <c r="K1909" s="73">
        <v>-111216</v>
      </c>
      <c r="L1909" s="74">
        <v>0</v>
      </c>
      <c r="M1909" s="73">
        <v>0</v>
      </c>
      <c r="N1909" s="74">
        <v>0</v>
      </c>
      <c r="O1909" s="73">
        <v>0</v>
      </c>
      <c r="P1909" s="74">
        <v>2648</v>
      </c>
      <c r="Q1909" s="73">
        <v>2536784</v>
      </c>
      <c r="R1909" s="71" t="s">
        <v>625</v>
      </c>
      <c r="S1909" s="71">
        <v>7414000005</v>
      </c>
      <c r="AB1909"/>
      <c r="AC1909"/>
    </row>
    <row r="1910" spans="1:29" x14ac:dyDescent="0.25">
      <c r="A1910" t="str">
        <f t="shared" si="30"/>
        <v xml:space="preserve">78669FIBRAPL 14          </v>
      </c>
      <c r="B1910" s="71">
        <v>78669</v>
      </c>
      <c r="C1910" s="71" t="s">
        <v>859</v>
      </c>
      <c r="D1910" s="71" t="s">
        <v>604</v>
      </c>
      <c r="E1910" s="71" t="s">
        <v>623</v>
      </c>
      <c r="F1910" s="71" t="s">
        <v>624</v>
      </c>
      <c r="G1910" s="74">
        <v>350000</v>
      </c>
      <c r="H1910" s="72">
        <v>26.59</v>
      </c>
      <c r="I1910" s="73">
        <v>9306500</v>
      </c>
      <c r="J1910" s="72">
        <v>24.139288028571428</v>
      </c>
      <c r="K1910" s="73">
        <v>857749.19</v>
      </c>
      <c r="L1910" s="74">
        <v>0</v>
      </c>
      <c r="M1910" s="73">
        <v>0</v>
      </c>
      <c r="N1910" s="74">
        <v>0</v>
      </c>
      <c r="O1910" s="73">
        <v>0</v>
      </c>
      <c r="P1910" s="74">
        <v>350000</v>
      </c>
      <c r="Q1910" s="73">
        <v>9306500</v>
      </c>
      <c r="R1910" s="71" t="s">
        <v>625</v>
      </c>
      <c r="S1910" s="71">
        <v>7414000005</v>
      </c>
      <c r="AB1910"/>
      <c r="AC1910"/>
    </row>
    <row r="1911" spans="1:29" x14ac:dyDescent="0.25">
      <c r="A1911" t="str">
        <f t="shared" si="30"/>
        <v xml:space="preserve">78669FORION 20           </v>
      </c>
      <c r="B1911" s="71">
        <v>78669</v>
      </c>
      <c r="C1911" s="71" t="s">
        <v>859</v>
      </c>
      <c r="D1911" s="71" t="s">
        <v>605</v>
      </c>
      <c r="E1911" s="71" t="s">
        <v>623</v>
      </c>
      <c r="F1911" s="71" t="s">
        <v>624</v>
      </c>
      <c r="G1911" s="74">
        <v>126663</v>
      </c>
      <c r="H1911" s="72">
        <v>24.456977999999999</v>
      </c>
      <c r="I1911" s="73">
        <v>3097794.2044139998</v>
      </c>
      <c r="J1911" s="72">
        <v>0</v>
      </c>
      <c r="K1911" s="73">
        <v>3097794.2044139998</v>
      </c>
      <c r="L1911" s="74">
        <v>0</v>
      </c>
      <c r="M1911" s="73">
        <v>0</v>
      </c>
      <c r="N1911" s="74">
        <v>0</v>
      </c>
      <c r="O1911" s="73">
        <v>0</v>
      </c>
      <c r="P1911" s="74">
        <v>126663</v>
      </c>
      <c r="Q1911" s="73">
        <v>3097794.2044139998</v>
      </c>
      <c r="R1911" s="71" t="s">
        <v>625</v>
      </c>
      <c r="S1911" s="71">
        <v>7414000005</v>
      </c>
      <c r="AB1911"/>
      <c r="AC1911"/>
    </row>
    <row r="1912" spans="1:29" x14ac:dyDescent="0.25">
      <c r="A1912" t="str">
        <f t="shared" si="30"/>
        <v xml:space="preserve">78669FUNO 11             </v>
      </c>
      <c r="B1912" s="71">
        <v>78669</v>
      </c>
      <c r="C1912" s="71" t="s">
        <v>859</v>
      </c>
      <c r="D1912" s="71" t="s">
        <v>370</v>
      </c>
      <c r="E1912" s="71" t="s">
        <v>623</v>
      </c>
      <c r="F1912" s="71" t="s">
        <v>624</v>
      </c>
      <c r="G1912" s="74">
        <v>3200</v>
      </c>
      <c r="H1912" s="72">
        <v>271.94</v>
      </c>
      <c r="I1912" s="73">
        <v>870208</v>
      </c>
      <c r="J1912" s="72">
        <v>298.36692812500002</v>
      </c>
      <c r="K1912" s="73">
        <v>-84566.17</v>
      </c>
      <c r="L1912" s="74">
        <v>0</v>
      </c>
      <c r="M1912" s="73">
        <v>0</v>
      </c>
      <c r="N1912" s="74">
        <v>0</v>
      </c>
      <c r="O1912" s="73">
        <v>0</v>
      </c>
      <c r="P1912" s="74">
        <v>3200</v>
      </c>
      <c r="Q1912" s="73">
        <v>870208</v>
      </c>
      <c r="R1912" s="71" t="s">
        <v>625</v>
      </c>
      <c r="S1912" s="71">
        <v>7414000005</v>
      </c>
      <c r="AB1912"/>
      <c r="AC1912"/>
    </row>
    <row r="1913" spans="1:29" x14ac:dyDescent="0.25">
      <c r="A1913" t="str">
        <f t="shared" si="30"/>
        <v xml:space="preserve">78669FVIA 16             </v>
      </c>
      <c r="B1913" s="71">
        <v>78669</v>
      </c>
      <c r="C1913" s="71" t="s">
        <v>859</v>
      </c>
      <c r="D1913" s="71" t="s">
        <v>371</v>
      </c>
      <c r="E1913" s="71" t="s">
        <v>623</v>
      </c>
      <c r="F1913" s="71" t="s">
        <v>624</v>
      </c>
      <c r="G1913" s="74">
        <v>15600</v>
      </c>
      <c r="H1913" s="72">
        <v>193.15</v>
      </c>
      <c r="I1913" s="73">
        <v>3013140</v>
      </c>
      <c r="J1913" s="72">
        <v>162.74262371794873</v>
      </c>
      <c r="K1913" s="73">
        <v>474355.07</v>
      </c>
      <c r="L1913" s="74">
        <v>0</v>
      </c>
      <c r="M1913" s="73">
        <v>0</v>
      </c>
      <c r="N1913" s="74">
        <v>0</v>
      </c>
      <c r="O1913" s="73">
        <v>0</v>
      </c>
      <c r="P1913" s="74">
        <v>15600</v>
      </c>
      <c r="Q1913" s="73">
        <v>3013140</v>
      </c>
      <c r="R1913" s="71" t="s">
        <v>625</v>
      </c>
      <c r="S1913" s="71">
        <v>7414000005</v>
      </c>
      <c r="AB1913"/>
      <c r="AC1913"/>
    </row>
    <row r="1914" spans="1:29" x14ac:dyDescent="0.25">
      <c r="A1914" t="str">
        <f t="shared" si="30"/>
        <v xml:space="preserve">78669GAP B               </v>
      </c>
      <c r="B1914" s="71">
        <v>78669</v>
      </c>
      <c r="C1914" s="71" t="s">
        <v>859</v>
      </c>
      <c r="D1914" s="71" t="s">
        <v>372</v>
      </c>
      <c r="E1914" s="71" t="s">
        <v>623</v>
      </c>
      <c r="F1914" s="71" t="s">
        <v>624</v>
      </c>
      <c r="G1914" s="74">
        <v>105000</v>
      </c>
      <c r="H1914" s="72">
        <v>27.12</v>
      </c>
      <c r="I1914" s="73">
        <v>2847600</v>
      </c>
      <c r="J1914" s="72">
        <v>22.78933</v>
      </c>
      <c r="K1914" s="73">
        <v>454720.35</v>
      </c>
      <c r="L1914" s="74">
        <v>0</v>
      </c>
      <c r="M1914" s="73">
        <v>0</v>
      </c>
      <c r="N1914" s="74">
        <v>0</v>
      </c>
      <c r="O1914" s="73">
        <v>0</v>
      </c>
      <c r="P1914" s="74">
        <v>105000</v>
      </c>
      <c r="Q1914" s="73">
        <v>2847600</v>
      </c>
      <c r="R1914" s="71" t="s">
        <v>625</v>
      </c>
      <c r="S1914" s="71">
        <v>7414000005</v>
      </c>
      <c r="AB1914"/>
      <c r="AC1914"/>
    </row>
    <row r="1915" spans="1:29" x14ac:dyDescent="0.25">
      <c r="A1915" t="str">
        <f t="shared" si="30"/>
        <v xml:space="preserve">78669GCC *               </v>
      </c>
      <c r="B1915" s="71">
        <v>78669</v>
      </c>
      <c r="C1915" s="71" t="s">
        <v>859</v>
      </c>
      <c r="D1915" s="71" t="s">
        <v>373</v>
      </c>
      <c r="E1915" s="71" t="s">
        <v>623</v>
      </c>
      <c r="F1915" s="71" t="s">
        <v>624</v>
      </c>
      <c r="G1915" s="74">
        <v>79700</v>
      </c>
      <c r="H1915" s="72">
        <v>176.44</v>
      </c>
      <c r="I1915" s="73">
        <v>14062268</v>
      </c>
      <c r="J1915" s="72">
        <v>148.7169486825596</v>
      </c>
      <c r="K1915" s="73">
        <v>2209527.19</v>
      </c>
      <c r="L1915" s="74">
        <v>0</v>
      </c>
      <c r="M1915" s="73">
        <v>0</v>
      </c>
      <c r="N1915" s="74">
        <v>0</v>
      </c>
      <c r="O1915" s="73">
        <v>0</v>
      </c>
      <c r="P1915" s="74">
        <v>79700</v>
      </c>
      <c r="Q1915" s="73">
        <v>14062268</v>
      </c>
      <c r="R1915" s="71" t="s">
        <v>625</v>
      </c>
      <c r="S1915" s="71">
        <v>7414000005</v>
      </c>
      <c r="AB1915"/>
      <c r="AC1915"/>
    </row>
    <row r="1916" spans="1:29" x14ac:dyDescent="0.25">
      <c r="A1916" t="str">
        <f t="shared" si="30"/>
        <v xml:space="preserve">78669GENTERA *           </v>
      </c>
      <c r="B1916" s="71">
        <v>78669</v>
      </c>
      <c r="C1916" s="71" t="s">
        <v>859</v>
      </c>
      <c r="D1916" s="71" t="s">
        <v>374</v>
      </c>
      <c r="E1916" s="71" t="s">
        <v>623</v>
      </c>
      <c r="F1916" s="71" t="s">
        <v>624</v>
      </c>
      <c r="G1916" s="74">
        <v>90000</v>
      </c>
      <c r="H1916" s="72">
        <v>104.12</v>
      </c>
      <c r="I1916" s="73">
        <v>9370800</v>
      </c>
      <c r="J1916" s="72">
        <v>84.655938000000006</v>
      </c>
      <c r="K1916" s="73">
        <v>1751765.58</v>
      </c>
      <c r="L1916" s="74">
        <v>0</v>
      </c>
      <c r="M1916" s="73">
        <v>0</v>
      </c>
      <c r="N1916" s="74">
        <v>0</v>
      </c>
      <c r="O1916" s="73">
        <v>0</v>
      </c>
      <c r="P1916" s="74">
        <v>90000</v>
      </c>
      <c r="Q1916" s="73">
        <v>9370800</v>
      </c>
      <c r="R1916" s="71" t="s">
        <v>625</v>
      </c>
      <c r="S1916" s="71">
        <v>7414000005</v>
      </c>
      <c r="AB1916"/>
      <c r="AC1916"/>
    </row>
    <row r="1917" spans="1:29" x14ac:dyDescent="0.25">
      <c r="A1917" t="str">
        <f t="shared" si="30"/>
        <v xml:space="preserve">78669GFNORTE O           </v>
      </c>
      <c r="B1917" s="71">
        <v>78669</v>
      </c>
      <c r="C1917" s="71" t="s">
        <v>859</v>
      </c>
      <c r="D1917" s="71" t="s">
        <v>383</v>
      </c>
      <c r="E1917" s="71" t="s">
        <v>623</v>
      </c>
      <c r="F1917" s="71" t="s">
        <v>624</v>
      </c>
      <c r="G1917" s="74">
        <v>3631</v>
      </c>
      <c r="H1917" s="72">
        <v>86.197128000000006</v>
      </c>
      <c r="I1917" s="73">
        <v>312981.77176799998</v>
      </c>
      <c r="J1917" s="72">
        <v>90.513099729999993</v>
      </c>
      <c r="K1917" s="73">
        <v>-15671.29335163</v>
      </c>
      <c r="L1917" s="74">
        <v>0</v>
      </c>
      <c r="M1917" s="73">
        <v>0</v>
      </c>
      <c r="N1917" s="74">
        <v>0</v>
      </c>
      <c r="O1917" s="73">
        <v>0</v>
      </c>
      <c r="P1917" s="74">
        <v>3631</v>
      </c>
      <c r="Q1917" s="73">
        <v>312981.77176799998</v>
      </c>
      <c r="R1917" s="71" t="s">
        <v>625</v>
      </c>
      <c r="S1917" s="71">
        <v>7414000005</v>
      </c>
      <c r="AB1917"/>
      <c r="AC1917"/>
    </row>
    <row r="1918" spans="1:29" x14ac:dyDescent="0.25">
      <c r="A1918" t="str">
        <f t="shared" si="30"/>
        <v xml:space="preserve">78669GMEXICO B           </v>
      </c>
      <c r="B1918" s="71">
        <v>78669</v>
      </c>
      <c r="C1918" s="71" t="s">
        <v>859</v>
      </c>
      <c r="D1918" s="71" t="s">
        <v>427</v>
      </c>
      <c r="E1918" s="71" t="s">
        <v>623</v>
      </c>
      <c r="F1918" s="71" t="s">
        <v>624</v>
      </c>
      <c r="G1918" s="74">
        <v>1043412</v>
      </c>
      <c r="H1918" s="72">
        <v>86.469353999999996</v>
      </c>
      <c r="I1918" s="73">
        <v>90223161.595847994</v>
      </c>
      <c r="J1918" s="72">
        <v>93.062941122302945</v>
      </c>
      <c r="K1918" s="73">
        <v>-6879827.9264563601</v>
      </c>
      <c r="L1918" s="74">
        <v>0</v>
      </c>
      <c r="M1918" s="73">
        <v>0</v>
      </c>
      <c r="N1918" s="74">
        <v>0</v>
      </c>
      <c r="O1918" s="73">
        <v>0</v>
      </c>
      <c r="P1918" s="74">
        <v>1043412</v>
      </c>
      <c r="Q1918" s="73">
        <v>90223161.595847994</v>
      </c>
      <c r="R1918" s="71" t="s">
        <v>625</v>
      </c>
      <c r="S1918" s="71">
        <v>7414000005</v>
      </c>
      <c r="AB1918"/>
      <c r="AC1918"/>
    </row>
    <row r="1919" spans="1:29" x14ac:dyDescent="0.25">
      <c r="A1919" t="str">
        <f t="shared" si="30"/>
        <v xml:space="preserve">78669GOBFED 330526       </v>
      </c>
      <c r="B1919" s="71">
        <v>78669</v>
      </c>
      <c r="C1919" s="71" t="s">
        <v>859</v>
      </c>
      <c r="D1919" s="71" t="s">
        <v>418</v>
      </c>
      <c r="E1919" s="71" t="s">
        <v>623</v>
      </c>
      <c r="F1919" s="71" t="s">
        <v>624</v>
      </c>
      <c r="G1919" s="74">
        <v>604560</v>
      </c>
      <c r="H1919" s="72">
        <v>101.45096599999999</v>
      </c>
      <c r="I1919" s="73">
        <v>61333196.004960001</v>
      </c>
      <c r="J1919" s="72">
        <v>106.69030219649861</v>
      </c>
      <c r="K1919" s="73">
        <v>-3167493.0909552001</v>
      </c>
      <c r="L1919" s="74">
        <v>0</v>
      </c>
      <c r="M1919" s="73">
        <v>0</v>
      </c>
      <c r="N1919" s="74">
        <v>0</v>
      </c>
      <c r="O1919" s="73">
        <v>0</v>
      </c>
      <c r="P1919" s="74">
        <v>604560</v>
      </c>
      <c r="Q1919" s="73">
        <v>61333196.004960001</v>
      </c>
      <c r="R1919" s="71" t="s">
        <v>625</v>
      </c>
      <c r="S1919" s="71">
        <v>7414000005</v>
      </c>
      <c r="AB1919"/>
      <c r="AC1919"/>
    </row>
    <row r="1920" spans="1:29" x14ac:dyDescent="0.25">
      <c r="A1920" t="str">
        <f t="shared" si="30"/>
        <v xml:space="preserve">78669GOBFED 341123       </v>
      </c>
      <c r="B1920" s="71">
        <v>78669</v>
      </c>
      <c r="C1920" s="71" t="s">
        <v>859</v>
      </c>
      <c r="D1920" s="71" t="s">
        <v>408</v>
      </c>
      <c r="E1920" s="71" t="s">
        <v>623</v>
      </c>
      <c r="F1920" s="71" t="s">
        <v>624</v>
      </c>
      <c r="G1920" s="74">
        <v>1454000</v>
      </c>
      <c r="H1920" s="72">
        <v>89.643172000000007</v>
      </c>
      <c r="I1920" s="73">
        <v>130341172.088</v>
      </c>
      <c r="J1920" s="72">
        <v>104.54384082464924</v>
      </c>
      <c r="K1920" s="73">
        <v>-21665572.471039999</v>
      </c>
      <c r="L1920" s="74">
        <v>0</v>
      </c>
      <c r="M1920" s="73">
        <v>0</v>
      </c>
      <c r="N1920" s="74">
        <v>0</v>
      </c>
      <c r="O1920" s="73">
        <v>0</v>
      </c>
      <c r="P1920" s="74">
        <v>1454000</v>
      </c>
      <c r="Q1920" s="73">
        <v>130341172.088</v>
      </c>
      <c r="R1920" s="71" t="s">
        <v>625</v>
      </c>
      <c r="S1920" s="71">
        <v>7414000005</v>
      </c>
      <c r="AB1920"/>
      <c r="AC1920"/>
    </row>
    <row r="1921" spans="1:29" x14ac:dyDescent="0.25">
      <c r="A1921" t="str">
        <f t="shared" si="30"/>
        <v xml:space="preserve">78669GOBFED 361120       </v>
      </c>
      <c r="B1921" s="71">
        <v>78669</v>
      </c>
      <c r="C1921" s="71" t="s">
        <v>859</v>
      </c>
      <c r="D1921" s="71" t="s">
        <v>384</v>
      </c>
      <c r="E1921" s="71" t="s">
        <v>623</v>
      </c>
      <c r="F1921" s="71" t="s">
        <v>624</v>
      </c>
      <c r="G1921" s="74">
        <v>2471689</v>
      </c>
      <c r="H1921" s="72">
        <v>81.738860000000003</v>
      </c>
      <c r="I1921" s="73">
        <v>202033041.13453999</v>
      </c>
      <c r="J1921" s="72">
        <v>84.445428765634105</v>
      </c>
      <c r="K1921" s="73">
        <v>-6689796.2457614001</v>
      </c>
      <c r="L1921" s="74">
        <v>0</v>
      </c>
      <c r="M1921" s="73">
        <v>0</v>
      </c>
      <c r="N1921" s="74">
        <v>0</v>
      </c>
      <c r="O1921" s="73">
        <v>0</v>
      </c>
      <c r="P1921" s="74">
        <v>2471689</v>
      </c>
      <c r="Q1921" s="73">
        <v>202033041.13453999</v>
      </c>
      <c r="R1921" s="71" t="s">
        <v>625</v>
      </c>
      <c r="S1921" s="71">
        <v>7414000005</v>
      </c>
      <c r="AB1921"/>
      <c r="AC1921"/>
    </row>
    <row r="1922" spans="1:29" x14ac:dyDescent="0.25">
      <c r="A1922" t="str">
        <f t="shared" si="30"/>
        <v xml:space="preserve">78669GOBFED 381118       </v>
      </c>
      <c r="B1922" s="71">
        <v>78669</v>
      </c>
      <c r="C1922" s="71" t="s">
        <v>859</v>
      </c>
      <c r="D1922" s="71" t="s">
        <v>386</v>
      </c>
      <c r="E1922" s="71" t="s">
        <v>623</v>
      </c>
      <c r="F1922" s="71" t="s">
        <v>624</v>
      </c>
      <c r="G1922" s="74">
        <v>150000</v>
      </c>
      <c r="H1922" s="72">
        <v>82.159907000000004</v>
      </c>
      <c r="I1922" s="73">
        <v>12323986.050000001</v>
      </c>
      <c r="J1922" s="72">
        <v>84.282532649999993</v>
      </c>
      <c r="K1922" s="73">
        <v>-318393.84749999997</v>
      </c>
      <c r="L1922" s="74">
        <v>0</v>
      </c>
      <c r="M1922" s="73">
        <v>0</v>
      </c>
      <c r="N1922" s="74">
        <v>0</v>
      </c>
      <c r="O1922" s="73">
        <v>0</v>
      </c>
      <c r="P1922" s="74">
        <v>150000</v>
      </c>
      <c r="Q1922" s="73">
        <v>12323986.050000001</v>
      </c>
      <c r="R1922" s="71" t="s">
        <v>625</v>
      </c>
      <c r="S1922" s="71">
        <v>7414000005</v>
      </c>
      <c r="AB1922"/>
      <c r="AC1922"/>
    </row>
    <row r="1923" spans="1:29" x14ac:dyDescent="0.25">
      <c r="A1923" t="str">
        <f t="shared" si="30"/>
        <v xml:space="preserve">78669GOBFED 421113       </v>
      </c>
      <c r="B1923" s="71">
        <v>78669</v>
      </c>
      <c r="C1923" s="71" t="s">
        <v>859</v>
      </c>
      <c r="D1923" s="71" t="s">
        <v>387</v>
      </c>
      <c r="E1923" s="71" t="s">
        <v>623</v>
      </c>
      <c r="F1923" s="71" t="s">
        <v>624</v>
      </c>
      <c r="G1923" s="74">
        <v>10700</v>
      </c>
      <c r="H1923" s="72">
        <v>314.42</v>
      </c>
      <c r="I1923" s="73">
        <v>3364294</v>
      </c>
      <c r="J1923" s="72">
        <v>282.21611121495329</v>
      </c>
      <c r="K1923" s="73">
        <v>344581.61</v>
      </c>
      <c r="L1923" s="74">
        <v>0</v>
      </c>
      <c r="M1923" s="73">
        <v>0</v>
      </c>
      <c r="N1923" s="74">
        <v>0</v>
      </c>
      <c r="O1923" s="73">
        <v>0</v>
      </c>
      <c r="P1923" s="74">
        <v>10700</v>
      </c>
      <c r="Q1923" s="73">
        <v>3364294</v>
      </c>
      <c r="R1923" s="71" t="s">
        <v>625</v>
      </c>
      <c r="S1923" s="71">
        <v>7414000005</v>
      </c>
      <c r="AB1923"/>
      <c r="AC1923"/>
    </row>
    <row r="1924" spans="1:29" x14ac:dyDescent="0.25">
      <c r="A1924" t="str">
        <f t="shared" si="30"/>
        <v xml:space="preserve">78669GOBFED 530731       </v>
      </c>
      <c r="B1924" s="71">
        <v>78669</v>
      </c>
      <c r="C1924" s="71" t="s">
        <v>859</v>
      </c>
      <c r="D1924" s="71" t="s">
        <v>503</v>
      </c>
      <c r="E1924" s="71" t="s">
        <v>623</v>
      </c>
      <c r="F1924" s="71" t="s">
        <v>624</v>
      </c>
      <c r="G1924" s="74">
        <v>24998</v>
      </c>
      <c r="H1924" s="72">
        <v>43.85</v>
      </c>
      <c r="I1924" s="73">
        <v>1096162.3</v>
      </c>
      <c r="J1924" s="72">
        <v>47.334181134490763</v>
      </c>
      <c r="K1924" s="73">
        <v>-87097.56</v>
      </c>
      <c r="L1924" s="74">
        <v>0</v>
      </c>
      <c r="M1924" s="73">
        <v>0</v>
      </c>
      <c r="N1924" s="74">
        <v>0</v>
      </c>
      <c r="O1924" s="73">
        <v>0</v>
      </c>
      <c r="P1924" s="74">
        <v>24998</v>
      </c>
      <c r="Q1924" s="73">
        <v>1096162.3</v>
      </c>
      <c r="R1924" s="71" t="s">
        <v>625</v>
      </c>
      <c r="S1924" s="71">
        <v>7414000005</v>
      </c>
      <c r="AB1924"/>
      <c r="AC1924"/>
    </row>
    <row r="1925" spans="1:29" x14ac:dyDescent="0.25">
      <c r="A1925" t="str">
        <f t="shared" si="30"/>
        <v xml:space="preserve">78669GRUMA B             </v>
      </c>
      <c r="B1925" s="71">
        <v>78669</v>
      </c>
      <c r="C1925" s="71" t="s">
        <v>859</v>
      </c>
      <c r="D1925" s="71" t="s">
        <v>606</v>
      </c>
      <c r="E1925" s="71" t="s">
        <v>623</v>
      </c>
      <c r="F1925" s="71" t="s">
        <v>624</v>
      </c>
      <c r="G1925" s="74">
        <v>1486193</v>
      </c>
      <c r="H1925" s="72">
        <v>100</v>
      </c>
      <c r="I1925" s="73">
        <v>148619300</v>
      </c>
      <c r="J1925" s="72">
        <v>100</v>
      </c>
      <c r="K1925" s="73">
        <v>0</v>
      </c>
      <c r="L1925" s="74">
        <v>0</v>
      </c>
      <c r="M1925" s="73">
        <v>0</v>
      </c>
      <c r="N1925" s="74">
        <v>0</v>
      </c>
      <c r="O1925" s="73">
        <v>0</v>
      </c>
      <c r="P1925" s="74">
        <v>1486193</v>
      </c>
      <c r="Q1925" s="73">
        <v>148619300</v>
      </c>
      <c r="R1925" s="71" t="s">
        <v>625</v>
      </c>
      <c r="S1925" s="71">
        <v>7414000005</v>
      </c>
      <c r="AB1925"/>
      <c r="AC1925"/>
    </row>
    <row r="1926" spans="1:29" x14ac:dyDescent="0.25">
      <c r="A1926" t="str">
        <f t="shared" si="30"/>
        <v xml:space="preserve">78669HERDEZ *            </v>
      </c>
      <c r="B1926" s="71">
        <v>78669</v>
      </c>
      <c r="C1926" s="71" t="s">
        <v>859</v>
      </c>
      <c r="D1926" s="71" t="s">
        <v>607</v>
      </c>
      <c r="E1926" s="71" t="s">
        <v>623</v>
      </c>
      <c r="F1926" s="71" t="s">
        <v>624</v>
      </c>
      <c r="G1926" s="74">
        <v>0</v>
      </c>
      <c r="H1926" s="72">
        <v>0</v>
      </c>
      <c r="I1926" s="73">
        <v>0</v>
      </c>
      <c r="J1926" s="72">
        <v>0</v>
      </c>
      <c r="K1926" s="73">
        <v>0</v>
      </c>
      <c r="L1926" s="74">
        <v>0</v>
      </c>
      <c r="M1926" s="73">
        <v>0</v>
      </c>
      <c r="N1926" s="74">
        <v>0</v>
      </c>
      <c r="O1926" s="73">
        <v>0</v>
      </c>
      <c r="P1926" s="74">
        <v>0</v>
      </c>
      <c r="Q1926" s="73">
        <v>0</v>
      </c>
      <c r="R1926" s="71" t="s">
        <v>625</v>
      </c>
      <c r="S1926" s="71">
        <v>7414000005</v>
      </c>
      <c r="AB1926"/>
      <c r="AC1926"/>
    </row>
    <row r="1927" spans="1:29" x14ac:dyDescent="0.25">
      <c r="A1927" t="str">
        <f t="shared" ref="A1927:A1990" si="31">B1925&amp;D1925</f>
        <v xml:space="preserve">78669HICKOK 90           </v>
      </c>
      <c r="B1927" s="71">
        <v>78669</v>
      </c>
      <c r="C1927" s="71" t="s">
        <v>859</v>
      </c>
      <c r="D1927" s="71" t="s">
        <v>419</v>
      </c>
      <c r="E1927" s="71" t="s">
        <v>623</v>
      </c>
      <c r="F1927" s="71" t="s">
        <v>624</v>
      </c>
      <c r="G1927" s="74">
        <v>0</v>
      </c>
      <c r="H1927" s="72">
        <v>0</v>
      </c>
      <c r="I1927" s="73">
        <v>0</v>
      </c>
      <c r="J1927" s="72">
        <v>0</v>
      </c>
      <c r="K1927" s="73">
        <v>0</v>
      </c>
      <c r="L1927" s="74">
        <v>0</v>
      </c>
      <c r="M1927" s="73">
        <v>0</v>
      </c>
      <c r="N1927" s="74">
        <v>0</v>
      </c>
      <c r="O1927" s="73">
        <v>0</v>
      </c>
      <c r="P1927" s="74">
        <v>0</v>
      </c>
      <c r="Q1927" s="73">
        <v>0</v>
      </c>
      <c r="R1927" s="71" t="s">
        <v>625</v>
      </c>
      <c r="S1927" s="71">
        <v>7414000005</v>
      </c>
      <c r="AB1927"/>
      <c r="AC1927"/>
    </row>
    <row r="1928" spans="1:29" x14ac:dyDescent="0.25">
      <c r="A1928" t="str">
        <f t="shared" si="31"/>
        <v xml:space="preserve">78669IBANOBRA 13171      </v>
      </c>
      <c r="B1928" s="71">
        <v>78669</v>
      </c>
      <c r="C1928" s="71" t="s">
        <v>859</v>
      </c>
      <c r="D1928" s="71" t="s">
        <v>388</v>
      </c>
      <c r="E1928" s="71" t="s">
        <v>623</v>
      </c>
      <c r="F1928" s="71" t="s">
        <v>624</v>
      </c>
      <c r="G1928" s="74">
        <v>2560</v>
      </c>
      <c r="H1928" s="72">
        <v>8532.5</v>
      </c>
      <c r="I1928" s="73">
        <v>21843200</v>
      </c>
      <c r="J1928" s="72">
        <v>5139.7662109374996</v>
      </c>
      <c r="K1928" s="73">
        <v>8685398.5</v>
      </c>
      <c r="L1928" s="74">
        <v>0</v>
      </c>
      <c r="M1928" s="73">
        <v>0</v>
      </c>
      <c r="N1928" s="74">
        <v>0</v>
      </c>
      <c r="O1928" s="73">
        <v>0</v>
      </c>
      <c r="P1928" s="74">
        <v>2560</v>
      </c>
      <c r="Q1928" s="73">
        <v>21843200</v>
      </c>
      <c r="R1928" s="71" t="s">
        <v>625</v>
      </c>
      <c r="S1928" s="71">
        <v>7414000005</v>
      </c>
      <c r="AB1928"/>
      <c r="AC1928"/>
    </row>
    <row r="1929" spans="1:29" x14ac:dyDescent="0.25">
      <c r="A1929" t="str">
        <f t="shared" si="31"/>
        <v xml:space="preserve">78669IENOVA *            </v>
      </c>
      <c r="B1929" s="71">
        <v>78669</v>
      </c>
      <c r="C1929" s="71" t="s">
        <v>859</v>
      </c>
      <c r="D1929" s="71" t="s">
        <v>539</v>
      </c>
      <c r="E1929" s="71" t="s">
        <v>623</v>
      </c>
      <c r="F1929" s="71" t="s">
        <v>624</v>
      </c>
      <c r="G1929" s="74">
        <v>6700</v>
      </c>
      <c r="H1929" s="72">
        <v>158.63</v>
      </c>
      <c r="I1929" s="73">
        <v>1062821</v>
      </c>
      <c r="J1929" s="72">
        <v>139.50334029850745</v>
      </c>
      <c r="K1929" s="73">
        <v>128148.62</v>
      </c>
      <c r="L1929" s="74">
        <v>0</v>
      </c>
      <c r="M1929" s="73">
        <v>0</v>
      </c>
      <c r="N1929" s="74">
        <v>0</v>
      </c>
      <c r="O1929" s="73">
        <v>0</v>
      </c>
      <c r="P1929" s="74">
        <v>6700</v>
      </c>
      <c r="Q1929" s="73">
        <v>1062821</v>
      </c>
      <c r="R1929" s="71" t="s">
        <v>625</v>
      </c>
      <c r="S1929" s="71">
        <v>7414000005</v>
      </c>
      <c r="AB1929"/>
      <c r="AC1929"/>
    </row>
    <row r="1930" spans="1:29" x14ac:dyDescent="0.25">
      <c r="A1930" t="str">
        <f t="shared" si="31"/>
        <v xml:space="preserve">78669IVV *               </v>
      </c>
      <c r="B1930" s="71">
        <v>78669</v>
      </c>
      <c r="C1930" s="71" t="s">
        <v>859</v>
      </c>
      <c r="D1930" s="71" t="s">
        <v>540</v>
      </c>
      <c r="E1930" s="71" t="s">
        <v>623</v>
      </c>
      <c r="F1930" s="71" t="s">
        <v>624</v>
      </c>
      <c r="G1930" s="74">
        <v>37000</v>
      </c>
      <c r="H1930" s="72">
        <v>36.28</v>
      </c>
      <c r="I1930" s="73">
        <v>1342360</v>
      </c>
      <c r="J1930" s="72">
        <v>37</v>
      </c>
      <c r="K1930" s="73">
        <v>-26640</v>
      </c>
      <c r="L1930" s="74">
        <v>0</v>
      </c>
      <c r="M1930" s="73">
        <v>0</v>
      </c>
      <c r="N1930" s="74">
        <v>0</v>
      </c>
      <c r="O1930" s="73">
        <v>0</v>
      </c>
      <c r="P1930" s="74">
        <v>37000</v>
      </c>
      <c r="Q1930" s="73">
        <v>1342360</v>
      </c>
      <c r="R1930" s="71" t="s">
        <v>625</v>
      </c>
      <c r="S1930" s="71">
        <v>7414000005</v>
      </c>
      <c r="AB1930"/>
      <c r="AC1930"/>
    </row>
    <row r="1931" spans="1:29" x14ac:dyDescent="0.25">
      <c r="A1931" t="str">
        <f t="shared" si="31"/>
        <v xml:space="preserve">78669KOF UBL             </v>
      </c>
      <c r="B1931" s="71">
        <v>78669</v>
      </c>
      <c r="C1931" s="71" t="s">
        <v>859</v>
      </c>
      <c r="D1931" s="71" t="s">
        <v>608</v>
      </c>
      <c r="E1931" s="71" t="s">
        <v>623</v>
      </c>
      <c r="F1931" s="71" t="s">
        <v>624</v>
      </c>
      <c r="G1931" s="74">
        <v>178000</v>
      </c>
      <c r="H1931" s="72">
        <v>5.34</v>
      </c>
      <c r="I1931" s="73">
        <v>950520</v>
      </c>
      <c r="J1931" s="72">
        <v>6.4192768539325842</v>
      </c>
      <c r="K1931" s="73">
        <v>-192111.28</v>
      </c>
      <c r="L1931" s="74">
        <v>0</v>
      </c>
      <c r="M1931" s="73">
        <v>0</v>
      </c>
      <c r="N1931" s="74">
        <v>0</v>
      </c>
      <c r="O1931" s="73">
        <v>0</v>
      </c>
      <c r="P1931" s="74">
        <v>178000</v>
      </c>
      <c r="Q1931" s="73">
        <v>950520</v>
      </c>
      <c r="R1931" s="71" t="s">
        <v>625</v>
      </c>
      <c r="S1931" s="71">
        <v>7414000005</v>
      </c>
      <c r="AB1931"/>
      <c r="AC1931"/>
    </row>
    <row r="1932" spans="1:29" x14ac:dyDescent="0.25">
      <c r="A1932" t="str">
        <f t="shared" si="31"/>
        <v xml:space="preserve">78669LACOMER UBC         </v>
      </c>
      <c r="B1932" s="71">
        <v>78669</v>
      </c>
      <c r="C1932" s="71" t="s">
        <v>859</v>
      </c>
      <c r="D1932" s="71" t="s">
        <v>553</v>
      </c>
      <c r="E1932" s="71" t="s">
        <v>623</v>
      </c>
      <c r="F1932" s="71" t="s">
        <v>624</v>
      </c>
      <c r="G1932" s="74">
        <v>2000</v>
      </c>
      <c r="H1932" s="72">
        <v>136.35</v>
      </c>
      <c r="I1932" s="73">
        <v>272700</v>
      </c>
      <c r="J1932" s="72">
        <v>148.16526999999999</v>
      </c>
      <c r="K1932" s="73">
        <v>-23630.54</v>
      </c>
      <c r="L1932" s="74">
        <v>0</v>
      </c>
      <c r="M1932" s="73">
        <v>0</v>
      </c>
      <c r="N1932" s="74">
        <v>0</v>
      </c>
      <c r="O1932" s="73">
        <v>0</v>
      </c>
      <c r="P1932" s="74">
        <v>2000</v>
      </c>
      <c r="Q1932" s="73">
        <v>272700</v>
      </c>
      <c r="R1932" s="71" t="s">
        <v>625</v>
      </c>
      <c r="S1932" s="71">
        <v>7414000005</v>
      </c>
      <c r="AB1932"/>
      <c r="AC1932"/>
    </row>
    <row r="1933" spans="1:29" x14ac:dyDescent="0.25">
      <c r="A1933" t="str">
        <f t="shared" si="31"/>
        <v xml:space="preserve">78669LASITE B-1          </v>
      </c>
      <c r="B1933" s="71">
        <v>78669</v>
      </c>
      <c r="C1933" s="71" t="s">
        <v>859</v>
      </c>
      <c r="D1933" s="71" t="s">
        <v>541</v>
      </c>
      <c r="E1933" s="71" t="s">
        <v>623</v>
      </c>
      <c r="F1933" s="71" t="s">
        <v>624</v>
      </c>
      <c r="G1933" s="74">
        <v>11100</v>
      </c>
      <c r="H1933" s="72">
        <v>156</v>
      </c>
      <c r="I1933" s="73">
        <v>1731600</v>
      </c>
      <c r="J1933" s="72">
        <v>136.72613963963963</v>
      </c>
      <c r="K1933" s="73">
        <v>213939.85</v>
      </c>
      <c r="L1933" s="74">
        <v>0</v>
      </c>
      <c r="M1933" s="73">
        <v>0</v>
      </c>
      <c r="N1933" s="74">
        <v>0</v>
      </c>
      <c r="O1933" s="73">
        <v>0</v>
      </c>
      <c r="P1933" s="74">
        <v>11100</v>
      </c>
      <c r="Q1933" s="73">
        <v>1731600</v>
      </c>
      <c r="R1933" s="71" t="s">
        <v>625</v>
      </c>
      <c r="S1933" s="71">
        <v>7414000005</v>
      </c>
      <c r="AB1933"/>
      <c r="AC1933"/>
    </row>
    <row r="1934" spans="1:29" x14ac:dyDescent="0.25">
      <c r="A1934" t="str">
        <f t="shared" si="31"/>
        <v xml:space="preserve">78669LIVEPOL C-1         </v>
      </c>
      <c r="B1934" s="71">
        <v>78669</v>
      </c>
      <c r="C1934" s="71" t="s">
        <v>859</v>
      </c>
      <c r="D1934" s="71" t="s">
        <v>609</v>
      </c>
      <c r="E1934" s="71" t="s">
        <v>623</v>
      </c>
      <c r="F1934" s="71" t="s">
        <v>624</v>
      </c>
      <c r="G1934" s="74">
        <v>1749360</v>
      </c>
      <c r="H1934" s="72">
        <v>293.77</v>
      </c>
      <c r="I1934" s="73">
        <v>513909487.19999999</v>
      </c>
      <c r="J1934" s="72">
        <v>157.51250899757625</v>
      </c>
      <c r="K1934" s="73">
        <v>238363404.46000001</v>
      </c>
      <c r="L1934" s="74">
        <v>0</v>
      </c>
      <c r="M1934" s="73">
        <v>0</v>
      </c>
      <c r="N1934" s="74">
        <v>0</v>
      </c>
      <c r="O1934" s="73">
        <v>0</v>
      </c>
      <c r="P1934" s="74">
        <v>1749360</v>
      </c>
      <c r="Q1934" s="73">
        <v>513909487.19999999</v>
      </c>
      <c r="R1934" s="71" t="s">
        <v>625</v>
      </c>
      <c r="S1934" s="71">
        <v>7414000005</v>
      </c>
      <c r="AB1934"/>
      <c r="AC1934"/>
    </row>
    <row r="1935" spans="1:29" x14ac:dyDescent="0.25">
      <c r="A1935" t="str">
        <f t="shared" si="31"/>
        <v xml:space="preserve">78669R A                 </v>
      </c>
      <c r="B1935" s="71">
        <v>78669</v>
      </c>
      <c r="C1935" s="71" t="s">
        <v>859</v>
      </c>
      <c r="D1935" s="71" t="s">
        <v>501</v>
      </c>
      <c r="E1935" s="71" t="s">
        <v>623</v>
      </c>
      <c r="F1935" s="71" t="s">
        <v>624</v>
      </c>
      <c r="G1935" s="74">
        <v>12480</v>
      </c>
      <c r="H1935" s="72">
        <v>682.55</v>
      </c>
      <c r="I1935" s="73">
        <v>8518224</v>
      </c>
      <c r="J1935" s="72">
        <v>862.97045833333334</v>
      </c>
      <c r="K1935" s="73">
        <v>-2251647.3199999998</v>
      </c>
      <c r="L1935" s="74">
        <v>0</v>
      </c>
      <c r="M1935" s="73">
        <v>0</v>
      </c>
      <c r="N1935" s="74">
        <v>0</v>
      </c>
      <c r="O1935" s="73">
        <v>0</v>
      </c>
      <c r="P1935" s="74">
        <v>12480</v>
      </c>
      <c r="Q1935" s="73">
        <v>8518224</v>
      </c>
      <c r="R1935" s="71" t="s">
        <v>625</v>
      </c>
      <c r="S1935" s="71">
        <v>7414000005</v>
      </c>
      <c r="AB1935"/>
      <c r="AC1935"/>
    </row>
    <row r="1936" spans="1:29" x14ac:dyDescent="0.25">
      <c r="A1936" t="str">
        <f t="shared" si="31"/>
        <v xml:space="preserve">78669RCOCB 09            </v>
      </c>
      <c r="B1936" s="71">
        <v>78669</v>
      </c>
      <c r="C1936" s="71" t="s">
        <v>859</v>
      </c>
      <c r="D1936" s="71" t="s">
        <v>610</v>
      </c>
      <c r="E1936" s="71" t="s">
        <v>623</v>
      </c>
      <c r="F1936" s="71" t="s">
        <v>624</v>
      </c>
      <c r="G1936" s="74">
        <v>530</v>
      </c>
      <c r="H1936" s="72">
        <v>8579.5</v>
      </c>
      <c r="I1936" s="73">
        <v>4547135</v>
      </c>
      <c r="J1936" s="72">
        <v>8683.8103773584899</v>
      </c>
      <c r="K1936" s="73">
        <v>-55284.5</v>
      </c>
      <c r="L1936" s="74">
        <v>0</v>
      </c>
      <c r="M1936" s="73">
        <v>0</v>
      </c>
      <c r="N1936" s="74">
        <v>0</v>
      </c>
      <c r="O1936" s="73">
        <v>0</v>
      </c>
      <c r="P1936" s="74">
        <v>530</v>
      </c>
      <c r="Q1936" s="73">
        <v>4547135</v>
      </c>
      <c r="R1936" s="71" t="s">
        <v>625</v>
      </c>
      <c r="S1936" s="71">
        <v>7414000005</v>
      </c>
      <c r="AB1936"/>
      <c r="AC1936"/>
    </row>
    <row r="1937" spans="1:29" x14ac:dyDescent="0.25">
      <c r="A1937" t="str">
        <f t="shared" si="31"/>
        <v xml:space="preserve">78669SPSM *              </v>
      </c>
      <c r="B1937" s="71">
        <v>78669</v>
      </c>
      <c r="C1937" s="71" t="s">
        <v>859</v>
      </c>
      <c r="D1937" s="71" t="s">
        <v>582</v>
      </c>
      <c r="E1937" s="71" t="s">
        <v>623</v>
      </c>
      <c r="F1937" s="71" t="s">
        <v>624</v>
      </c>
      <c r="G1937" s="74">
        <v>222000</v>
      </c>
      <c r="H1937" s="72">
        <v>42.3</v>
      </c>
      <c r="I1937" s="73">
        <v>9390600</v>
      </c>
      <c r="J1937" s="72">
        <v>28.120373513513513</v>
      </c>
      <c r="K1937" s="73">
        <v>3147877.08</v>
      </c>
      <c r="L1937" s="74">
        <v>0</v>
      </c>
      <c r="M1937" s="73">
        <v>0</v>
      </c>
      <c r="N1937" s="74">
        <v>0</v>
      </c>
      <c r="O1937" s="73">
        <v>0</v>
      </c>
      <c r="P1937" s="74">
        <v>222000</v>
      </c>
      <c r="Q1937" s="73">
        <v>9390600</v>
      </c>
      <c r="R1937" s="71" t="s">
        <v>625</v>
      </c>
      <c r="S1937" s="71">
        <v>7414000005</v>
      </c>
      <c r="AB1937"/>
      <c r="AC1937"/>
    </row>
    <row r="1938" spans="1:29" x14ac:dyDescent="0.25">
      <c r="A1938" t="str">
        <f t="shared" si="31"/>
        <v xml:space="preserve">78669SPY *               </v>
      </c>
      <c r="B1938" s="71">
        <v>78669</v>
      </c>
      <c r="C1938" s="71" t="s">
        <v>859</v>
      </c>
      <c r="D1938" s="71" t="s">
        <v>611</v>
      </c>
      <c r="E1938" s="71" t="s">
        <v>623</v>
      </c>
      <c r="F1938" s="71" t="s">
        <v>624</v>
      </c>
      <c r="G1938" s="74">
        <v>37784</v>
      </c>
      <c r="H1938" s="72">
        <v>322.02000700000002</v>
      </c>
      <c r="I1938" s="73">
        <v>12167203.944488</v>
      </c>
      <c r="J1938" s="72">
        <v>503.09936198999998</v>
      </c>
      <c r="K1938" s="73">
        <v>-6841902.3489421597</v>
      </c>
      <c r="L1938" s="74">
        <v>0</v>
      </c>
      <c r="M1938" s="73">
        <v>0</v>
      </c>
      <c r="N1938" s="74">
        <v>0</v>
      </c>
      <c r="O1938" s="73">
        <v>0</v>
      </c>
      <c r="P1938" s="74">
        <v>37784</v>
      </c>
      <c r="Q1938" s="73">
        <v>12167203.944488</v>
      </c>
      <c r="R1938" s="71" t="s">
        <v>625</v>
      </c>
      <c r="S1938" s="71">
        <v>7414000005</v>
      </c>
      <c r="AB1938"/>
      <c r="AC1938"/>
    </row>
    <row r="1939" spans="1:29" x14ac:dyDescent="0.25">
      <c r="A1939" t="str">
        <f t="shared" si="31"/>
        <v xml:space="preserve">78669TERRA 13            </v>
      </c>
      <c r="B1939" s="71">
        <v>78669</v>
      </c>
      <c r="C1939" s="71" t="s">
        <v>859</v>
      </c>
      <c r="D1939" s="71" t="s">
        <v>466</v>
      </c>
      <c r="E1939" s="71" t="s">
        <v>623</v>
      </c>
      <c r="F1939" s="71" t="s">
        <v>624</v>
      </c>
      <c r="G1939" s="74">
        <v>31420</v>
      </c>
      <c r="H1939" s="72">
        <v>256.05011500000001</v>
      </c>
      <c r="I1939" s="73">
        <v>8045094.6133000003</v>
      </c>
      <c r="J1939" s="72">
        <v>487.32003911999999</v>
      </c>
      <c r="K1939" s="73">
        <v>-7266501.0158503996</v>
      </c>
      <c r="L1939" s="74">
        <v>0</v>
      </c>
      <c r="M1939" s="73">
        <v>0</v>
      </c>
      <c r="N1939" s="74">
        <v>0</v>
      </c>
      <c r="O1939" s="73">
        <v>0</v>
      </c>
      <c r="P1939" s="74">
        <v>31420</v>
      </c>
      <c r="Q1939" s="73">
        <v>8045094.6133000003</v>
      </c>
      <c r="R1939" s="71" t="s">
        <v>625</v>
      </c>
      <c r="S1939" s="71">
        <v>7414000005</v>
      </c>
      <c r="AB1939"/>
      <c r="AC1939"/>
    </row>
    <row r="1940" spans="1:29" x14ac:dyDescent="0.25">
      <c r="A1940" t="str">
        <f t="shared" si="31"/>
        <v xml:space="preserve">78669TFOVICB 15-2U       </v>
      </c>
      <c r="B1940" s="71">
        <v>78669</v>
      </c>
      <c r="C1940" s="71" t="s">
        <v>859</v>
      </c>
      <c r="D1940" s="71" t="s">
        <v>458</v>
      </c>
      <c r="E1940" s="71" t="s">
        <v>623</v>
      </c>
      <c r="F1940" s="71" t="s">
        <v>624</v>
      </c>
      <c r="G1940" s="74">
        <v>36517</v>
      </c>
      <c r="H1940" s="72">
        <v>267.07593400000002</v>
      </c>
      <c r="I1940" s="73">
        <v>9752811.8818779998</v>
      </c>
      <c r="J1940" s="72">
        <v>538.83652969000002</v>
      </c>
      <c r="K1940" s="73">
        <v>-9923881.6728117298</v>
      </c>
      <c r="L1940" s="74">
        <v>0</v>
      </c>
      <c r="M1940" s="73">
        <v>0</v>
      </c>
      <c r="N1940" s="74">
        <v>0</v>
      </c>
      <c r="O1940" s="73">
        <v>0</v>
      </c>
      <c r="P1940" s="74">
        <v>36517</v>
      </c>
      <c r="Q1940" s="73">
        <v>9752811.8818779998</v>
      </c>
      <c r="R1940" s="71" t="s">
        <v>625</v>
      </c>
      <c r="S1940" s="71">
        <v>7414000005</v>
      </c>
      <c r="AB1940"/>
      <c r="AC1940"/>
    </row>
    <row r="1941" spans="1:29" x14ac:dyDescent="0.25">
      <c r="A1941" t="str">
        <f t="shared" si="31"/>
        <v xml:space="preserve">78669TFOVICB 15U         </v>
      </c>
      <c r="B1941" s="71">
        <v>78669</v>
      </c>
      <c r="C1941" s="71" t="s">
        <v>859</v>
      </c>
      <c r="D1941" s="71" t="s">
        <v>500</v>
      </c>
      <c r="E1941" s="71" t="s">
        <v>623</v>
      </c>
      <c r="F1941" s="71" t="s">
        <v>624</v>
      </c>
      <c r="G1941" s="74">
        <v>72000</v>
      </c>
      <c r="H1941" s="72">
        <v>31.41</v>
      </c>
      <c r="I1941" s="73">
        <v>2261520</v>
      </c>
      <c r="J1941" s="72">
        <v>32.375</v>
      </c>
      <c r="K1941" s="73">
        <v>-69480</v>
      </c>
      <c r="L1941" s="74">
        <v>0</v>
      </c>
      <c r="M1941" s="73">
        <v>0</v>
      </c>
      <c r="N1941" s="74">
        <v>0</v>
      </c>
      <c r="O1941" s="73">
        <v>0</v>
      </c>
      <c r="P1941" s="74">
        <v>72000</v>
      </c>
      <c r="Q1941" s="73">
        <v>2261520</v>
      </c>
      <c r="R1941" s="71" t="s">
        <v>625</v>
      </c>
      <c r="S1941" s="71">
        <v>7414000005</v>
      </c>
      <c r="AB1941"/>
      <c r="AC1941"/>
    </row>
    <row r="1942" spans="1:29" x14ac:dyDescent="0.25">
      <c r="A1942" t="str">
        <f t="shared" si="31"/>
        <v xml:space="preserve">78669TFOVICB 16U         </v>
      </c>
      <c r="B1942" s="71">
        <v>78669</v>
      </c>
      <c r="C1942" s="71" t="s">
        <v>859</v>
      </c>
      <c r="D1942" s="71" t="s">
        <v>393</v>
      </c>
      <c r="E1942" s="71" t="s">
        <v>623</v>
      </c>
      <c r="F1942" s="71" t="s">
        <v>624</v>
      </c>
      <c r="G1942" s="74">
        <v>43483</v>
      </c>
      <c r="H1942" s="72">
        <v>765.92388300000005</v>
      </c>
      <c r="I1942" s="73">
        <v>33304668.204489</v>
      </c>
      <c r="J1942" s="72">
        <v>717.65496547383918</v>
      </c>
      <c r="K1942" s="73">
        <v>2098877.3407900501</v>
      </c>
      <c r="L1942" s="74">
        <v>0</v>
      </c>
      <c r="M1942" s="73">
        <v>0</v>
      </c>
      <c r="N1942" s="74">
        <v>0</v>
      </c>
      <c r="O1942" s="73">
        <v>0</v>
      </c>
      <c r="P1942" s="74">
        <v>43483</v>
      </c>
      <c r="Q1942" s="73">
        <v>33304668.204489</v>
      </c>
      <c r="R1942" s="71" t="s">
        <v>625</v>
      </c>
      <c r="S1942" s="71">
        <v>7414000005</v>
      </c>
      <c r="AB1942"/>
      <c r="AC1942"/>
    </row>
    <row r="1943" spans="1:29" x14ac:dyDescent="0.25">
      <c r="A1943" t="str">
        <f t="shared" si="31"/>
        <v xml:space="preserve">78669TRAXION A           </v>
      </c>
      <c r="B1943" s="71">
        <v>78669</v>
      </c>
      <c r="C1943" s="71" t="s">
        <v>859</v>
      </c>
      <c r="D1943" s="71" t="s">
        <v>394</v>
      </c>
      <c r="E1943" s="71" t="s">
        <v>623</v>
      </c>
      <c r="F1943" s="71" t="s">
        <v>624</v>
      </c>
      <c r="G1943" s="74">
        <v>95054</v>
      </c>
      <c r="H1943" s="72">
        <v>684.88915799999995</v>
      </c>
      <c r="I1943" s="73">
        <v>65101454.024531998</v>
      </c>
      <c r="J1943" s="72">
        <v>678.43247460614805</v>
      </c>
      <c r="K1943" s="73">
        <v>613733.58331919997</v>
      </c>
      <c r="L1943" s="74">
        <v>0</v>
      </c>
      <c r="M1943" s="73">
        <v>0</v>
      </c>
      <c r="N1943" s="74">
        <v>0</v>
      </c>
      <c r="O1943" s="73">
        <v>0</v>
      </c>
      <c r="P1943" s="74">
        <v>95054</v>
      </c>
      <c r="Q1943" s="73">
        <v>65101454.024531998</v>
      </c>
      <c r="R1943" s="71" t="s">
        <v>625</v>
      </c>
      <c r="S1943" s="71">
        <v>7414000005</v>
      </c>
      <c r="AB1943"/>
      <c r="AC1943"/>
    </row>
    <row r="1944" spans="1:29" x14ac:dyDescent="0.25">
      <c r="A1944" t="str">
        <f t="shared" si="31"/>
        <v xml:space="preserve">78669UDIBONO 281130      </v>
      </c>
      <c r="B1944" s="71">
        <v>78669</v>
      </c>
      <c r="C1944" s="71" t="s">
        <v>859</v>
      </c>
      <c r="D1944" s="71" t="s">
        <v>395</v>
      </c>
      <c r="E1944" s="71" t="s">
        <v>623</v>
      </c>
      <c r="F1944" s="71" t="s">
        <v>624</v>
      </c>
      <c r="G1944" s="74">
        <v>65179</v>
      </c>
      <c r="H1944" s="72">
        <v>772.926965</v>
      </c>
      <c r="I1944" s="73">
        <v>50378606.651735</v>
      </c>
      <c r="J1944" s="72">
        <v>764.76295260999996</v>
      </c>
      <c r="K1944" s="73">
        <v>532122.16356780997</v>
      </c>
      <c r="L1944" s="74">
        <v>0</v>
      </c>
      <c r="M1944" s="73">
        <v>0</v>
      </c>
      <c r="N1944" s="74">
        <v>0</v>
      </c>
      <c r="O1944" s="73">
        <v>0</v>
      </c>
      <c r="P1944" s="74">
        <v>65179</v>
      </c>
      <c r="Q1944" s="73">
        <v>50378606.651735</v>
      </c>
      <c r="R1944" s="71" t="s">
        <v>625</v>
      </c>
      <c r="S1944" s="71">
        <v>7414000005</v>
      </c>
      <c r="AB1944"/>
      <c r="AC1944"/>
    </row>
    <row r="1945" spans="1:29" x14ac:dyDescent="0.25">
      <c r="A1945" t="str">
        <f t="shared" si="31"/>
        <v xml:space="preserve">78669UDIBONO 311127      </v>
      </c>
      <c r="B1945" s="71">
        <v>78669</v>
      </c>
      <c r="C1945" s="71" t="s">
        <v>859</v>
      </c>
      <c r="D1945" s="71" t="s">
        <v>396</v>
      </c>
      <c r="E1945" s="71" t="s">
        <v>623</v>
      </c>
      <c r="F1945" s="71" t="s">
        <v>624</v>
      </c>
      <c r="G1945" s="74">
        <v>50524</v>
      </c>
      <c r="H1945" s="72">
        <v>721.59464000000003</v>
      </c>
      <c r="I1945" s="73">
        <v>36457847.591360003</v>
      </c>
      <c r="J1945" s="72">
        <v>708.66255697999998</v>
      </c>
      <c r="K1945" s="73">
        <v>653380.56250248</v>
      </c>
      <c r="L1945" s="74">
        <v>0</v>
      </c>
      <c r="M1945" s="73">
        <v>0</v>
      </c>
      <c r="N1945" s="74">
        <v>0</v>
      </c>
      <c r="O1945" s="73">
        <v>0</v>
      </c>
      <c r="P1945" s="74">
        <v>50524</v>
      </c>
      <c r="Q1945" s="73">
        <v>36457847.591360003</v>
      </c>
      <c r="R1945" s="71" t="s">
        <v>625</v>
      </c>
      <c r="S1945" s="71">
        <v>7414000005</v>
      </c>
      <c r="AB1945"/>
      <c r="AC1945"/>
    </row>
    <row r="1946" spans="1:29" x14ac:dyDescent="0.25">
      <c r="A1946" t="str">
        <f t="shared" si="31"/>
        <v xml:space="preserve">78669UDIBONO 351122      </v>
      </c>
      <c r="B1946" s="71">
        <v>78669</v>
      </c>
      <c r="C1946" s="71" t="s">
        <v>859</v>
      </c>
      <c r="D1946" s="71" t="s">
        <v>397</v>
      </c>
      <c r="E1946" s="71" t="s">
        <v>623</v>
      </c>
      <c r="F1946" s="71" t="s">
        <v>624</v>
      </c>
      <c r="G1946" s="74">
        <v>4491</v>
      </c>
      <c r="H1946" s="72">
        <v>635.96311900000001</v>
      </c>
      <c r="I1946" s="73">
        <v>2856110.3674289999</v>
      </c>
      <c r="J1946" s="72">
        <v>661.54398465999998</v>
      </c>
      <c r="K1946" s="73">
        <v>-114883.66767906</v>
      </c>
      <c r="L1946" s="74">
        <v>0</v>
      </c>
      <c r="M1946" s="73">
        <v>0</v>
      </c>
      <c r="N1946" s="74">
        <v>0</v>
      </c>
      <c r="O1946" s="73">
        <v>0</v>
      </c>
      <c r="P1946" s="74">
        <v>4491</v>
      </c>
      <c r="Q1946" s="73">
        <v>2856110.3674289999</v>
      </c>
      <c r="R1946" s="71" t="s">
        <v>625</v>
      </c>
      <c r="S1946" s="71">
        <v>7414000005</v>
      </c>
      <c r="AB1946"/>
      <c r="AC1946"/>
    </row>
    <row r="1947" spans="1:29" x14ac:dyDescent="0.25">
      <c r="A1947" t="str">
        <f t="shared" si="31"/>
        <v xml:space="preserve">78669UDIBONO 401115      </v>
      </c>
      <c r="B1947" s="71">
        <v>78669</v>
      </c>
      <c r="C1947" s="71" t="s">
        <v>859</v>
      </c>
      <c r="D1947" s="71" t="s">
        <v>398</v>
      </c>
      <c r="E1947" s="71" t="s">
        <v>623</v>
      </c>
      <c r="F1947" s="71" t="s">
        <v>624</v>
      </c>
      <c r="G1947" s="74">
        <v>62831</v>
      </c>
      <c r="H1947" s="72">
        <v>709.36974099999998</v>
      </c>
      <c r="I1947" s="73">
        <v>44570410.196771003</v>
      </c>
      <c r="J1947" s="72">
        <v>725.66912242720969</v>
      </c>
      <c r="K1947" s="73">
        <v>-1024106.43445301</v>
      </c>
      <c r="L1947" s="74">
        <v>0</v>
      </c>
      <c r="M1947" s="73">
        <v>0</v>
      </c>
      <c r="N1947" s="74">
        <v>0</v>
      </c>
      <c r="O1947" s="73">
        <v>0</v>
      </c>
      <c r="P1947" s="74">
        <v>62831</v>
      </c>
      <c r="Q1947" s="73">
        <v>44570410.196771003</v>
      </c>
      <c r="R1947" s="71" t="s">
        <v>625</v>
      </c>
      <c r="S1947" s="71">
        <v>7414000005</v>
      </c>
      <c r="AB1947"/>
      <c r="AC1947"/>
    </row>
    <row r="1948" spans="1:29" x14ac:dyDescent="0.25">
      <c r="A1948" t="str">
        <f t="shared" si="31"/>
        <v xml:space="preserve">78669UDIBONO 431112      </v>
      </c>
      <c r="B1948" s="71">
        <v>78669</v>
      </c>
      <c r="C1948" s="71" t="s">
        <v>859</v>
      </c>
      <c r="D1948" s="71" t="s">
        <v>399</v>
      </c>
      <c r="E1948" s="71" t="s">
        <v>623</v>
      </c>
      <c r="F1948" s="71" t="s">
        <v>624</v>
      </c>
      <c r="G1948" s="74">
        <v>83974</v>
      </c>
      <c r="H1948" s="72">
        <v>694.41118700000004</v>
      </c>
      <c r="I1948" s="73">
        <v>58312485.017137997</v>
      </c>
      <c r="J1948" s="72">
        <v>743.07193466345302</v>
      </c>
      <c r="K1948" s="73">
        <v>-4086237.6242908002</v>
      </c>
      <c r="L1948" s="74">
        <v>0</v>
      </c>
      <c r="M1948" s="73">
        <v>0</v>
      </c>
      <c r="N1948" s="74">
        <v>0</v>
      </c>
      <c r="O1948" s="73">
        <v>0</v>
      </c>
      <c r="P1948" s="74">
        <v>83974</v>
      </c>
      <c r="Q1948" s="73">
        <v>58312485.017137997</v>
      </c>
      <c r="R1948" s="71" t="s">
        <v>625</v>
      </c>
      <c r="S1948" s="71">
        <v>7414000005</v>
      </c>
      <c r="AB1948"/>
      <c r="AC1948"/>
    </row>
    <row r="1949" spans="1:29" x14ac:dyDescent="0.25">
      <c r="A1949" t="str">
        <f t="shared" si="31"/>
        <v xml:space="preserve">78669UDIBONO 461108      </v>
      </c>
      <c r="B1949" s="71">
        <v>78669</v>
      </c>
      <c r="C1949" s="71" t="s">
        <v>859</v>
      </c>
      <c r="D1949" s="71" t="s">
        <v>400</v>
      </c>
      <c r="E1949" s="71" t="s">
        <v>623</v>
      </c>
      <c r="F1949" s="71" t="s">
        <v>624</v>
      </c>
      <c r="G1949" s="74">
        <v>65000</v>
      </c>
      <c r="H1949" s="72">
        <v>58.67</v>
      </c>
      <c r="I1949" s="73">
        <v>3813550</v>
      </c>
      <c r="J1949" s="72">
        <v>44.735909076923079</v>
      </c>
      <c r="K1949" s="73">
        <v>905715.91</v>
      </c>
      <c r="L1949" s="74">
        <v>0</v>
      </c>
      <c r="M1949" s="73">
        <v>0</v>
      </c>
      <c r="N1949" s="74">
        <v>0</v>
      </c>
      <c r="O1949" s="73">
        <v>0</v>
      </c>
      <c r="P1949" s="74">
        <v>65000</v>
      </c>
      <c r="Q1949" s="73">
        <v>3813550</v>
      </c>
      <c r="R1949" s="71" t="s">
        <v>625</v>
      </c>
      <c r="S1949" s="71">
        <v>7414000005</v>
      </c>
      <c r="AB1949"/>
      <c r="AC1949"/>
    </row>
    <row r="1950" spans="1:29" x14ac:dyDescent="0.25">
      <c r="A1950" t="str">
        <f t="shared" si="31"/>
        <v xml:space="preserve">78669UDIBONO 501103      </v>
      </c>
      <c r="B1950" s="71">
        <v>78669</v>
      </c>
      <c r="C1950" s="71" t="s">
        <v>859</v>
      </c>
      <c r="D1950" s="71" t="s">
        <v>401</v>
      </c>
      <c r="E1950" s="71" t="s">
        <v>623</v>
      </c>
      <c r="F1950" s="71" t="s">
        <v>624</v>
      </c>
      <c r="G1950" s="74">
        <v>5130</v>
      </c>
      <c r="H1950" s="72">
        <v>1090</v>
      </c>
      <c r="I1950" s="73">
        <v>5591700</v>
      </c>
      <c r="J1950" s="72">
        <v>1094.6110136452241</v>
      </c>
      <c r="K1950" s="73">
        <v>-23654.5</v>
      </c>
      <c r="L1950" s="74">
        <v>0</v>
      </c>
      <c r="M1950" s="73">
        <v>0</v>
      </c>
      <c r="N1950" s="74">
        <v>0</v>
      </c>
      <c r="O1950" s="73">
        <v>0</v>
      </c>
      <c r="P1950" s="74">
        <v>5130</v>
      </c>
      <c r="Q1950" s="73">
        <v>5591700</v>
      </c>
      <c r="R1950" s="71" t="s">
        <v>625</v>
      </c>
      <c r="S1950" s="71">
        <v>7414000005</v>
      </c>
      <c r="AB1950"/>
      <c r="AC1950"/>
    </row>
    <row r="1951" spans="1:29" x14ac:dyDescent="0.25">
      <c r="A1951" t="str">
        <f t="shared" si="31"/>
        <v xml:space="preserve">78669VESTA *             </v>
      </c>
      <c r="B1951" s="71">
        <v>78669</v>
      </c>
      <c r="C1951" s="71" t="s">
        <v>859</v>
      </c>
      <c r="D1951" s="71" t="s">
        <v>594</v>
      </c>
      <c r="E1951" s="71" t="s">
        <v>623</v>
      </c>
      <c r="F1951" s="71" t="s">
        <v>624</v>
      </c>
      <c r="G1951" s="74">
        <v>4000</v>
      </c>
      <c r="H1951" s="72">
        <v>9.9999999999999995E-7</v>
      </c>
      <c r="I1951" s="73">
        <v>4.0000000000000001E-3</v>
      </c>
      <c r="J1951" s="72">
        <v>0.8</v>
      </c>
      <c r="K1951" s="73">
        <v>-3199.9960000000001</v>
      </c>
      <c r="L1951" s="74">
        <v>0</v>
      </c>
      <c r="M1951" s="73">
        <v>0</v>
      </c>
      <c r="N1951" s="74">
        <v>0</v>
      </c>
      <c r="O1951" s="73">
        <v>0</v>
      </c>
      <c r="P1951" s="74">
        <v>4000</v>
      </c>
      <c r="Q1951" s="73">
        <v>4.0000000000000001E-3</v>
      </c>
      <c r="R1951" s="71" t="s">
        <v>625</v>
      </c>
      <c r="S1951" s="71">
        <v>7414000005</v>
      </c>
      <c r="AB1951"/>
      <c r="AC1951"/>
    </row>
    <row r="1952" spans="1:29" x14ac:dyDescent="0.25">
      <c r="A1952" t="str">
        <f t="shared" si="31"/>
        <v xml:space="preserve">78669VGK *               </v>
      </c>
      <c r="B1952" s="71">
        <v>78669</v>
      </c>
      <c r="C1952" s="71" t="s">
        <v>859</v>
      </c>
      <c r="D1952" s="71" t="s">
        <v>861</v>
      </c>
      <c r="E1952" s="71" t="s">
        <v>623</v>
      </c>
      <c r="F1952" s="71" t="s">
        <v>624</v>
      </c>
      <c r="G1952" s="74">
        <v>80000</v>
      </c>
      <c r="H1952" s="72">
        <v>12.09</v>
      </c>
      <c r="I1952" s="73">
        <v>967200</v>
      </c>
      <c r="J1952" s="72">
        <v>12.679009375</v>
      </c>
      <c r="K1952" s="73">
        <v>-47120.75</v>
      </c>
      <c r="L1952" s="74">
        <v>0</v>
      </c>
      <c r="M1952" s="73">
        <v>0</v>
      </c>
      <c r="N1952" s="74">
        <v>0</v>
      </c>
      <c r="O1952" s="73">
        <v>0</v>
      </c>
      <c r="P1952" s="74">
        <v>80000</v>
      </c>
      <c r="Q1952" s="73">
        <v>967200</v>
      </c>
      <c r="R1952" s="71" t="s">
        <v>625</v>
      </c>
      <c r="S1952" s="71">
        <v>7414000005</v>
      </c>
      <c r="AB1952"/>
      <c r="AC1952"/>
    </row>
    <row r="1953" spans="1:29" x14ac:dyDescent="0.25">
      <c r="A1953" t="str">
        <f t="shared" si="31"/>
        <v xml:space="preserve">78669VIDEO *             </v>
      </c>
      <c r="B1953" s="71">
        <v>78669</v>
      </c>
      <c r="C1953" s="71" t="s">
        <v>859</v>
      </c>
      <c r="D1953" s="71" t="s">
        <v>403</v>
      </c>
      <c r="E1953" s="71" t="s">
        <v>623</v>
      </c>
      <c r="F1953" s="71" t="s">
        <v>624</v>
      </c>
      <c r="G1953" s="74">
        <v>144000</v>
      </c>
      <c r="H1953" s="72">
        <v>65.260000000000005</v>
      </c>
      <c r="I1953" s="73">
        <v>9397440</v>
      </c>
      <c r="J1953" s="72">
        <v>71.07415965277778</v>
      </c>
      <c r="K1953" s="73">
        <v>-837238.99</v>
      </c>
      <c r="L1953" s="74">
        <v>0</v>
      </c>
      <c r="M1953" s="73">
        <v>0</v>
      </c>
      <c r="N1953" s="74">
        <v>0</v>
      </c>
      <c r="O1953" s="73">
        <v>0</v>
      </c>
      <c r="P1953" s="74">
        <v>144000</v>
      </c>
      <c r="Q1953" s="73">
        <v>9397440</v>
      </c>
      <c r="R1953" s="71" t="s">
        <v>625</v>
      </c>
      <c r="S1953" s="71">
        <v>7414000005</v>
      </c>
      <c r="AB1953"/>
      <c r="AC1953"/>
    </row>
    <row r="1954" spans="1:29" x14ac:dyDescent="0.25">
      <c r="A1954" t="str">
        <f t="shared" si="31"/>
        <v xml:space="preserve">78669VOLAR A             </v>
      </c>
      <c r="B1954" s="71">
        <v>79041</v>
      </c>
      <c r="C1954" s="71" t="s">
        <v>862</v>
      </c>
      <c r="D1954" s="71" t="s">
        <v>376</v>
      </c>
      <c r="E1954" s="71" t="s">
        <v>623</v>
      </c>
      <c r="F1954" s="71" t="s">
        <v>624</v>
      </c>
      <c r="G1954" s="74">
        <v>0</v>
      </c>
      <c r="H1954" s="72">
        <v>0</v>
      </c>
      <c r="I1954" s="73">
        <v>0</v>
      </c>
      <c r="J1954" s="72">
        <v>0</v>
      </c>
      <c r="K1954" s="73">
        <v>0</v>
      </c>
      <c r="L1954" s="74">
        <v>0</v>
      </c>
      <c r="M1954" s="73">
        <v>0</v>
      </c>
      <c r="N1954" s="74">
        <v>0</v>
      </c>
      <c r="O1954" s="73">
        <v>0</v>
      </c>
      <c r="P1954" s="74">
        <v>0</v>
      </c>
      <c r="Q1954" s="73">
        <v>0</v>
      </c>
      <c r="R1954" s="71" t="s">
        <v>625</v>
      </c>
      <c r="S1954" s="71">
        <v>7414000005</v>
      </c>
      <c r="AB1954"/>
      <c r="AC1954"/>
    </row>
    <row r="1955" spans="1:29" x14ac:dyDescent="0.25">
      <c r="A1955" t="str">
        <f t="shared" si="31"/>
        <v xml:space="preserve">78669WALMEX *            </v>
      </c>
      <c r="B1955" s="71">
        <v>79041</v>
      </c>
      <c r="C1955" s="71" t="s">
        <v>862</v>
      </c>
      <c r="D1955" s="71" t="s">
        <v>382</v>
      </c>
      <c r="E1955" s="71" t="s">
        <v>623</v>
      </c>
      <c r="F1955" s="71" t="s">
        <v>624</v>
      </c>
      <c r="G1955" s="74">
        <v>0</v>
      </c>
      <c r="H1955" s="72">
        <v>0</v>
      </c>
      <c r="I1955" s="73">
        <v>0</v>
      </c>
      <c r="J1955" s="72">
        <v>0</v>
      </c>
      <c r="K1955" s="73">
        <v>0</v>
      </c>
      <c r="L1955" s="74">
        <v>0</v>
      </c>
      <c r="M1955" s="73">
        <v>0</v>
      </c>
      <c r="N1955" s="74">
        <v>0</v>
      </c>
      <c r="O1955" s="73">
        <v>0</v>
      </c>
      <c r="P1955" s="74">
        <v>0</v>
      </c>
      <c r="Q1955" s="73">
        <v>0</v>
      </c>
      <c r="R1955" s="71" t="s">
        <v>625</v>
      </c>
      <c r="S1955" s="71">
        <v>7414000005</v>
      </c>
      <c r="AB1955"/>
      <c r="AC1955"/>
    </row>
    <row r="1956" spans="1:29" x14ac:dyDescent="0.25">
      <c r="A1956" t="str">
        <f t="shared" si="31"/>
        <v xml:space="preserve">79041GOBFED 241205       </v>
      </c>
      <c r="B1956" s="71">
        <v>79041</v>
      </c>
      <c r="C1956" s="71" t="s">
        <v>862</v>
      </c>
      <c r="D1956" s="71" t="s">
        <v>396</v>
      </c>
      <c r="E1956" s="71" t="s">
        <v>623</v>
      </c>
      <c r="F1956" s="71" t="s">
        <v>624</v>
      </c>
      <c r="G1956" s="74">
        <v>0</v>
      </c>
      <c r="H1956" s="72">
        <v>0</v>
      </c>
      <c r="I1956" s="73">
        <v>0</v>
      </c>
      <c r="J1956" s="72">
        <v>0</v>
      </c>
      <c r="K1956" s="73">
        <v>0</v>
      </c>
      <c r="L1956" s="74">
        <v>0</v>
      </c>
      <c r="M1956" s="73">
        <v>0</v>
      </c>
      <c r="N1956" s="74">
        <v>0</v>
      </c>
      <c r="O1956" s="73">
        <v>0</v>
      </c>
      <c r="P1956" s="74">
        <v>0</v>
      </c>
      <c r="Q1956" s="73">
        <v>0</v>
      </c>
      <c r="R1956" s="71" t="s">
        <v>625</v>
      </c>
      <c r="S1956" s="71">
        <v>7414000005</v>
      </c>
      <c r="AB1956"/>
      <c r="AC1956"/>
    </row>
    <row r="1957" spans="1:29" x14ac:dyDescent="0.25">
      <c r="A1957" t="str">
        <f t="shared" si="31"/>
        <v xml:space="preserve">79041GOBFED 310529       </v>
      </c>
      <c r="B1957" s="71">
        <v>79042</v>
      </c>
      <c r="C1957" s="71" t="s">
        <v>863</v>
      </c>
      <c r="D1957" s="71" t="s">
        <v>598</v>
      </c>
      <c r="E1957" s="71" t="s">
        <v>623</v>
      </c>
      <c r="F1957" s="71" t="s">
        <v>624</v>
      </c>
      <c r="G1957" s="74">
        <v>0</v>
      </c>
      <c r="H1957" s="72">
        <v>0</v>
      </c>
      <c r="I1957" s="73">
        <v>0</v>
      </c>
      <c r="J1957" s="72">
        <v>0</v>
      </c>
      <c r="K1957" s="73">
        <v>0</v>
      </c>
      <c r="L1957" s="74">
        <v>0</v>
      </c>
      <c r="M1957" s="73">
        <v>0</v>
      </c>
      <c r="N1957" s="74">
        <v>0</v>
      </c>
      <c r="O1957" s="73">
        <v>0</v>
      </c>
      <c r="P1957" s="74">
        <v>0</v>
      </c>
      <c r="Q1957" s="73">
        <v>0</v>
      </c>
      <c r="R1957" s="71" t="s">
        <v>625</v>
      </c>
      <c r="S1957" s="71">
        <v>7414000005</v>
      </c>
      <c r="AB1957"/>
      <c r="AC1957"/>
    </row>
    <row r="1958" spans="1:29" x14ac:dyDescent="0.25">
      <c r="A1958" t="str">
        <f t="shared" si="31"/>
        <v xml:space="preserve">79041UDIBONO 401115      </v>
      </c>
      <c r="B1958" s="71">
        <v>79042</v>
      </c>
      <c r="C1958" s="71" t="s">
        <v>863</v>
      </c>
      <c r="D1958" s="71" t="s">
        <v>376</v>
      </c>
      <c r="E1958" s="71" t="s">
        <v>623</v>
      </c>
      <c r="F1958" s="71" t="s">
        <v>624</v>
      </c>
      <c r="G1958" s="74">
        <v>0</v>
      </c>
      <c r="H1958" s="72">
        <v>0</v>
      </c>
      <c r="I1958" s="73">
        <v>0</v>
      </c>
      <c r="J1958" s="72">
        <v>0</v>
      </c>
      <c r="K1958" s="73">
        <v>0</v>
      </c>
      <c r="L1958" s="74">
        <v>0</v>
      </c>
      <c r="M1958" s="73">
        <v>0</v>
      </c>
      <c r="N1958" s="74">
        <v>0</v>
      </c>
      <c r="O1958" s="73">
        <v>0</v>
      </c>
      <c r="P1958" s="74">
        <v>0</v>
      </c>
      <c r="Q1958" s="73">
        <v>0</v>
      </c>
      <c r="R1958" s="71" t="s">
        <v>625</v>
      </c>
      <c r="S1958" s="71">
        <v>7414000005</v>
      </c>
      <c r="AB1958"/>
      <c r="AC1958"/>
    </row>
    <row r="1959" spans="1:29" x14ac:dyDescent="0.25">
      <c r="A1959" t="str">
        <f t="shared" si="31"/>
        <v xml:space="preserve">79042FOVISCB 19-2U       </v>
      </c>
      <c r="B1959" s="71">
        <v>79042</v>
      </c>
      <c r="C1959" s="71" t="s">
        <v>863</v>
      </c>
      <c r="D1959" s="71" t="s">
        <v>382</v>
      </c>
      <c r="E1959" s="71" t="s">
        <v>623</v>
      </c>
      <c r="F1959" s="71" t="s">
        <v>624</v>
      </c>
      <c r="G1959" s="74">
        <v>0</v>
      </c>
      <c r="H1959" s="72">
        <v>0</v>
      </c>
      <c r="I1959" s="73">
        <v>0</v>
      </c>
      <c r="J1959" s="72">
        <v>0</v>
      </c>
      <c r="K1959" s="73">
        <v>0</v>
      </c>
      <c r="L1959" s="74">
        <v>0</v>
      </c>
      <c r="M1959" s="73">
        <v>0</v>
      </c>
      <c r="N1959" s="74">
        <v>0</v>
      </c>
      <c r="O1959" s="73">
        <v>0</v>
      </c>
      <c r="P1959" s="74">
        <v>0</v>
      </c>
      <c r="Q1959" s="73">
        <v>0</v>
      </c>
      <c r="R1959" s="71" t="s">
        <v>625</v>
      </c>
      <c r="S1959" s="71">
        <v>7414000005</v>
      </c>
      <c r="AB1959"/>
      <c r="AC1959"/>
    </row>
    <row r="1960" spans="1:29" x14ac:dyDescent="0.25">
      <c r="A1960" t="str">
        <f t="shared" si="31"/>
        <v xml:space="preserve">79042GOBFED 241205       </v>
      </c>
      <c r="B1960" s="71">
        <v>79042</v>
      </c>
      <c r="C1960" s="71" t="s">
        <v>863</v>
      </c>
      <c r="D1960" s="71" t="s">
        <v>408</v>
      </c>
      <c r="E1960" s="71" t="s">
        <v>623</v>
      </c>
      <c r="F1960" s="71" t="s">
        <v>624</v>
      </c>
      <c r="G1960" s="74">
        <v>0</v>
      </c>
      <c r="H1960" s="72">
        <v>0</v>
      </c>
      <c r="I1960" s="73">
        <v>0</v>
      </c>
      <c r="J1960" s="72">
        <v>0</v>
      </c>
      <c r="K1960" s="73">
        <v>0</v>
      </c>
      <c r="L1960" s="74">
        <v>0</v>
      </c>
      <c r="M1960" s="73">
        <v>0</v>
      </c>
      <c r="N1960" s="74">
        <v>0</v>
      </c>
      <c r="O1960" s="73">
        <v>0</v>
      </c>
      <c r="P1960" s="74">
        <v>0</v>
      </c>
      <c r="Q1960" s="73">
        <v>0</v>
      </c>
      <c r="R1960" s="71" t="s">
        <v>625</v>
      </c>
      <c r="S1960" s="71">
        <v>7414000005</v>
      </c>
      <c r="AB1960"/>
      <c r="AC1960"/>
    </row>
    <row r="1961" spans="1:29" x14ac:dyDescent="0.25">
      <c r="A1961" t="str">
        <f t="shared" si="31"/>
        <v xml:space="preserve">79042GOBFED 310529       </v>
      </c>
      <c r="B1961" s="71">
        <v>79042</v>
      </c>
      <c r="C1961" s="71" t="s">
        <v>863</v>
      </c>
      <c r="D1961" s="71" t="s">
        <v>396</v>
      </c>
      <c r="E1961" s="71" t="s">
        <v>623</v>
      </c>
      <c r="F1961" s="71" t="s">
        <v>624</v>
      </c>
      <c r="G1961" s="74">
        <v>0</v>
      </c>
      <c r="H1961" s="72">
        <v>0</v>
      </c>
      <c r="I1961" s="73">
        <v>0</v>
      </c>
      <c r="J1961" s="72">
        <v>0</v>
      </c>
      <c r="K1961" s="73">
        <v>0</v>
      </c>
      <c r="L1961" s="74">
        <v>0</v>
      </c>
      <c r="M1961" s="73">
        <v>0</v>
      </c>
      <c r="N1961" s="74">
        <v>0</v>
      </c>
      <c r="O1961" s="73">
        <v>0</v>
      </c>
      <c r="P1961" s="74">
        <v>0</v>
      </c>
      <c r="Q1961" s="73">
        <v>0</v>
      </c>
      <c r="R1961" s="71" t="s">
        <v>625</v>
      </c>
      <c r="S1961" s="71">
        <v>7414000005</v>
      </c>
      <c r="AB1961"/>
      <c r="AC1961"/>
    </row>
    <row r="1962" spans="1:29" x14ac:dyDescent="0.25">
      <c r="A1962" t="str">
        <f t="shared" si="31"/>
        <v xml:space="preserve">79042GOBFED 381118       </v>
      </c>
      <c r="B1962" s="71">
        <v>79043</v>
      </c>
      <c r="C1962" s="71" t="s">
        <v>864</v>
      </c>
      <c r="D1962" s="71" t="s">
        <v>376</v>
      </c>
      <c r="E1962" s="71" t="s">
        <v>623</v>
      </c>
      <c r="F1962" s="71" t="s">
        <v>624</v>
      </c>
      <c r="G1962" s="74">
        <v>0</v>
      </c>
      <c r="H1962" s="72">
        <v>0</v>
      </c>
      <c r="I1962" s="73">
        <v>0</v>
      </c>
      <c r="J1962" s="72">
        <v>0</v>
      </c>
      <c r="K1962" s="73">
        <v>0</v>
      </c>
      <c r="L1962" s="74">
        <v>0</v>
      </c>
      <c r="M1962" s="73">
        <v>0</v>
      </c>
      <c r="N1962" s="74">
        <v>0</v>
      </c>
      <c r="O1962" s="73">
        <v>0</v>
      </c>
      <c r="P1962" s="74">
        <v>0</v>
      </c>
      <c r="Q1962" s="73">
        <v>0</v>
      </c>
      <c r="R1962" s="71" t="s">
        <v>625</v>
      </c>
      <c r="S1962" s="71">
        <v>7414000005</v>
      </c>
      <c r="AB1962"/>
      <c r="AC1962"/>
    </row>
    <row r="1963" spans="1:29" x14ac:dyDescent="0.25">
      <c r="A1963" t="str">
        <f t="shared" si="31"/>
        <v xml:space="preserve">79042UDIBONO 401115      </v>
      </c>
      <c r="B1963" s="71">
        <v>79043</v>
      </c>
      <c r="C1963" s="71" t="s">
        <v>864</v>
      </c>
      <c r="D1963" s="71" t="s">
        <v>382</v>
      </c>
      <c r="E1963" s="71" t="s">
        <v>623</v>
      </c>
      <c r="F1963" s="71" t="s">
        <v>624</v>
      </c>
      <c r="G1963" s="74">
        <v>0</v>
      </c>
      <c r="H1963" s="72">
        <v>0</v>
      </c>
      <c r="I1963" s="73">
        <v>0</v>
      </c>
      <c r="J1963" s="72">
        <v>0</v>
      </c>
      <c r="K1963" s="73">
        <v>0</v>
      </c>
      <c r="L1963" s="74">
        <v>0</v>
      </c>
      <c r="M1963" s="73">
        <v>0</v>
      </c>
      <c r="N1963" s="74">
        <v>0</v>
      </c>
      <c r="O1963" s="73">
        <v>0</v>
      </c>
      <c r="P1963" s="74">
        <v>0</v>
      </c>
      <c r="Q1963" s="73">
        <v>0</v>
      </c>
      <c r="R1963" s="71" t="s">
        <v>625</v>
      </c>
      <c r="S1963" s="71">
        <v>7414000005</v>
      </c>
      <c r="AB1963"/>
      <c r="AC1963"/>
    </row>
    <row r="1964" spans="1:29" x14ac:dyDescent="0.25">
      <c r="A1964" t="str">
        <f t="shared" si="31"/>
        <v xml:space="preserve">79043GOBFED 241205       </v>
      </c>
      <c r="B1964" s="71">
        <v>79043</v>
      </c>
      <c r="C1964" s="71" t="s">
        <v>864</v>
      </c>
      <c r="D1964" s="71" t="s">
        <v>396</v>
      </c>
      <c r="E1964" s="71" t="s">
        <v>623</v>
      </c>
      <c r="F1964" s="71" t="s">
        <v>624</v>
      </c>
      <c r="G1964" s="74">
        <v>0</v>
      </c>
      <c r="H1964" s="72">
        <v>0</v>
      </c>
      <c r="I1964" s="73">
        <v>0</v>
      </c>
      <c r="J1964" s="72">
        <v>0</v>
      </c>
      <c r="K1964" s="73">
        <v>0</v>
      </c>
      <c r="L1964" s="74">
        <v>0</v>
      </c>
      <c r="M1964" s="73">
        <v>0</v>
      </c>
      <c r="N1964" s="74">
        <v>0</v>
      </c>
      <c r="O1964" s="73">
        <v>0</v>
      </c>
      <c r="P1964" s="74">
        <v>0</v>
      </c>
      <c r="Q1964" s="73">
        <v>0</v>
      </c>
      <c r="R1964" s="71" t="s">
        <v>625</v>
      </c>
      <c r="S1964" s="71">
        <v>7414000005</v>
      </c>
      <c r="AB1964"/>
      <c r="AC1964"/>
    </row>
    <row r="1965" spans="1:29" x14ac:dyDescent="0.25">
      <c r="A1965" t="str">
        <f t="shared" si="31"/>
        <v xml:space="preserve">79043GOBFED 310529       </v>
      </c>
      <c r="B1965" s="71">
        <v>79044</v>
      </c>
      <c r="C1965" s="71" t="s">
        <v>865</v>
      </c>
      <c r="D1965" s="71" t="s">
        <v>598</v>
      </c>
      <c r="E1965" s="71" t="s">
        <v>623</v>
      </c>
      <c r="F1965" s="71" t="s">
        <v>624</v>
      </c>
      <c r="G1965" s="74">
        <v>0</v>
      </c>
      <c r="H1965" s="72">
        <v>0</v>
      </c>
      <c r="I1965" s="73">
        <v>0</v>
      </c>
      <c r="J1965" s="72">
        <v>0</v>
      </c>
      <c r="K1965" s="73">
        <v>0</v>
      </c>
      <c r="L1965" s="74">
        <v>0</v>
      </c>
      <c r="M1965" s="73">
        <v>0</v>
      </c>
      <c r="N1965" s="74">
        <v>0</v>
      </c>
      <c r="O1965" s="73">
        <v>0</v>
      </c>
      <c r="P1965" s="74">
        <v>0</v>
      </c>
      <c r="Q1965" s="73">
        <v>0</v>
      </c>
      <c r="R1965" s="71" t="s">
        <v>625</v>
      </c>
      <c r="S1965" s="71">
        <v>7414000005</v>
      </c>
      <c r="AB1965"/>
      <c r="AC1965"/>
    </row>
    <row r="1966" spans="1:29" x14ac:dyDescent="0.25">
      <c r="A1966" t="str">
        <f t="shared" si="31"/>
        <v xml:space="preserve">79043UDIBONO 401115      </v>
      </c>
      <c r="B1966" s="71">
        <v>79044</v>
      </c>
      <c r="C1966" s="71" t="s">
        <v>865</v>
      </c>
      <c r="D1966" s="71" t="s">
        <v>376</v>
      </c>
      <c r="E1966" s="71" t="s">
        <v>623</v>
      </c>
      <c r="F1966" s="71" t="s">
        <v>624</v>
      </c>
      <c r="G1966" s="74">
        <v>0</v>
      </c>
      <c r="H1966" s="72">
        <v>0</v>
      </c>
      <c r="I1966" s="73">
        <v>0</v>
      </c>
      <c r="J1966" s="72">
        <v>0</v>
      </c>
      <c r="K1966" s="73">
        <v>0</v>
      </c>
      <c r="L1966" s="74">
        <v>0</v>
      </c>
      <c r="M1966" s="73">
        <v>0</v>
      </c>
      <c r="N1966" s="74">
        <v>0</v>
      </c>
      <c r="O1966" s="73">
        <v>0</v>
      </c>
      <c r="P1966" s="74">
        <v>0</v>
      </c>
      <c r="Q1966" s="73">
        <v>0</v>
      </c>
      <c r="R1966" s="71" t="s">
        <v>625</v>
      </c>
      <c r="S1966" s="71">
        <v>7414000005</v>
      </c>
      <c r="AB1966"/>
      <c r="AC1966"/>
    </row>
    <row r="1967" spans="1:29" x14ac:dyDescent="0.25">
      <c r="A1967" t="str">
        <f t="shared" si="31"/>
        <v xml:space="preserve">79044FOVISCB 19-2U       </v>
      </c>
      <c r="B1967" s="71">
        <v>79044</v>
      </c>
      <c r="C1967" s="71" t="s">
        <v>865</v>
      </c>
      <c r="D1967" s="71" t="s">
        <v>382</v>
      </c>
      <c r="E1967" s="71" t="s">
        <v>623</v>
      </c>
      <c r="F1967" s="71" t="s">
        <v>624</v>
      </c>
      <c r="G1967" s="74">
        <v>0</v>
      </c>
      <c r="H1967" s="72">
        <v>0</v>
      </c>
      <c r="I1967" s="73">
        <v>0</v>
      </c>
      <c r="J1967" s="72">
        <v>0</v>
      </c>
      <c r="K1967" s="73">
        <v>0</v>
      </c>
      <c r="L1967" s="74">
        <v>0</v>
      </c>
      <c r="M1967" s="73">
        <v>0</v>
      </c>
      <c r="N1967" s="74">
        <v>0</v>
      </c>
      <c r="O1967" s="73">
        <v>0</v>
      </c>
      <c r="P1967" s="74">
        <v>0</v>
      </c>
      <c r="Q1967" s="73">
        <v>0</v>
      </c>
      <c r="R1967" s="71" t="s">
        <v>625</v>
      </c>
      <c r="S1967" s="71">
        <v>7414000005</v>
      </c>
      <c r="AB1967"/>
      <c r="AC1967"/>
    </row>
    <row r="1968" spans="1:29" x14ac:dyDescent="0.25">
      <c r="A1968" t="str">
        <f t="shared" si="31"/>
        <v xml:space="preserve">79044GOBFED 241205       </v>
      </c>
      <c r="B1968" s="71">
        <v>79044</v>
      </c>
      <c r="C1968" s="71" t="s">
        <v>865</v>
      </c>
      <c r="D1968" s="71" t="s">
        <v>408</v>
      </c>
      <c r="E1968" s="71" t="s">
        <v>623</v>
      </c>
      <c r="F1968" s="71" t="s">
        <v>624</v>
      </c>
      <c r="G1968" s="74">
        <v>0</v>
      </c>
      <c r="H1968" s="72">
        <v>0</v>
      </c>
      <c r="I1968" s="73">
        <v>0</v>
      </c>
      <c r="J1968" s="72">
        <v>0</v>
      </c>
      <c r="K1968" s="73">
        <v>0</v>
      </c>
      <c r="L1968" s="74">
        <v>0</v>
      </c>
      <c r="M1968" s="73">
        <v>0</v>
      </c>
      <c r="N1968" s="74">
        <v>0</v>
      </c>
      <c r="O1968" s="73">
        <v>0</v>
      </c>
      <c r="P1968" s="74">
        <v>0</v>
      </c>
      <c r="Q1968" s="73">
        <v>0</v>
      </c>
      <c r="R1968" s="71" t="s">
        <v>625</v>
      </c>
      <c r="S1968" s="71">
        <v>7414000005</v>
      </c>
      <c r="AB1968"/>
      <c r="AC1968"/>
    </row>
    <row r="1969" spans="1:29" x14ac:dyDescent="0.25">
      <c r="A1969" t="str">
        <f t="shared" si="31"/>
        <v xml:space="preserve">79044GOBFED 310529       </v>
      </c>
      <c r="B1969" s="71">
        <v>79044</v>
      </c>
      <c r="C1969" s="71" t="s">
        <v>865</v>
      </c>
      <c r="D1969" s="71" t="s">
        <v>396</v>
      </c>
      <c r="E1969" s="71" t="s">
        <v>623</v>
      </c>
      <c r="F1969" s="71" t="s">
        <v>624</v>
      </c>
      <c r="G1969" s="74">
        <v>0</v>
      </c>
      <c r="H1969" s="72">
        <v>0</v>
      </c>
      <c r="I1969" s="73">
        <v>0</v>
      </c>
      <c r="J1969" s="72">
        <v>0</v>
      </c>
      <c r="K1969" s="73">
        <v>0</v>
      </c>
      <c r="L1969" s="74">
        <v>0</v>
      </c>
      <c r="M1969" s="73">
        <v>0</v>
      </c>
      <c r="N1969" s="74">
        <v>0</v>
      </c>
      <c r="O1969" s="73">
        <v>0</v>
      </c>
      <c r="P1969" s="74">
        <v>0</v>
      </c>
      <c r="Q1969" s="73">
        <v>0</v>
      </c>
      <c r="R1969" s="71" t="s">
        <v>625</v>
      </c>
      <c r="S1969" s="71">
        <v>7414000005</v>
      </c>
      <c r="AB1969"/>
      <c r="AC1969"/>
    </row>
    <row r="1970" spans="1:29" x14ac:dyDescent="0.25">
      <c r="A1970" t="str">
        <f t="shared" si="31"/>
        <v xml:space="preserve">79044GOBFED 381118       </v>
      </c>
      <c r="B1970" s="71">
        <v>79045</v>
      </c>
      <c r="C1970" s="71" t="s">
        <v>866</v>
      </c>
      <c r="D1970" s="71" t="s">
        <v>375</v>
      </c>
      <c r="E1970" s="71" t="s">
        <v>623</v>
      </c>
      <c r="F1970" s="71" t="s">
        <v>624</v>
      </c>
      <c r="G1970" s="74">
        <v>8910</v>
      </c>
      <c r="H1970" s="72">
        <v>98.730349000000004</v>
      </c>
      <c r="I1970" s="73">
        <v>879687.40959000005</v>
      </c>
      <c r="J1970" s="72">
        <v>111.89286593999999</v>
      </c>
      <c r="K1970" s="73">
        <v>-117278.0259354</v>
      </c>
      <c r="L1970" s="74">
        <v>0</v>
      </c>
      <c r="M1970" s="73">
        <v>0</v>
      </c>
      <c r="N1970" s="74">
        <v>0</v>
      </c>
      <c r="O1970" s="73">
        <v>0</v>
      </c>
      <c r="P1970" s="74">
        <v>8910</v>
      </c>
      <c r="Q1970" s="73">
        <v>879687.40959000005</v>
      </c>
      <c r="R1970" s="71" t="s">
        <v>625</v>
      </c>
      <c r="S1970" s="71">
        <v>7414000005</v>
      </c>
      <c r="AB1970"/>
      <c r="AC1970"/>
    </row>
    <row r="1971" spans="1:29" x14ac:dyDescent="0.25">
      <c r="A1971" t="str">
        <f t="shared" si="31"/>
        <v xml:space="preserve">79044UDIBONO 401115      </v>
      </c>
      <c r="B1971" s="71">
        <v>79045</v>
      </c>
      <c r="C1971" s="71" t="s">
        <v>866</v>
      </c>
      <c r="D1971" s="71" t="s">
        <v>376</v>
      </c>
      <c r="E1971" s="71" t="s">
        <v>623</v>
      </c>
      <c r="F1971" s="71" t="s">
        <v>624</v>
      </c>
      <c r="G1971" s="74">
        <v>13346</v>
      </c>
      <c r="H1971" s="72">
        <v>99.247497999999993</v>
      </c>
      <c r="I1971" s="73">
        <v>1324557.108308</v>
      </c>
      <c r="J1971" s="72">
        <v>95.22286979362805</v>
      </c>
      <c r="K1971" s="73">
        <v>53712.688042239999</v>
      </c>
      <c r="L1971" s="74">
        <v>0</v>
      </c>
      <c r="M1971" s="73">
        <v>0</v>
      </c>
      <c r="N1971" s="74">
        <v>0</v>
      </c>
      <c r="O1971" s="73">
        <v>0</v>
      </c>
      <c r="P1971" s="74">
        <v>13346</v>
      </c>
      <c r="Q1971" s="73">
        <v>1324557.108308</v>
      </c>
      <c r="R1971" s="71" t="s">
        <v>625</v>
      </c>
      <c r="S1971" s="71">
        <v>7414000005</v>
      </c>
      <c r="AB1971"/>
      <c r="AC1971"/>
    </row>
    <row r="1972" spans="1:29" x14ac:dyDescent="0.25">
      <c r="A1972" t="str">
        <f t="shared" si="31"/>
        <v xml:space="preserve">79045GOBFED 240905       </v>
      </c>
      <c r="B1972" s="71">
        <v>79045</v>
      </c>
      <c r="C1972" s="71" t="s">
        <v>866</v>
      </c>
      <c r="D1972" s="71" t="s">
        <v>377</v>
      </c>
      <c r="E1972" s="71" t="s">
        <v>623</v>
      </c>
      <c r="F1972" s="71" t="s">
        <v>624</v>
      </c>
      <c r="G1972" s="74">
        <v>4700</v>
      </c>
      <c r="H1972" s="72">
        <v>94.973146999999997</v>
      </c>
      <c r="I1972" s="73">
        <v>446373.79090000002</v>
      </c>
      <c r="J1972" s="72">
        <v>89.85155469</v>
      </c>
      <c r="K1972" s="73">
        <v>24071.483856999999</v>
      </c>
      <c r="L1972" s="74">
        <v>0</v>
      </c>
      <c r="M1972" s="73">
        <v>0</v>
      </c>
      <c r="N1972" s="74">
        <v>0</v>
      </c>
      <c r="O1972" s="73">
        <v>0</v>
      </c>
      <c r="P1972" s="74">
        <v>4700</v>
      </c>
      <c r="Q1972" s="73">
        <v>446373.79090000002</v>
      </c>
      <c r="R1972" s="71" t="s">
        <v>625</v>
      </c>
      <c r="S1972" s="71">
        <v>7414000005</v>
      </c>
      <c r="AB1972"/>
      <c r="AC1972"/>
    </row>
    <row r="1973" spans="1:29" x14ac:dyDescent="0.25">
      <c r="A1973" t="str">
        <f t="shared" si="31"/>
        <v xml:space="preserve">79045GOBFED 241205       </v>
      </c>
      <c r="B1973" s="71">
        <v>79045</v>
      </c>
      <c r="C1973" s="71" t="s">
        <v>866</v>
      </c>
      <c r="D1973" s="71" t="s">
        <v>378</v>
      </c>
      <c r="E1973" s="71" t="s">
        <v>623</v>
      </c>
      <c r="F1973" s="71" t="s">
        <v>624</v>
      </c>
      <c r="G1973" s="74">
        <v>4675</v>
      </c>
      <c r="H1973" s="72">
        <v>91.911821000000003</v>
      </c>
      <c r="I1973" s="73">
        <v>429687.76317499997</v>
      </c>
      <c r="J1973" s="72">
        <v>93.2088459</v>
      </c>
      <c r="K1973" s="73">
        <v>-6063.5914075000001</v>
      </c>
      <c r="L1973" s="74">
        <v>0</v>
      </c>
      <c r="M1973" s="73">
        <v>0</v>
      </c>
      <c r="N1973" s="74">
        <v>0</v>
      </c>
      <c r="O1973" s="73">
        <v>0</v>
      </c>
      <c r="P1973" s="74">
        <v>4675</v>
      </c>
      <c r="Q1973" s="73">
        <v>429687.76317499997</v>
      </c>
      <c r="R1973" s="71" t="s">
        <v>625</v>
      </c>
      <c r="S1973" s="71">
        <v>7414000005</v>
      </c>
      <c r="AB1973"/>
      <c r="AC1973"/>
    </row>
    <row r="1974" spans="1:29" x14ac:dyDescent="0.25">
      <c r="A1974" t="str">
        <f t="shared" si="31"/>
        <v xml:space="preserve">79045GOBFED 250306       </v>
      </c>
      <c r="B1974" s="71">
        <v>79045</v>
      </c>
      <c r="C1974" s="71" t="s">
        <v>866</v>
      </c>
      <c r="D1974" s="71" t="s">
        <v>379</v>
      </c>
      <c r="E1974" s="71" t="s">
        <v>623</v>
      </c>
      <c r="F1974" s="71" t="s">
        <v>624</v>
      </c>
      <c r="G1974" s="74">
        <v>20034</v>
      </c>
      <c r="H1974" s="72">
        <v>88.698122999999995</v>
      </c>
      <c r="I1974" s="73">
        <v>1776978.196182</v>
      </c>
      <c r="J1974" s="72">
        <v>87.92799465467904</v>
      </c>
      <c r="K1974" s="73">
        <v>15428.751270160001</v>
      </c>
      <c r="L1974" s="74">
        <v>0</v>
      </c>
      <c r="M1974" s="73">
        <v>0</v>
      </c>
      <c r="N1974" s="74">
        <v>0</v>
      </c>
      <c r="O1974" s="73">
        <v>0</v>
      </c>
      <c r="P1974" s="74">
        <v>20034</v>
      </c>
      <c r="Q1974" s="73">
        <v>1776978.196182</v>
      </c>
      <c r="R1974" s="71" t="s">
        <v>625</v>
      </c>
      <c r="S1974" s="71">
        <v>7414000005</v>
      </c>
      <c r="AB1974"/>
      <c r="AC1974"/>
    </row>
    <row r="1975" spans="1:29" x14ac:dyDescent="0.25">
      <c r="A1975" t="str">
        <f t="shared" si="31"/>
        <v xml:space="preserve">79045GOBFED 260305       </v>
      </c>
      <c r="B1975" s="71">
        <v>79045</v>
      </c>
      <c r="C1975" s="71" t="s">
        <v>866</v>
      </c>
      <c r="D1975" s="71" t="s">
        <v>380</v>
      </c>
      <c r="E1975" s="71" t="s">
        <v>623</v>
      </c>
      <c r="F1975" s="71" t="s">
        <v>624</v>
      </c>
      <c r="G1975" s="74">
        <v>27662</v>
      </c>
      <c r="H1975" s="72">
        <v>93.314192000000006</v>
      </c>
      <c r="I1975" s="73">
        <v>2581257.1791039999</v>
      </c>
      <c r="J1975" s="72">
        <v>91.833820967580067</v>
      </c>
      <c r="K1975" s="73">
        <v>40950.023498800001</v>
      </c>
      <c r="L1975" s="74">
        <v>0</v>
      </c>
      <c r="M1975" s="73">
        <v>0</v>
      </c>
      <c r="N1975" s="74">
        <v>0</v>
      </c>
      <c r="O1975" s="73">
        <v>0</v>
      </c>
      <c r="P1975" s="74">
        <v>27662</v>
      </c>
      <c r="Q1975" s="73">
        <v>2581257.1791039999</v>
      </c>
      <c r="R1975" s="71" t="s">
        <v>625</v>
      </c>
      <c r="S1975" s="71">
        <v>7414000005</v>
      </c>
      <c r="AB1975"/>
      <c r="AC1975"/>
    </row>
    <row r="1976" spans="1:29" x14ac:dyDescent="0.25">
      <c r="A1976" t="str">
        <f t="shared" si="31"/>
        <v xml:space="preserve">79045GOBFED 270304       </v>
      </c>
      <c r="B1976" s="71">
        <v>79045</v>
      </c>
      <c r="C1976" s="71" t="s">
        <v>866</v>
      </c>
      <c r="D1976" s="71" t="s">
        <v>381</v>
      </c>
      <c r="E1976" s="71" t="s">
        <v>623</v>
      </c>
      <c r="F1976" s="71" t="s">
        <v>624</v>
      </c>
      <c r="G1976" s="74">
        <v>27986</v>
      </c>
      <c r="H1976" s="72">
        <v>94.870157000000006</v>
      </c>
      <c r="I1976" s="73">
        <v>2655036.213802</v>
      </c>
      <c r="J1976" s="72">
        <v>96.442151479397552</v>
      </c>
      <c r="K1976" s="73">
        <v>-43993.837500419999</v>
      </c>
      <c r="L1976" s="74">
        <v>0</v>
      </c>
      <c r="M1976" s="73">
        <v>0</v>
      </c>
      <c r="N1976" s="74">
        <v>0</v>
      </c>
      <c r="O1976" s="73">
        <v>0</v>
      </c>
      <c r="P1976" s="74">
        <v>27986</v>
      </c>
      <c r="Q1976" s="73">
        <v>2655036.213802</v>
      </c>
      <c r="R1976" s="71" t="s">
        <v>625</v>
      </c>
      <c r="S1976" s="71">
        <v>7414000005</v>
      </c>
      <c r="AB1976"/>
      <c r="AC1976"/>
    </row>
    <row r="1977" spans="1:29" x14ac:dyDescent="0.25">
      <c r="A1977" t="str">
        <f t="shared" si="31"/>
        <v xml:space="preserve">79045GOBFED 270603       </v>
      </c>
      <c r="B1977" s="71">
        <v>79045</v>
      </c>
      <c r="C1977" s="71" t="s">
        <v>866</v>
      </c>
      <c r="D1977" s="71" t="s">
        <v>382</v>
      </c>
      <c r="E1977" s="71" t="s">
        <v>623</v>
      </c>
      <c r="F1977" s="71" t="s">
        <v>624</v>
      </c>
      <c r="G1977" s="74">
        <v>24133</v>
      </c>
      <c r="H1977" s="72">
        <v>89.489464999999996</v>
      </c>
      <c r="I1977" s="73">
        <v>2159649.2588450001</v>
      </c>
      <c r="J1977" s="72">
        <v>87.13566842186674</v>
      </c>
      <c r="K1977" s="73">
        <v>56804.172820090003</v>
      </c>
      <c r="L1977" s="74">
        <v>0</v>
      </c>
      <c r="M1977" s="73">
        <v>0</v>
      </c>
      <c r="N1977" s="74">
        <v>0</v>
      </c>
      <c r="O1977" s="73">
        <v>0</v>
      </c>
      <c r="P1977" s="74">
        <v>24133</v>
      </c>
      <c r="Q1977" s="73">
        <v>2159649.2588450001</v>
      </c>
      <c r="R1977" s="71" t="s">
        <v>625</v>
      </c>
      <c r="S1977" s="71">
        <v>7414000005</v>
      </c>
      <c r="AB1977"/>
      <c r="AC1977"/>
    </row>
    <row r="1978" spans="1:29" x14ac:dyDescent="0.25">
      <c r="A1978" t="str">
        <f t="shared" si="31"/>
        <v xml:space="preserve">79045GOBFED 290531       </v>
      </c>
      <c r="B1978" s="71">
        <v>79045</v>
      </c>
      <c r="C1978" s="71" t="s">
        <v>866</v>
      </c>
      <c r="D1978" s="71" t="s">
        <v>383</v>
      </c>
      <c r="E1978" s="71" t="s">
        <v>623</v>
      </c>
      <c r="F1978" s="71" t="s">
        <v>624</v>
      </c>
      <c r="G1978" s="74">
        <v>32013</v>
      </c>
      <c r="H1978" s="72">
        <v>86.197128000000006</v>
      </c>
      <c r="I1978" s="73">
        <v>2759428.6586640002</v>
      </c>
      <c r="J1978" s="72">
        <v>88.945763563934022</v>
      </c>
      <c r="K1978" s="73">
        <v>-87992.070308220005</v>
      </c>
      <c r="L1978" s="74">
        <v>0</v>
      </c>
      <c r="M1978" s="73">
        <v>0</v>
      </c>
      <c r="N1978" s="74">
        <v>0</v>
      </c>
      <c r="O1978" s="73">
        <v>0</v>
      </c>
      <c r="P1978" s="74">
        <v>32013</v>
      </c>
      <c r="Q1978" s="73">
        <v>2759428.6586640002</v>
      </c>
      <c r="R1978" s="71" t="s">
        <v>625</v>
      </c>
      <c r="S1978" s="71">
        <v>7414000005</v>
      </c>
      <c r="AB1978"/>
      <c r="AC1978"/>
    </row>
    <row r="1979" spans="1:29" x14ac:dyDescent="0.25">
      <c r="A1979" t="str">
        <f t="shared" si="31"/>
        <v xml:space="preserve">79045GOBFED 310529       </v>
      </c>
      <c r="B1979" s="71">
        <v>79045</v>
      </c>
      <c r="C1979" s="71" t="s">
        <v>866</v>
      </c>
      <c r="D1979" s="71" t="s">
        <v>427</v>
      </c>
      <c r="E1979" s="71" t="s">
        <v>623</v>
      </c>
      <c r="F1979" s="71" t="s">
        <v>624</v>
      </c>
      <c r="G1979" s="74">
        <v>19806</v>
      </c>
      <c r="H1979" s="72">
        <v>86.469353999999996</v>
      </c>
      <c r="I1979" s="73">
        <v>1712612.025324</v>
      </c>
      <c r="J1979" s="72">
        <v>91.07811500887307</v>
      </c>
      <c r="K1979" s="73">
        <v>-91281.120541740005</v>
      </c>
      <c r="L1979" s="74">
        <v>0</v>
      </c>
      <c r="M1979" s="73">
        <v>0</v>
      </c>
      <c r="N1979" s="74">
        <v>0</v>
      </c>
      <c r="O1979" s="73">
        <v>0</v>
      </c>
      <c r="P1979" s="74">
        <v>19806</v>
      </c>
      <c r="Q1979" s="73">
        <v>1712612.025324</v>
      </c>
      <c r="R1979" s="71" t="s">
        <v>625</v>
      </c>
      <c r="S1979" s="71">
        <v>7414000005</v>
      </c>
      <c r="AB1979"/>
      <c r="AC1979"/>
    </row>
    <row r="1980" spans="1:29" x14ac:dyDescent="0.25">
      <c r="A1980" t="str">
        <f t="shared" si="31"/>
        <v xml:space="preserve">79045GOBFED 330526       </v>
      </c>
      <c r="B1980" s="71">
        <v>79045</v>
      </c>
      <c r="C1980" s="71" t="s">
        <v>866</v>
      </c>
      <c r="D1980" s="71" t="s">
        <v>418</v>
      </c>
      <c r="E1980" s="71" t="s">
        <v>623</v>
      </c>
      <c r="F1980" s="71" t="s">
        <v>624</v>
      </c>
      <c r="G1980" s="74">
        <v>1346</v>
      </c>
      <c r="H1980" s="72">
        <v>101.45096599999999</v>
      </c>
      <c r="I1980" s="73">
        <v>136553.00023599999</v>
      </c>
      <c r="J1980" s="72">
        <v>112.51809989</v>
      </c>
      <c r="K1980" s="73">
        <v>-14896.36221594</v>
      </c>
      <c r="L1980" s="74">
        <v>0</v>
      </c>
      <c r="M1980" s="73">
        <v>0</v>
      </c>
      <c r="N1980" s="74">
        <v>0</v>
      </c>
      <c r="O1980" s="73">
        <v>0</v>
      </c>
      <c r="P1980" s="74">
        <v>1346</v>
      </c>
      <c r="Q1980" s="73">
        <v>136553.00023599999</v>
      </c>
      <c r="R1980" s="71" t="s">
        <v>625</v>
      </c>
      <c r="S1980" s="71">
        <v>7414000005</v>
      </c>
      <c r="AB1980"/>
      <c r="AC1980"/>
    </row>
    <row r="1981" spans="1:29" x14ac:dyDescent="0.25">
      <c r="A1981" t="str">
        <f t="shared" si="31"/>
        <v xml:space="preserve">79045GOBFED 341123       </v>
      </c>
      <c r="B1981" s="71">
        <v>79045</v>
      </c>
      <c r="C1981" s="71" t="s">
        <v>866</v>
      </c>
      <c r="D1981" s="71" t="s">
        <v>408</v>
      </c>
      <c r="E1981" s="71" t="s">
        <v>623</v>
      </c>
      <c r="F1981" s="71" t="s">
        <v>624</v>
      </c>
      <c r="G1981" s="74">
        <v>2349</v>
      </c>
      <c r="H1981" s="72">
        <v>89.643172000000007</v>
      </c>
      <c r="I1981" s="73">
        <v>210571.811028</v>
      </c>
      <c r="J1981" s="72">
        <v>108.47711812999999</v>
      </c>
      <c r="K1981" s="73">
        <v>-44240.939459369998</v>
      </c>
      <c r="L1981" s="74">
        <v>0</v>
      </c>
      <c r="M1981" s="73">
        <v>0</v>
      </c>
      <c r="N1981" s="74">
        <v>0</v>
      </c>
      <c r="O1981" s="73">
        <v>0</v>
      </c>
      <c r="P1981" s="74">
        <v>2349</v>
      </c>
      <c r="Q1981" s="73">
        <v>210571.811028</v>
      </c>
      <c r="R1981" s="71" t="s">
        <v>625</v>
      </c>
      <c r="S1981" s="71">
        <v>7414000005</v>
      </c>
      <c r="AB1981"/>
      <c r="AC1981"/>
    </row>
    <row r="1982" spans="1:29" x14ac:dyDescent="0.25">
      <c r="A1982" t="str">
        <f t="shared" si="31"/>
        <v xml:space="preserve">79045GOBFED 361120       </v>
      </c>
      <c r="B1982" s="71">
        <v>79045</v>
      </c>
      <c r="C1982" s="71" t="s">
        <v>866</v>
      </c>
      <c r="D1982" s="71" t="s">
        <v>384</v>
      </c>
      <c r="E1982" s="71" t="s">
        <v>623</v>
      </c>
      <c r="F1982" s="71" t="s">
        <v>624</v>
      </c>
      <c r="G1982" s="74">
        <v>35416</v>
      </c>
      <c r="H1982" s="72">
        <v>81.738860000000003</v>
      </c>
      <c r="I1982" s="73">
        <v>2894863.4657600001</v>
      </c>
      <c r="J1982" s="72">
        <v>86.036916747858598</v>
      </c>
      <c r="K1982" s="73">
        <v>-152219.97778215999</v>
      </c>
      <c r="L1982" s="74">
        <v>0</v>
      </c>
      <c r="M1982" s="73">
        <v>0</v>
      </c>
      <c r="N1982" s="74">
        <v>0</v>
      </c>
      <c r="O1982" s="73">
        <v>0</v>
      </c>
      <c r="P1982" s="74">
        <v>35416</v>
      </c>
      <c r="Q1982" s="73">
        <v>2894863.4657600001</v>
      </c>
      <c r="R1982" s="71" t="s">
        <v>625</v>
      </c>
      <c r="S1982" s="71">
        <v>7414000005</v>
      </c>
      <c r="AB1982"/>
      <c r="AC1982"/>
    </row>
    <row r="1983" spans="1:29" x14ac:dyDescent="0.25">
      <c r="A1983" t="str">
        <f t="shared" si="31"/>
        <v xml:space="preserve">79045GOBFED 381118       </v>
      </c>
      <c r="B1983" s="71">
        <v>79045</v>
      </c>
      <c r="C1983" s="71" t="s">
        <v>866</v>
      </c>
      <c r="D1983" s="71" t="s">
        <v>385</v>
      </c>
      <c r="E1983" s="71" t="s">
        <v>623</v>
      </c>
      <c r="F1983" s="71" t="s">
        <v>624</v>
      </c>
      <c r="G1983" s="74">
        <v>4925</v>
      </c>
      <c r="H1983" s="72">
        <v>83.200761</v>
      </c>
      <c r="I1983" s="73">
        <v>409763.74792499997</v>
      </c>
      <c r="J1983" s="72">
        <v>94.413862603664981</v>
      </c>
      <c r="K1983" s="73">
        <v>-55224.525398049998</v>
      </c>
      <c r="L1983" s="74">
        <v>0</v>
      </c>
      <c r="M1983" s="73">
        <v>0</v>
      </c>
      <c r="N1983" s="74">
        <v>0</v>
      </c>
      <c r="O1983" s="73">
        <v>0</v>
      </c>
      <c r="P1983" s="74">
        <v>4925</v>
      </c>
      <c r="Q1983" s="73">
        <v>409763.74792499997</v>
      </c>
      <c r="R1983" s="71" t="s">
        <v>625</v>
      </c>
      <c r="S1983" s="71">
        <v>7414000005</v>
      </c>
      <c r="AB1983"/>
      <c r="AC1983"/>
    </row>
    <row r="1984" spans="1:29" x14ac:dyDescent="0.25">
      <c r="A1984" t="str">
        <f t="shared" si="31"/>
        <v xml:space="preserve">79045GOBFED 421113       </v>
      </c>
      <c r="B1984" s="71">
        <v>79045</v>
      </c>
      <c r="C1984" s="71" t="s">
        <v>866</v>
      </c>
      <c r="D1984" s="71" t="s">
        <v>386</v>
      </c>
      <c r="E1984" s="71" t="s">
        <v>623</v>
      </c>
      <c r="F1984" s="71" t="s">
        <v>624</v>
      </c>
      <c r="G1984" s="74">
        <v>15299</v>
      </c>
      <c r="H1984" s="72">
        <v>82.159907000000004</v>
      </c>
      <c r="I1984" s="73">
        <v>1256964.417193</v>
      </c>
      <c r="J1984" s="72">
        <v>83.901439880585656</v>
      </c>
      <c r="K1984" s="73">
        <v>-26643.711540079999</v>
      </c>
      <c r="L1984" s="74">
        <v>0</v>
      </c>
      <c r="M1984" s="73">
        <v>0</v>
      </c>
      <c r="N1984" s="74">
        <v>0</v>
      </c>
      <c r="O1984" s="73">
        <v>0</v>
      </c>
      <c r="P1984" s="74">
        <v>15299</v>
      </c>
      <c r="Q1984" s="73">
        <v>1256964.417193</v>
      </c>
      <c r="R1984" s="71" t="s">
        <v>625</v>
      </c>
      <c r="S1984" s="71">
        <v>7414000005</v>
      </c>
      <c r="AB1984"/>
      <c r="AC1984"/>
    </row>
    <row r="1985" spans="1:29" x14ac:dyDescent="0.25">
      <c r="A1985" t="str">
        <f t="shared" si="31"/>
        <v xml:space="preserve">79045GOBFED 471107       </v>
      </c>
      <c r="B1985" s="71">
        <v>79045</v>
      </c>
      <c r="C1985" s="71" t="s">
        <v>866</v>
      </c>
      <c r="D1985" s="71" t="s">
        <v>429</v>
      </c>
      <c r="E1985" s="71" t="s">
        <v>623</v>
      </c>
      <c r="F1985" s="71" t="s">
        <v>624</v>
      </c>
      <c r="G1985" s="74">
        <v>39</v>
      </c>
      <c r="H1985" s="72">
        <v>98.007834000000003</v>
      </c>
      <c r="I1985" s="73">
        <v>3822.3055260000001</v>
      </c>
      <c r="J1985" s="72">
        <v>93.280048030000003</v>
      </c>
      <c r="K1985" s="73">
        <v>184.38365282999999</v>
      </c>
      <c r="L1985" s="74">
        <v>0</v>
      </c>
      <c r="M1985" s="73">
        <v>0</v>
      </c>
      <c r="N1985" s="74">
        <v>0</v>
      </c>
      <c r="O1985" s="73">
        <v>0</v>
      </c>
      <c r="P1985" s="74">
        <v>39</v>
      </c>
      <c r="Q1985" s="73">
        <v>3822.3055260000001</v>
      </c>
      <c r="R1985" s="71" t="s">
        <v>625</v>
      </c>
      <c r="S1985" s="71">
        <v>7414000005</v>
      </c>
      <c r="AB1985"/>
      <c r="AC1985"/>
    </row>
    <row r="1986" spans="1:29" x14ac:dyDescent="0.25">
      <c r="A1986" t="str">
        <f t="shared" si="31"/>
        <v xml:space="preserve">79045GOBFED 530731       </v>
      </c>
      <c r="B1986" s="71">
        <v>79045</v>
      </c>
      <c r="C1986" s="71" t="s">
        <v>866</v>
      </c>
      <c r="D1986" s="71" t="s">
        <v>389</v>
      </c>
      <c r="E1986" s="71" t="s">
        <v>623</v>
      </c>
      <c r="F1986" s="71" t="s">
        <v>624</v>
      </c>
      <c r="G1986" s="74">
        <v>183266</v>
      </c>
      <c r="H1986" s="72">
        <v>3.3967719999999999</v>
      </c>
      <c r="I1986" s="73">
        <v>622512.81735200004</v>
      </c>
      <c r="J1986" s="72">
        <v>3.3772509903637338</v>
      </c>
      <c r="K1986" s="73">
        <v>3577.5373519999998</v>
      </c>
      <c r="L1986" s="74">
        <v>0</v>
      </c>
      <c r="M1986" s="73">
        <v>0</v>
      </c>
      <c r="N1986" s="74">
        <v>0</v>
      </c>
      <c r="O1986" s="73">
        <v>0</v>
      </c>
      <c r="P1986" s="74">
        <v>183266</v>
      </c>
      <c r="Q1986" s="73">
        <v>622512.81735200004</v>
      </c>
      <c r="R1986" s="71" t="s">
        <v>625</v>
      </c>
      <c r="S1986" s="71">
        <v>7414000005</v>
      </c>
      <c r="AB1986"/>
      <c r="AC1986"/>
    </row>
    <row r="1987" spans="1:29" x14ac:dyDescent="0.25">
      <c r="A1987" t="str">
        <f t="shared" si="31"/>
        <v xml:space="preserve">79045PEMEX 13-2          </v>
      </c>
      <c r="B1987" s="71">
        <v>79045</v>
      </c>
      <c r="C1987" s="71" t="s">
        <v>866</v>
      </c>
      <c r="D1987" s="71" t="s">
        <v>391</v>
      </c>
      <c r="E1987" s="71" t="s">
        <v>623</v>
      </c>
      <c r="F1987" s="71" t="s">
        <v>624</v>
      </c>
      <c r="G1987" s="74">
        <v>355</v>
      </c>
      <c r="H1987" s="72">
        <v>775.69178699999998</v>
      </c>
      <c r="I1987" s="73">
        <v>275370.58438499999</v>
      </c>
      <c r="J1987" s="72">
        <v>766.69784126000002</v>
      </c>
      <c r="K1987" s="73">
        <v>3192.8507377000001</v>
      </c>
      <c r="L1987" s="74">
        <v>0</v>
      </c>
      <c r="M1987" s="73">
        <v>0</v>
      </c>
      <c r="N1987" s="74">
        <v>0</v>
      </c>
      <c r="O1987" s="73">
        <v>0</v>
      </c>
      <c r="P1987" s="74">
        <v>355</v>
      </c>
      <c r="Q1987" s="73">
        <v>275370.58438499999</v>
      </c>
      <c r="R1987" s="71" t="s">
        <v>625</v>
      </c>
      <c r="S1987" s="71">
        <v>7414000005</v>
      </c>
      <c r="AB1987"/>
      <c r="AC1987"/>
    </row>
    <row r="1988" spans="1:29" x14ac:dyDescent="0.25">
      <c r="A1988" t="str">
        <f t="shared" si="31"/>
        <v xml:space="preserve">79045STERGOB ED          </v>
      </c>
      <c r="B1988" s="71">
        <v>79045</v>
      </c>
      <c r="C1988" s="71" t="s">
        <v>866</v>
      </c>
      <c r="D1988" s="71" t="s">
        <v>392</v>
      </c>
      <c r="E1988" s="71" t="s">
        <v>623</v>
      </c>
      <c r="F1988" s="71" t="s">
        <v>624</v>
      </c>
      <c r="G1988" s="74">
        <v>2720</v>
      </c>
      <c r="H1988" s="72">
        <v>747.17843200000004</v>
      </c>
      <c r="I1988" s="73">
        <v>2032325.33504</v>
      </c>
      <c r="J1988" s="72">
        <v>730.88430605281246</v>
      </c>
      <c r="K1988" s="73">
        <v>44320.022576349998</v>
      </c>
      <c r="L1988" s="74">
        <v>0</v>
      </c>
      <c r="M1988" s="73">
        <v>0</v>
      </c>
      <c r="N1988" s="74">
        <v>0</v>
      </c>
      <c r="O1988" s="73">
        <v>0</v>
      </c>
      <c r="P1988" s="74">
        <v>2720</v>
      </c>
      <c r="Q1988" s="73">
        <v>2032325.33504</v>
      </c>
      <c r="R1988" s="71" t="s">
        <v>625</v>
      </c>
      <c r="S1988" s="71">
        <v>7414000005</v>
      </c>
      <c r="AB1988"/>
      <c r="AC1988"/>
    </row>
    <row r="1989" spans="1:29" x14ac:dyDescent="0.25">
      <c r="A1989" t="str">
        <f t="shared" si="31"/>
        <v xml:space="preserve">79045UDIBONO 251204      </v>
      </c>
      <c r="B1989" s="71">
        <v>79045</v>
      </c>
      <c r="C1989" s="71" t="s">
        <v>866</v>
      </c>
      <c r="D1989" s="71" t="s">
        <v>393</v>
      </c>
      <c r="E1989" s="71" t="s">
        <v>623</v>
      </c>
      <c r="F1989" s="71" t="s">
        <v>624</v>
      </c>
      <c r="G1989" s="74">
        <v>2426</v>
      </c>
      <c r="H1989" s="72">
        <v>765.92388300000005</v>
      </c>
      <c r="I1989" s="73">
        <v>1858131.3401579999</v>
      </c>
      <c r="J1989" s="72">
        <v>748.91547549314919</v>
      </c>
      <c r="K1989" s="73">
        <v>41262.396611620003</v>
      </c>
      <c r="L1989" s="74">
        <v>0</v>
      </c>
      <c r="M1989" s="73">
        <v>0</v>
      </c>
      <c r="N1989" s="74">
        <v>0</v>
      </c>
      <c r="O1989" s="73">
        <v>0</v>
      </c>
      <c r="P1989" s="74">
        <v>2426</v>
      </c>
      <c r="Q1989" s="73">
        <v>1858131.3401579999</v>
      </c>
      <c r="R1989" s="71" t="s">
        <v>625</v>
      </c>
      <c r="S1989" s="71">
        <v>7414000005</v>
      </c>
      <c r="AB1989"/>
      <c r="AC1989"/>
    </row>
    <row r="1990" spans="1:29" x14ac:dyDescent="0.25">
      <c r="A1990" t="str">
        <f t="shared" si="31"/>
        <v xml:space="preserve">79045UDIBONO 261203      </v>
      </c>
      <c r="B1990" s="71">
        <v>79045</v>
      </c>
      <c r="C1990" s="71" t="s">
        <v>866</v>
      </c>
      <c r="D1990" s="71" t="s">
        <v>394</v>
      </c>
      <c r="E1990" s="71" t="s">
        <v>623</v>
      </c>
      <c r="F1990" s="71" t="s">
        <v>624</v>
      </c>
      <c r="G1990" s="74">
        <v>5019</v>
      </c>
      <c r="H1990" s="72">
        <v>684.88915799999995</v>
      </c>
      <c r="I1990" s="73">
        <v>3437458.6840019999</v>
      </c>
      <c r="J1990" s="72">
        <v>677.58278405570832</v>
      </c>
      <c r="K1990" s="73">
        <v>36670.690826400001</v>
      </c>
      <c r="L1990" s="74">
        <v>0</v>
      </c>
      <c r="M1990" s="73">
        <v>0</v>
      </c>
      <c r="N1990" s="74">
        <v>0</v>
      </c>
      <c r="O1990" s="73">
        <v>0</v>
      </c>
      <c r="P1990" s="74">
        <v>5019</v>
      </c>
      <c r="Q1990" s="73">
        <v>3437458.6840019999</v>
      </c>
      <c r="R1990" s="71" t="s">
        <v>625</v>
      </c>
      <c r="S1990" s="71">
        <v>7414000005</v>
      </c>
      <c r="AB1990"/>
      <c r="AC1990"/>
    </row>
    <row r="1991" spans="1:29" x14ac:dyDescent="0.25">
      <c r="A1991" t="str">
        <f t="shared" ref="A1991:A2005" si="32">B1989&amp;D1989</f>
        <v xml:space="preserve">79045UDIBONO 281130      </v>
      </c>
      <c r="B1991" s="71">
        <v>79045</v>
      </c>
      <c r="C1991" s="71" t="s">
        <v>866</v>
      </c>
      <c r="D1991" s="71" t="s">
        <v>395</v>
      </c>
      <c r="E1991" s="71" t="s">
        <v>623</v>
      </c>
      <c r="F1991" s="71" t="s">
        <v>624</v>
      </c>
      <c r="G1991" s="74">
        <v>2824</v>
      </c>
      <c r="H1991" s="72">
        <v>772.926965</v>
      </c>
      <c r="I1991" s="73">
        <v>2182745.7491600001</v>
      </c>
      <c r="J1991" s="72">
        <v>780.99044725911119</v>
      </c>
      <c r="K1991" s="73">
        <v>-22771.27389973</v>
      </c>
      <c r="L1991" s="74">
        <v>0</v>
      </c>
      <c r="M1991" s="73">
        <v>0</v>
      </c>
      <c r="N1991" s="74">
        <v>0</v>
      </c>
      <c r="O1991" s="73">
        <v>0</v>
      </c>
      <c r="P1991" s="74">
        <v>2824</v>
      </c>
      <c r="Q1991" s="73">
        <v>2182745.7491600001</v>
      </c>
      <c r="R1991" s="71" t="s">
        <v>625</v>
      </c>
      <c r="S1991" s="71">
        <v>7414000005</v>
      </c>
      <c r="AB1991"/>
      <c r="AC1991"/>
    </row>
    <row r="1992" spans="1:29" x14ac:dyDescent="0.25">
      <c r="A1992" t="str">
        <f t="shared" si="32"/>
        <v xml:space="preserve">79045UDIBONO 311127      </v>
      </c>
      <c r="B1992" s="71">
        <v>79045</v>
      </c>
      <c r="C1992" s="71" t="s">
        <v>866</v>
      </c>
      <c r="D1992" s="71" t="s">
        <v>396</v>
      </c>
      <c r="E1992" s="71" t="s">
        <v>623</v>
      </c>
      <c r="F1992" s="71" t="s">
        <v>624</v>
      </c>
      <c r="G1992" s="74">
        <v>3330</v>
      </c>
      <c r="H1992" s="72">
        <v>721.59464000000003</v>
      </c>
      <c r="I1992" s="73">
        <v>2402910.1512000002</v>
      </c>
      <c r="J1992" s="72">
        <v>766.83795300300903</v>
      </c>
      <c r="K1992" s="73">
        <v>-150660.23230002</v>
      </c>
      <c r="L1992" s="74">
        <v>0</v>
      </c>
      <c r="M1992" s="73">
        <v>0</v>
      </c>
      <c r="N1992" s="74">
        <v>0</v>
      </c>
      <c r="O1992" s="73">
        <v>0</v>
      </c>
      <c r="P1992" s="74">
        <v>3330</v>
      </c>
      <c r="Q1992" s="73">
        <v>2402910.1512000002</v>
      </c>
      <c r="R1992" s="71" t="s">
        <v>625</v>
      </c>
      <c r="S1992" s="71">
        <v>7414000005</v>
      </c>
      <c r="AB1992"/>
      <c r="AC1992"/>
    </row>
    <row r="1993" spans="1:29" x14ac:dyDescent="0.25">
      <c r="A1993" t="str">
        <f t="shared" si="32"/>
        <v xml:space="preserve">79045UDIBONO 351122      </v>
      </c>
      <c r="B1993" s="71">
        <v>79045</v>
      </c>
      <c r="C1993" s="71" t="s">
        <v>866</v>
      </c>
      <c r="D1993" s="71" t="s">
        <v>397</v>
      </c>
      <c r="E1993" s="71" t="s">
        <v>623</v>
      </c>
      <c r="F1993" s="71" t="s">
        <v>624</v>
      </c>
      <c r="G1993" s="74">
        <v>1182</v>
      </c>
      <c r="H1993" s="72">
        <v>635.96311900000001</v>
      </c>
      <c r="I1993" s="73">
        <v>751708.40665799996</v>
      </c>
      <c r="J1993" s="72">
        <v>647.93802047999998</v>
      </c>
      <c r="K1993" s="73">
        <v>-14154.333549360001</v>
      </c>
      <c r="L1993" s="74">
        <v>0</v>
      </c>
      <c r="M1993" s="73">
        <v>0</v>
      </c>
      <c r="N1993" s="74">
        <v>0</v>
      </c>
      <c r="O1993" s="73">
        <v>0</v>
      </c>
      <c r="P1993" s="74">
        <v>1182</v>
      </c>
      <c r="Q1993" s="73">
        <v>751708.40665799996</v>
      </c>
      <c r="R1993" s="71" t="s">
        <v>625</v>
      </c>
      <c r="S1993" s="71">
        <v>7414000005</v>
      </c>
      <c r="AB1993"/>
      <c r="AC1993"/>
    </row>
    <row r="1994" spans="1:29" x14ac:dyDescent="0.25">
      <c r="A1994" t="str">
        <f t="shared" si="32"/>
        <v xml:space="preserve">79045UDIBONO 401115      </v>
      </c>
      <c r="B1994" s="71">
        <v>79045</v>
      </c>
      <c r="C1994" s="71" t="s">
        <v>866</v>
      </c>
      <c r="D1994" s="71" t="s">
        <v>398</v>
      </c>
      <c r="E1994" s="71" t="s">
        <v>623</v>
      </c>
      <c r="F1994" s="71" t="s">
        <v>624</v>
      </c>
      <c r="G1994" s="74">
        <v>1011</v>
      </c>
      <c r="H1994" s="72">
        <v>709.36974099999998</v>
      </c>
      <c r="I1994" s="73">
        <v>717172.80815099995</v>
      </c>
      <c r="J1994" s="72">
        <v>760.47954784557862</v>
      </c>
      <c r="K1994" s="73">
        <v>-51672.014720879997</v>
      </c>
      <c r="L1994" s="74">
        <v>0</v>
      </c>
      <c r="M1994" s="73">
        <v>0</v>
      </c>
      <c r="N1994" s="74">
        <v>0</v>
      </c>
      <c r="O1994" s="73">
        <v>0</v>
      </c>
      <c r="P1994" s="74">
        <v>1011</v>
      </c>
      <c r="Q1994" s="73">
        <v>717172.80815099995</v>
      </c>
      <c r="R1994" s="71" t="s">
        <v>625</v>
      </c>
      <c r="S1994" s="71">
        <v>7414000005</v>
      </c>
      <c r="AB1994"/>
      <c r="AC1994"/>
    </row>
    <row r="1995" spans="1:29" x14ac:dyDescent="0.25">
      <c r="A1995" t="str">
        <f t="shared" si="32"/>
        <v xml:space="preserve">79045UDIBONO 431112      </v>
      </c>
      <c r="B1995" s="71">
        <v>79045</v>
      </c>
      <c r="C1995" s="71" t="s">
        <v>866</v>
      </c>
      <c r="D1995" s="71" t="s">
        <v>399</v>
      </c>
      <c r="E1995" s="71" t="s">
        <v>623</v>
      </c>
      <c r="F1995" s="71" t="s">
        <v>624</v>
      </c>
      <c r="G1995" s="74">
        <v>5255</v>
      </c>
      <c r="H1995" s="72">
        <v>694.41118700000004</v>
      </c>
      <c r="I1995" s="73">
        <v>3649130.7876849999</v>
      </c>
      <c r="J1995" s="72">
        <v>745.80046417109804</v>
      </c>
      <c r="K1995" s="73">
        <v>-270050.65153412003</v>
      </c>
      <c r="L1995" s="74">
        <v>0</v>
      </c>
      <c r="M1995" s="73">
        <v>0</v>
      </c>
      <c r="N1995" s="74">
        <v>0</v>
      </c>
      <c r="O1995" s="73">
        <v>0</v>
      </c>
      <c r="P1995" s="74">
        <v>5255</v>
      </c>
      <c r="Q1995" s="73">
        <v>3649130.7876849999</v>
      </c>
      <c r="R1995" s="71" t="s">
        <v>625</v>
      </c>
      <c r="S1995" s="71">
        <v>7414000005</v>
      </c>
      <c r="AB1995"/>
      <c r="AC1995"/>
    </row>
    <row r="1996" spans="1:29" x14ac:dyDescent="0.25">
      <c r="A1996" t="str">
        <f t="shared" si="32"/>
        <v xml:space="preserve">79045UDIBONO 461108      </v>
      </c>
      <c r="B1996" s="71">
        <v>79046</v>
      </c>
      <c r="C1996" s="71" t="s">
        <v>867</v>
      </c>
      <c r="D1996" s="71" t="s">
        <v>376</v>
      </c>
      <c r="E1996" s="71" t="s">
        <v>623</v>
      </c>
      <c r="F1996" s="71" t="s">
        <v>624</v>
      </c>
      <c r="G1996" s="74">
        <v>0</v>
      </c>
      <c r="H1996" s="72">
        <v>0</v>
      </c>
      <c r="I1996" s="73">
        <v>0</v>
      </c>
      <c r="J1996" s="72">
        <v>0</v>
      </c>
      <c r="K1996" s="73">
        <v>0</v>
      </c>
      <c r="L1996" s="74">
        <v>0</v>
      </c>
      <c r="M1996" s="73">
        <v>0</v>
      </c>
      <c r="N1996" s="74">
        <v>0</v>
      </c>
      <c r="O1996" s="73">
        <v>0</v>
      </c>
      <c r="P1996" s="74">
        <v>0</v>
      </c>
      <c r="Q1996" s="73">
        <v>0</v>
      </c>
      <c r="R1996" s="71" t="s">
        <v>625</v>
      </c>
      <c r="S1996" s="71">
        <v>7414000005</v>
      </c>
      <c r="AB1996"/>
      <c r="AC1996"/>
    </row>
    <row r="1997" spans="1:29" x14ac:dyDescent="0.25">
      <c r="A1997" t="str">
        <f t="shared" si="32"/>
        <v xml:space="preserve">79045UDIBONO 501103      </v>
      </c>
      <c r="B1997" s="71">
        <v>79046</v>
      </c>
      <c r="C1997" s="71" t="s">
        <v>867</v>
      </c>
      <c r="D1997" s="71" t="s">
        <v>382</v>
      </c>
      <c r="E1997" s="71" t="s">
        <v>623</v>
      </c>
      <c r="F1997" s="71" t="s">
        <v>624</v>
      </c>
      <c r="G1997" s="74">
        <v>0</v>
      </c>
      <c r="H1997" s="72">
        <v>0</v>
      </c>
      <c r="I1997" s="73">
        <v>0</v>
      </c>
      <c r="J1997" s="72">
        <v>0</v>
      </c>
      <c r="K1997" s="73">
        <v>0</v>
      </c>
      <c r="L1997" s="74">
        <v>0</v>
      </c>
      <c r="M1997" s="73">
        <v>0</v>
      </c>
      <c r="N1997" s="74">
        <v>0</v>
      </c>
      <c r="O1997" s="73">
        <v>0</v>
      </c>
      <c r="P1997" s="74">
        <v>0</v>
      </c>
      <c r="Q1997" s="73">
        <v>0</v>
      </c>
      <c r="R1997" s="71" t="s">
        <v>625</v>
      </c>
      <c r="S1997" s="71">
        <v>7414000005</v>
      </c>
      <c r="AB1997"/>
      <c r="AC1997"/>
    </row>
    <row r="1998" spans="1:29" x14ac:dyDescent="0.25">
      <c r="A1998" t="str">
        <f t="shared" si="32"/>
        <v xml:space="preserve">79046GOBFED 241205       </v>
      </c>
      <c r="B1998" s="71">
        <v>79046</v>
      </c>
      <c r="C1998" s="71" t="s">
        <v>867</v>
      </c>
      <c r="D1998" s="71" t="s">
        <v>396</v>
      </c>
      <c r="E1998" s="71" t="s">
        <v>623</v>
      </c>
      <c r="F1998" s="71" t="s">
        <v>624</v>
      </c>
      <c r="G1998" s="74">
        <v>0</v>
      </c>
      <c r="H1998" s="72">
        <v>0</v>
      </c>
      <c r="I1998" s="73">
        <v>0</v>
      </c>
      <c r="J1998" s="72">
        <v>0</v>
      </c>
      <c r="K1998" s="73">
        <v>0</v>
      </c>
      <c r="L1998" s="74">
        <v>0</v>
      </c>
      <c r="M1998" s="73">
        <v>0</v>
      </c>
      <c r="N1998" s="74">
        <v>0</v>
      </c>
      <c r="O1998" s="73">
        <v>0</v>
      </c>
      <c r="P1998" s="74">
        <v>0</v>
      </c>
      <c r="Q1998" s="73">
        <v>0</v>
      </c>
      <c r="R1998" s="71" t="s">
        <v>625</v>
      </c>
      <c r="S1998" s="71">
        <v>7414000005</v>
      </c>
      <c r="AB1998"/>
      <c r="AC1998"/>
    </row>
    <row r="1999" spans="1:29" x14ac:dyDescent="0.25">
      <c r="A1999" t="str">
        <f t="shared" si="32"/>
        <v xml:space="preserve">79046GOBFED 310529       </v>
      </c>
      <c r="B1999" s="71">
        <v>80862</v>
      </c>
      <c r="C1999" s="71" t="s">
        <v>868</v>
      </c>
      <c r="D1999" s="71" t="s">
        <v>570</v>
      </c>
      <c r="E1999" s="71" t="s">
        <v>623</v>
      </c>
      <c r="F1999" s="71" t="s">
        <v>624</v>
      </c>
      <c r="G1999" s="74">
        <v>4500000</v>
      </c>
      <c r="H1999" s="72">
        <v>9.6141520000000007</v>
      </c>
      <c r="I1999" s="73">
        <v>43263684</v>
      </c>
      <c r="J1999" s="72">
        <v>9.0305956599999995</v>
      </c>
      <c r="K1999" s="73">
        <v>2626003.5299999998</v>
      </c>
      <c r="L1999" s="74">
        <v>0</v>
      </c>
      <c r="M1999" s="73">
        <v>0</v>
      </c>
      <c r="N1999" s="74">
        <v>0</v>
      </c>
      <c r="O1999" s="73">
        <v>0</v>
      </c>
      <c r="P1999" s="74">
        <v>4500000</v>
      </c>
      <c r="Q1999" s="73">
        <v>43263684</v>
      </c>
      <c r="R1999" s="71" t="s">
        <v>625</v>
      </c>
      <c r="S1999" s="71">
        <v>7414000005</v>
      </c>
      <c r="AB1999"/>
      <c r="AC1999"/>
    </row>
    <row r="2000" spans="1:29" x14ac:dyDescent="0.25">
      <c r="A2000" t="str">
        <f t="shared" si="32"/>
        <v xml:space="preserve">79046UDIBONO 401115      </v>
      </c>
      <c r="B2000" s="71">
        <v>80862</v>
      </c>
      <c r="C2000" s="71" t="s">
        <v>868</v>
      </c>
      <c r="D2000" s="71" t="s">
        <v>363</v>
      </c>
      <c r="E2000" s="71" t="s">
        <v>623</v>
      </c>
      <c r="F2000" s="71" t="s">
        <v>624</v>
      </c>
      <c r="G2000" s="74">
        <v>85065</v>
      </c>
      <c r="H2000" s="72">
        <v>9.4935880000000008</v>
      </c>
      <c r="I2000" s="73">
        <v>807572.06322000001</v>
      </c>
      <c r="J2000" s="72">
        <v>8.2405490399999994</v>
      </c>
      <c r="K2000" s="73">
        <v>106589.75913239999</v>
      </c>
      <c r="L2000" s="74">
        <v>0</v>
      </c>
      <c r="M2000" s="73">
        <v>0</v>
      </c>
      <c r="N2000" s="74">
        <v>0</v>
      </c>
      <c r="O2000" s="73">
        <v>0</v>
      </c>
      <c r="P2000" s="74">
        <v>85065</v>
      </c>
      <c r="Q2000" s="73">
        <v>807572.06322000001</v>
      </c>
      <c r="R2000" s="71" t="s">
        <v>625</v>
      </c>
      <c r="S2000" s="71">
        <v>7414000005</v>
      </c>
      <c r="AB2000"/>
      <c r="AC2000"/>
    </row>
    <row r="2001" spans="1:29" x14ac:dyDescent="0.25">
      <c r="A2001" t="str">
        <f t="shared" si="32"/>
        <v xml:space="preserve">80862CETES 240822        </v>
      </c>
      <c r="B2001" s="71">
        <v>80862</v>
      </c>
      <c r="C2001" s="71" t="s">
        <v>868</v>
      </c>
      <c r="D2001" s="71" t="s">
        <v>409</v>
      </c>
      <c r="E2001" s="71" t="s">
        <v>623</v>
      </c>
      <c r="F2001" s="71" t="s">
        <v>624</v>
      </c>
      <c r="G2001" s="74">
        <v>339672</v>
      </c>
      <c r="H2001" s="72">
        <v>9.3381629999999998</v>
      </c>
      <c r="I2001" s="73">
        <v>3171912.5025360002</v>
      </c>
      <c r="J2001" s="72">
        <v>8.3163347003177179</v>
      </c>
      <c r="K2001" s="73">
        <v>347086.46220968</v>
      </c>
      <c r="L2001" s="74">
        <v>0</v>
      </c>
      <c r="M2001" s="73">
        <v>0</v>
      </c>
      <c r="N2001" s="74">
        <v>0</v>
      </c>
      <c r="O2001" s="73">
        <v>0</v>
      </c>
      <c r="P2001" s="74">
        <v>339672</v>
      </c>
      <c r="Q2001" s="73">
        <v>3171912.5025360002</v>
      </c>
      <c r="R2001" s="71" t="s">
        <v>625</v>
      </c>
      <c r="S2001" s="71">
        <v>7414000005</v>
      </c>
      <c r="AB2001"/>
      <c r="AC2001"/>
    </row>
    <row r="2002" spans="1:29" x14ac:dyDescent="0.25">
      <c r="A2002" t="str">
        <f t="shared" si="32"/>
        <v xml:space="preserve">80862CETES 241003        </v>
      </c>
      <c r="B2002" s="71">
        <v>80862</v>
      </c>
      <c r="C2002" s="71" t="s">
        <v>868</v>
      </c>
      <c r="D2002" s="71" t="s">
        <v>364</v>
      </c>
      <c r="E2002" s="71" t="s">
        <v>623</v>
      </c>
      <c r="F2002" s="71" t="s">
        <v>624</v>
      </c>
      <c r="G2002" s="74">
        <v>396010</v>
      </c>
      <c r="H2002" s="72">
        <v>9.190137</v>
      </c>
      <c r="I2002" s="73">
        <v>3639386.15337</v>
      </c>
      <c r="J2002" s="72">
        <v>8.2169445233590057</v>
      </c>
      <c r="K2002" s="73">
        <v>385393.9526746</v>
      </c>
      <c r="L2002" s="74">
        <v>0</v>
      </c>
      <c r="M2002" s="73">
        <v>0</v>
      </c>
      <c r="N2002" s="74">
        <v>0</v>
      </c>
      <c r="O2002" s="73">
        <v>0</v>
      </c>
      <c r="P2002" s="74">
        <v>396010</v>
      </c>
      <c r="Q2002" s="73">
        <v>3639386.15337</v>
      </c>
      <c r="R2002" s="71" t="s">
        <v>625</v>
      </c>
      <c r="S2002" s="71">
        <v>7414000005</v>
      </c>
      <c r="AB2002"/>
      <c r="AC2002"/>
    </row>
    <row r="2003" spans="1:29" x14ac:dyDescent="0.25">
      <c r="A2003" t="str">
        <f t="shared" si="32"/>
        <v xml:space="preserve">80862CETES 241128        </v>
      </c>
      <c r="B2003" s="71">
        <v>80862</v>
      </c>
      <c r="C2003" s="71" t="s">
        <v>868</v>
      </c>
      <c r="D2003" s="71" t="s">
        <v>649</v>
      </c>
      <c r="E2003" s="71" t="s">
        <v>623</v>
      </c>
      <c r="F2003" s="71" t="s">
        <v>624</v>
      </c>
      <c r="G2003" s="74">
        <v>95990</v>
      </c>
      <c r="H2003" s="72">
        <v>9.0112480000000001</v>
      </c>
      <c r="I2003" s="73">
        <v>864989.69551999995</v>
      </c>
      <c r="J2003" s="72">
        <v>8.9969798000000001</v>
      </c>
      <c r="K2003" s="73">
        <v>1369.6045180000001</v>
      </c>
      <c r="L2003" s="74">
        <v>0</v>
      </c>
      <c r="M2003" s="73">
        <v>0</v>
      </c>
      <c r="N2003" s="74">
        <v>0</v>
      </c>
      <c r="O2003" s="73">
        <v>0</v>
      </c>
      <c r="P2003" s="74">
        <v>95990</v>
      </c>
      <c r="Q2003" s="73">
        <v>864989.69551999995</v>
      </c>
      <c r="R2003" s="71" t="s">
        <v>625</v>
      </c>
      <c r="S2003" s="71">
        <v>7414000005</v>
      </c>
      <c r="AB2003"/>
      <c r="AC2003"/>
    </row>
    <row r="2004" spans="1:29" x14ac:dyDescent="0.25">
      <c r="A2004" t="str">
        <f t="shared" si="32"/>
        <v xml:space="preserve">80862CETES 250123        </v>
      </c>
      <c r="B2004" s="71">
        <v>80862</v>
      </c>
      <c r="C2004" s="71" t="s">
        <v>868</v>
      </c>
      <c r="D2004" s="71" t="s">
        <v>613</v>
      </c>
      <c r="E2004" s="71" t="s">
        <v>623</v>
      </c>
      <c r="F2004" s="71" t="s">
        <v>624</v>
      </c>
      <c r="G2004" s="74">
        <v>178190</v>
      </c>
      <c r="H2004" s="72">
        <v>8.2580650000000002</v>
      </c>
      <c r="I2004" s="73">
        <v>1471504.6023500001</v>
      </c>
      <c r="J2004" s="72">
        <v>8.2501711100000001</v>
      </c>
      <c r="K2004" s="73">
        <v>1406.6122591000001</v>
      </c>
      <c r="L2004" s="74">
        <v>0</v>
      </c>
      <c r="M2004" s="73">
        <v>0</v>
      </c>
      <c r="N2004" s="74">
        <v>0</v>
      </c>
      <c r="O2004" s="73">
        <v>0</v>
      </c>
      <c r="P2004" s="74">
        <v>178190</v>
      </c>
      <c r="Q2004" s="73">
        <v>1471504.6023500001</v>
      </c>
      <c r="R2004" s="71" t="s">
        <v>625</v>
      </c>
      <c r="S2004" s="71">
        <v>7414000005</v>
      </c>
      <c r="AB2004"/>
      <c r="AC2004"/>
    </row>
    <row r="2005" spans="1:29" x14ac:dyDescent="0.25">
      <c r="A2005" t="str">
        <f t="shared" si="32"/>
        <v xml:space="preserve">80862CETES 250403        </v>
      </c>
      <c r="B2005" s="71">
        <v>80862</v>
      </c>
      <c r="C2005" s="71" t="s">
        <v>868</v>
      </c>
      <c r="D2005" s="71" t="s">
        <v>389</v>
      </c>
      <c r="E2005" s="71" t="s">
        <v>623</v>
      </c>
      <c r="F2005" s="71" t="s">
        <v>624</v>
      </c>
      <c r="G2005" s="74">
        <v>3475671</v>
      </c>
      <c r="H2005" s="72">
        <v>3.3967719999999999</v>
      </c>
      <c r="I2005" s="73">
        <v>11806061.934012</v>
      </c>
      <c r="J2005" s="72">
        <v>3.3610751650544599</v>
      </c>
      <c r="K2005" s="73">
        <v>124070.454012</v>
      </c>
      <c r="L2005" s="74">
        <v>0</v>
      </c>
      <c r="M2005" s="73">
        <v>0</v>
      </c>
      <c r="N2005" s="74">
        <v>0</v>
      </c>
      <c r="O2005" s="73">
        <v>0</v>
      </c>
      <c r="P2005" s="74">
        <v>3475671</v>
      </c>
      <c r="Q2005" s="73">
        <v>11806061.934012</v>
      </c>
      <c r="R2005" s="71" t="s">
        <v>625</v>
      </c>
      <c r="S2005" s="71">
        <v>7414000005</v>
      </c>
      <c r="AB2005"/>
      <c r="AC2005"/>
    </row>
    <row r="2006" spans="1:29" x14ac:dyDescent="0.25">
      <c r="AB2006"/>
      <c r="AC2006"/>
    </row>
    <row r="2007" spans="1:29" x14ac:dyDescent="0.25">
      <c r="AB2007"/>
      <c r="AC2007"/>
    </row>
    <row r="2008" spans="1:29" x14ac:dyDescent="0.25">
      <c r="AB2008"/>
      <c r="AC2008"/>
    </row>
    <row r="2009" spans="1:29" x14ac:dyDescent="0.25">
      <c r="AB2009"/>
      <c r="AC2009"/>
    </row>
    <row r="2010" spans="1:29" x14ac:dyDescent="0.25">
      <c r="AB2010"/>
      <c r="AC2010"/>
    </row>
    <row r="2011" spans="1:29" x14ac:dyDescent="0.25">
      <c r="AB2011"/>
      <c r="AC2011"/>
    </row>
    <row r="2012" spans="1:29" x14ac:dyDescent="0.25">
      <c r="AB2012"/>
      <c r="AC2012"/>
    </row>
    <row r="2013" spans="1:29" x14ac:dyDescent="0.25">
      <c r="AB2013"/>
      <c r="AC2013"/>
    </row>
    <row r="2014" spans="1:29" x14ac:dyDescent="0.25">
      <c r="AB2014"/>
      <c r="AC2014"/>
    </row>
    <row r="2015" spans="1:29" x14ac:dyDescent="0.25">
      <c r="AB2015"/>
      <c r="AC2015"/>
    </row>
    <row r="2016" spans="1:29" x14ac:dyDescent="0.25">
      <c r="AB2016"/>
      <c r="AC2016"/>
    </row>
    <row r="2017" spans="28:29" x14ac:dyDescent="0.25">
      <c r="AB2017"/>
      <c r="AC2017"/>
    </row>
    <row r="2018" spans="28:29" x14ac:dyDescent="0.25">
      <c r="AB2018"/>
      <c r="AC2018"/>
    </row>
    <row r="2019" spans="28:29" x14ac:dyDescent="0.25">
      <c r="AB2019"/>
      <c r="AC2019"/>
    </row>
    <row r="2020" spans="28:29" x14ac:dyDescent="0.25">
      <c r="AB2020"/>
      <c r="AC2020"/>
    </row>
    <row r="2021" spans="28:29" x14ac:dyDescent="0.25">
      <c r="AB2021"/>
      <c r="AC2021"/>
    </row>
    <row r="2022" spans="28:29" x14ac:dyDescent="0.25">
      <c r="AB2022"/>
      <c r="AC2022"/>
    </row>
    <row r="2023" spans="28:29" x14ac:dyDescent="0.25">
      <c r="AB2023"/>
      <c r="AC2023"/>
    </row>
    <row r="2024" spans="28:29" x14ac:dyDescent="0.25">
      <c r="AB2024"/>
      <c r="AC2024"/>
    </row>
    <row r="2025" spans="28:29" x14ac:dyDescent="0.25">
      <c r="AB2025"/>
      <c r="AC2025"/>
    </row>
    <row r="2026" spans="28:29" x14ac:dyDescent="0.25">
      <c r="AB2026"/>
      <c r="AC2026"/>
    </row>
    <row r="2027" spans="28:29" x14ac:dyDescent="0.25">
      <c r="AB2027"/>
      <c r="AC2027"/>
    </row>
    <row r="2028" spans="28:29" x14ac:dyDescent="0.25">
      <c r="AB2028"/>
      <c r="AC2028"/>
    </row>
    <row r="2029" spans="28:29" x14ac:dyDescent="0.25">
      <c r="AB2029"/>
      <c r="AC2029"/>
    </row>
    <row r="2030" spans="28:29" x14ac:dyDescent="0.25">
      <c r="AB2030"/>
      <c r="AC2030"/>
    </row>
    <row r="2031" spans="28:29" x14ac:dyDescent="0.25">
      <c r="AB2031"/>
      <c r="AC2031"/>
    </row>
    <row r="2032" spans="28:29" x14ac:dyDescent="0.25">
      <c r="AB2032"/>
      <c r="AC2032"/>
    </row>
    <row r="2033" spans="28:29" x14ac:dyDescent="0.25">
      <c r="AB2033"/>
      <c r="AC2033"/>
    </row>
    <row r="2034" spans="28:29" x14ac:dyDescent="0.25">
      <c r="AB2034"/>
      <c r="AC2034"/>
    </row>
    <row r="2035" spans="28:29" x14ac:dyDescent="0.25">
      <c r="AB2035"/>
      <c r="AC2035"/>
    </row>
    <row r="2036" spans="28:29" x14ac:dyDescent="0.25">
      <c r="AB2036"/>
      <c r="AC2036"/>
    </row>
    <row r="2037" spans="28:29" x14ac:dyDescent="0.25">
      <c r="AB2037"/>
      <c r="AC2037"/>
    </row>
    <row r="2038" spans="28:29" x14ac:dyDescent="0.25">
      <c r="AB2038"/>
      <c r="AC2038"/>
    </row>
    <row r="2039" spans="28:29" x14ac:dyDescent="0.25">
      <c r="AB2039"/>
      <c r="AC2039"/>
    </row>
    <row r="2040" spans="28:29" x14ac:dyDescent="0.25">
      <c r="AB2040"/>
      <c r="AC2040"/>
    </row>
    <row r="2041" spans="28:29" x14ac:dyDescent="0.25">
      <c r="AB2041"/>
      <c r="AC2041"/>
    </row>
    <row r="2042" spans="28:29" x14ac:dyDescent="0.25">
      <c r="AB2042"/>
      <c r="AC2042"/>
    </row>
    <row r="2043" spans="28:29" x14ac:dyDescent="0.25">
      <c r="AB2043"/>
      <c r="AC2043"/>
    </row>
    <row r="2044" spans="28:29" x14ac:dyDescent="0.25">
      <c r="AB2044"/>
      <c r="AC2044"/>
    </row>
    <row r="2045" spans="28:29" x14ac:dyDescent="0.25">
      <c r="AB2045"/>
      <c r="AC2045"/>
    </row>
    <row r="2046" spans="28:29" x14ac:dyDescent="0.25">
      <c r="AB2046"/>
      <c r="AC2046"/>
    </row>
    <row r="2047" spans="28:29" x14ac:dyDescent="0.25">
      <c r="AB2047"/>
      <c r="AC2047"/>
    </row>
    <row r="2048" spans="28:29" x14ac:dyDescent="0.25">
      <c r="AB2048"/>
      <c r="AC2048"/>
    </row>
    <row r="2049" spans="28:29" x14ac:dyDescent="0.25">
      <c r="AB2049"/>
      <c r="AC2049"/>
    </row>
    <row r="2050" spans="28:29" x14ac:dyDescent="0.25">
      <c r="AB2050"/>
      <c r="AC2050"/>
    </row>
    <row r="2051" spans="28:29" x14ac:dyDescent="0.25">
      <c r="AB2051"/>
      <c r="AC2051"/>
    </row>
    <row r="2052" spans="28:29" x14ac:dyDescent="0.25">
      <c r="AB2052"/>
      <c r="AC2052"/>
    </row>
    <row r="2053" spans="28:29" x14ac:dyDescent="0.25">
      <c r="AB2053"/>
      <c r="AC2053"/>
    </row>
    <row r="2054" spans="28:29" x14ac:dyDescent="0.25">
      <c r="AB2054"/>
      <c r="AC2054"/>
    </row>
    <row r="2055" spans="28:29" x14ac:dyDescent="0.25">
      <c r="AB2055"/>
      <c r="AC2055"/>
    </row>
    <row r="2056" spans="28:29" x14ac:dyDescent="0.25">
      <c r="AB2056"/>
      <c r="AC2056"/>
    </row>
    <row r="2057" spans="28:29" x14ac:dyDescent="0.25">
      <c r="AB2057"/>
      <c r="AC2057"/>
    </row>
    <row r="2058" spans="28:29" x14ac:dyDescent="0.25">
      <c r="AB2058"/>
      <c r="AC2058"/>
    </row>
    <row r="2059" spans="28:29" x14ac:dyDescent="0.25">
      <c r="AB2059"/>
      <c r="AC2059"/>
    </row>
    <row r="2060" spans="28:29" x14ac:dyDescent="0.25">
      <c r="AB2060"/>
      <c r="AC2060"/>
    </row>
    <row r="2061" spans="28:29" x14ac:dyDescent="0.25">
      <c r="AB2061"/>
      <c r="AC2061"/>
    </row>
    <row r="2062" spans="28:29" x14ac:dyDescent="0.25">
      <c r="AB2062"/>
      <c r="AC2062"/>
    </row>
    <row r="2063" spans="28:29" x14ac:dyDescent="0.25">
      <c r="AB2063"/>
      <c r="AC2063"/>
    </row>
    <row r="2064" spans="28:29" x14ac:dyDescent="0.25">
      <c r="AB2064"/>
      <c r="AC2064"/>
    </row>
    <row r="2065" spans="28:29" x14ac:dyDescent="0.25">
      <c r="AB2065"/>
      <c r="AC2065"/>
    </row>
    <row r="2066" spans="28:29" x14ac:dyDescent="0.25">
      <c r="AB2066"/>
      <c r="AC2066"/>
    </row>
    <row r="2067" spans="28:29" x14ac:dyDescent="0.25">
      <c r="AB2067"/>
      <c r="AC2067"/>
    </row>
    <row r="2068" spans="28:29" x14ac:dyDescent="0.25">
      <c r="AB2068"/>
      <c r="AC2068"/>
    </row>
    <row r="2069" spans="28:29" x14ac:dyDescent="0.25">
      <c r="AB2069"/>
      <c r="AC2069"/>
    </row>
    <row r="2070" spans="28:29" x14ac:dyDescent="0.25">
      <c r="AB2070"/>
      <c r="AC2070"/>
    </row>
    <row r="2071" spans="28:29" x14ac:dyDescent="0.25">
      <c r="AB2071"/>
      <c r="AC2071"/>
    </row>
    <row r="2072" spans="28:29" x14ac:dyDescent="0.25">
      <c r="AB2072"/>
      <c r="AC2072"/>
    </row>
    <row r="2073" spans="28:29" x14ac:dyDescent="0.25">
      <c r="AB2073"/>
      <c r="AC2073"/>
    </row>
    <row r="2074" spans="28:29" x14ac:dyDescent="0.25">
      <c r="AB2074"/>
      <c r="AC2074"/>
    </row>
    <row r="2075" spans="28:29" x14ac:dyDescent="0.25">
      <c r="AB2075"/>
      <c r="AC2075"/>
    </row>
    <row r="2076" spans="28:29" x14ac:dyDescent="0.25">
      <c r="AB2076"/>
      <c r="AC2076"/>
    </row>
    <row r="2077" spans="28:29" x14ac:dyDescent="0.25">
      <c r="AB2077"/>
      <c r="AC2077"/>
    </row>
    <row r="2078" spans="28:29" x14ac:dyDescent="0.25">
      <c r="AB2078"/>
      <c r="AC2078"/>
    </row>
    <row r="2079" spans="28:29" x14ac:dyDescent="0.25">
      <c r="AB2079"/>
      <c r="AC2079"/>
    </row>
    <row r="2080" spans="28:29" x14ac:dyDescent="0.25">
      <c r="AB2080"/>
      <c r="AC2080"/>
    </row>
    <row r="2081" spans="28:29" x14ac:dyDescent="0.25">
      <c r="AB2081"/>
      <c r="AC2081"/>
    </row>
    <row r="2082" spans="28:29" x14ac:dyDescent="0.25">
      <c r="AB2082"/>
      <c r="AC2082"/>
    </row>
    <row r="2083" spans="28:29" x14ac:dyDescent="0.25">
      <c r="AB2083"/>
      <c r="AC2083"/>
    </row>
    <row r="2084" spans="28:29" x14ac:dyDescent="0.25">
      <c r="AB2084"/>
      <c r="AC2084"/>
    </row>
    <row r="2085" spans="28:29" x14ac:dyDescent="0.25">
      <c r="AB2085"/>
      <c r="AC2085"/>
    </row>
    <row r="2086" spans="28:29" x14ac:dyDescent="0.25">
      <c r="AB2086"/>
      <c r="AC2086"/>
    </row>
    <row r="2087" spans="28:29" x14ac:dyDescent="0.25">
      <c r="AB2087"/>
      <c r="AC2087"/>
    </row>
    <row r="2088" spans="28:29" x14ac:dyDescent="0.25">
      <c r="AB2088"/>
      <c r="AC2088"/>
    </row>
    <row r="2089" spans="28:29" x14ac:dyDescent="0.25">
      <c r="AB2089"/>
      <c r="AC2089"/>
    </row>
    <row r="2090" spans="28:29" x14ac:dyDescent="0.25">
      <c r="AB2090"/>
      <c r="AC2090"/>
    </row>
    <row r="2091" spans="28:29" x14ac:dyDescent="0.25">
      <c r="AB2091"/>
      <c r="AC2091"/>
    </row>
    <row r="2092" spans="28:29" x14ac:dyDescent="0.25">
      <c r="AB2092"/>
      <c r="AC2092"/>
    </row>
    <row r="2093" spans="28:29" x14ac:dyDescent="0.25">
      <c r="AB2093"/>
      <c r="AC2093"/>
    </row>
    <row r="2094" spans="28:29" x14ac:dyDescent="0.25">
      <c r="AB2094"/>
      <c r="AC2094"/>
    </row>
    <row r="2095" spans="28:29" x14ac:dyDescent="0.25">
      <c r="AB2095"/>
      <c r="AC2095"/>
    </row>
    <row r="2096" spans="28:29" x14ac:dyDescent="0.25">
      <c r="AB2096"/>
      <c r="AC2096"/>
    </row>
    <row r="2097" spans="28:29" x14ac:dyDescent="0.25">
      <c r="AB2097"/>
      <c r="AC2097"/>
    </row>
    <row r="2098" spans="28:29" x14ac:dyDescent="0.25">
      <c r="AB2098"/>
      <c r="AC2098"/>
    </row>
    <row r="2099" spans="28:29" x14ac:dyDescent="0.25">
      <c r="AB2099"/>
      <c r="AC2099"/>
    </row>
    <row r="2100" spans="28:29" x14ac:dyDescent="0.25">
      <c r="AB2100"/>
      <c r="AC2100"/>
    </row>
    <row r="2101" spans="28:29" x14ac:dyDescent="0.25">
      <c r="AB2101"/>
      <c r="AC2101"/>
    </row>
    <row r="2102" spans="28:29" x14ac:dyDescent="0.25">
      <c r="AB2102"/>
      <c r="AC2102"/>
    </row>
    <row r="2103" spans="28:29" x14ac:dyDescent="0.25">
      <c r="AB2103"/>
      <c r="AC2103"/>
    </row>
    <row r="2104" spans="28:29" x14ac:dyDescent="0.25">
      <c r="AB2104"/>
      <c r="AC2104"/>
    </row>
    <row r="2105" spans="28:29" x14ac:dyDescent="0.25">
      <c r="AB2105"/>
      <c r="AC2105"/>
    </row>
    <row r="2106" spans="28:29" x14ac:dyDescent="0.25">
      <c r="AB2106"/>
      <c r="AC2106"/>
    </row>
    <row r="2107" spans="28:29" x14ac:dyDescent="0.25">
      <c r="AB2107"/>
      <c r="AC2107"/>
    </row>
    <row r="2108" spans="28:29" x14ac:dyDescent="0.25">
      <c r="AB2108"/>
      <c r="AC2108"/>
    </row>
    <row r="2109" spans="28:29" x14ac:dyDescent="0.25">
      <c r="AB2109"/>
      <c r="AC2109"/>
    </row>
    <row r="2110" spans="28:29" x14ac:dyDescent="0.25">
      <c r="AB2110"/>
      <c r="AC2110"/>
    </row>
    <row r="2111" spans="28:29" x14ac:dyDescent="0.25">
      <c r="AB2111"/>
      <c r="AC2111"/>
    </row>
    <row r="2112" spans="28:29" x14ac:dyDescent="0.25">
      <c r="AB2112"/>
      <c r="AC2112"/>
    </row>
    <row r="2113" spans="28:29" x14ac:dyDescent="0.25">
      <c r="AB2113"/>
      <c r="AC2113"/>
    </row>
    <row r="2114" spans="28:29" x14ac:dyDescent="0.25">
      <c r="AB2114"/>
      <c r="AC2114"/>
    </row>
    <row r="2115" spans="28:29" x14ac:dyDescent="0.25">
      <c r="AB2115"/>
      <c r="AC2115"/>
    </row>
    <row r="2116" spans="28:29" x14ac:dyDescent="0.25">
      <c r="AB2116"/>
      <c r="AC2116"/>
    </row>
    <row r="2117" spans="28:29" x14ac:dyDescent="0.25">
      <c r="AB2117"/>
      <c r="AC2117"/>
    </row>
    <row r="2118" spans="28:29" x14ac:dyDescent="0.25">
      <c r="AB2118"/>
      <c r="AC2118"/>
    </row>
    <row r="2119" spans="28:29" x14ac:dyDescent="0.25">
      <c r="AB2119"/>
      <c r="AC2119"/>
    </row>
    <row r="2120" spans="28:29" x14ac:dyDescent="0.25">
      <c r="AB2120"/>
      <c r="AC2120"/>
    </row>
    <row r="2121" spans="28:29" x14ac:dyDescent="0.25">
      <c r="AB2121"/>
      <c r="AC2121"/>
    </row>
    <row r="2122" spans="28:29" x14ac:dyDescent="0.25">
      <c r="AB2122"/>
      <c r="AC2122"/>
    </row>
    <row r="2123" spans="28:29" x14ac:dyDescent="0.25">
      <c r="AB2123"/>
      <c r="AC2123"/>
    </row>
    <row r="2124" spans="28:29" x14ac:dyDescent="0.25">
      <c r="AB2124"/>
      <c r="AC2124"/>
    </row>
    <row r="2125" spans="28:29" x14ac:dyDescent="0.25">
      <c r="AB2125"/>
      <c r="AC2125"/>
    </row>
    <row r="2126" spans="28:29" x14ac:dyDescent="0.25">
      <c r="AB2126"/>
      <c r="AC2126"/>
    </row>
    <row r="2127" spans="28:29" x14ac:dyDescent="0.25">
      <c r="AB2127"/>
      <c r="AC2127"/>
    </row>
    <row r="2128" spans="28:29" x14ac:dyDescent="0.25">
      <c r="AB2128"/>
      <c r="AC2128"/>
    </row>
    <row r="2129" spans="28:29" x14ac:dyDescent="0.25">
      <c r="AB2129"/>
      <c r="AC2129"/>
    </row>
    <row r="2130" spans="28:29" x14ac:dyDescent="0.25">
      <c r="AB2130"/>
      <c r="AC2130"/>
    </row>
    <row r="2131" spans="28:29" x14ac:dyDescent="0.25">
      <c r="AB2131"/>
      <c r="AC2131"/>
    </row>
    <row r="2132" spans="28:29" x14ac:dyDescent="0.25">
      <c r="AB2132"/>
      <c r="AC2132"/>
    </row>
    <row r="2133" spans="28:29" x14ac:dyDescent="0.25">
      <c r="AB2133"/>
      <c r="AC2133"/>
    </row>
    <row r="2134" spans="28:29" x14ac:dyDescent="0.25">
      <c r="AB2134"/>
      <c r="AC2134"/>
    </row>
    <row r="2135" spans="28:29" x14ac:dyDescent="0.25">
      <c r="AB2135"/>
      <c r="AC2135"/>
    </row>
    <row r="2136" spans="28:29" x14ac:dyDescent="0.25">
      <c r="AB2136"/>
      <c r="AC2136"/>
    </row>
    <row r="2137" spans="28:29" x14ac:dyDescent="0.25">
      <c r="AB2137"/>
      <c r="AC2137"/>
    </row>
    <row r="2138" spans="28:29" x14ac:dyDescent="0.25">
      <c r="AB2138"/>
      <c r="AC2138"/>
    </row>
    <row r="2139" spans="28:29" x14ac:dyDescent="0.25">
      <c r="AB2139"/>
      <c r="AC2139"/>
    </row>
    <row r="2140" spans="28:29" x14ac:dyDescent="0.25">
      <c r="AB2140"/>
      <c r="AC2140"/>
    </row>
    <row r="2141" spans="28:29" x14ac:dyDescent="0.25">
      <c r="AB2141"/>
      <c r="AC2141"/>
    </row>
    <row r="2142" spans="28:29" x14ac:dyDescent="0.25">
      <c r="AB2142"/>
      <c r="AC2142"/>
    </row>
    <row r="2143" spans="28:29" x14ac:dyDescent="0.25">
      <c r="AB2143"/>
      <c r="AC2143"/>
    </row>
    <row r="2144" spans="28:29" x14ac:dyDescent="0.25">
      <c r="AB2144"/>
      <c r="AC2144"/>
    </row>
    <row r="2145" spans="28:29" x14ac:dyDescent="0.25">
      <c r="AB2145"/>
      <c r="AC2145"/>
    </row>
    <row r="2146" spans="28:29" x14ac:dyDescent="0.25">
      <c r="AB2146"/>
      <c r="AC2146"/>
    </row>
    <row r="2147" spans="28:29" x14ac:dyDescent="0.25">
      <c r="AB2147"/>
      <c r="AC2147"/>
    </row>
    <row r="2148" spans="28:29" x14ac:dyDescent="0.25">
      <c r="AB2148"/>
      <c r="AC2148"/>
    </row>
    <row r="2149" spans="28:29" x14ac:dyDescent="0.25">
      <c r="AB2149"/>
      <c r="AC2149"/>
    </row>
    <row r="2150" spans="28:29" x14ac:dyDescent="0.25">
      <c r="AB2150"/>
      <c r="AC2150"/>
    </row>
    <row r="2151" spans="28:29" x14ac:dyDescent="0.25">
      <c r="AB2151"/>
      <c r="AC2151"/>
    </row>
    <row r="2152" spans="28:29" x14ac:dyDescent="0.25">
      <c r="AB2152"/>
      <c r="AC2152"/>
    </row>
    <row r="2153" spans="28:29" x14ac:dyDescent="0.25">
      <c r="AB2153"/>
      <c r="AC2153"/>
    </row>
    <row r="2154" spans="28:29" x14ac:dyDescent="0.25">
      <c r="AB2154"/>
      <c r="AC2154"/>
    </row>
    <row r="2155" spans="28:29" x14ac:dyDescent="0.25">
      <c r="AB2155"/>
      <c r="AC2155"/>
    </row>
    <row r="2156" spans="28:29" x14ac:dyDescent="0.25">
      <c r="AB2156"/>
      <c r="AC2156"/>
    </row>
    <row r="2157" spans="28:29" x14ac:dyDescent="0.25">
      <c r="AB2157"/>
      <c r="AC2157"/>
    </row>
    <row r="2158" spans="28:29" x14ac:dyDescent="0.25">
      <c r="AB2158"/>
      <c r="AC2158"/>
    </row>
    <row r="2159" spans="28:29" x14ac:dyDescent="0.25">
      <c r="AB2159"/>
      <c r="AC2159"/>
    </row>
    <row r="2160" spans="28:29" x14ac:dyDescent="0.25">
      <c r="AB2160"/>
      <c r="AC2160"/>
    </row>
    <row r="2161" spans="28:29" x14ac:dyDescent="0.25">
      <c r="AB2161"/>
      <c r="AC2161"/>
    </row>
    <row r="2162" spans="28:29" x14ac:dyDescent="0.25">
      <c r="AB2162"/>
      <c r="AC2162"/>
    </row>
    <row r="2163" spans="28:29" x14ac:dyDescent="0.25">
      <c r="AB2163"/>
      <c r="AC2163"/>
    </row>
    <row r="2164" spans="28:29" x14ac:dyDescent="0.25">
      <c r="AB2164"/>
      <c r="AC2164"/>
    </row>
    <row r="2165" spans="28:29" x14ac:dyDescent="0.25">
      <c r="AB2165"/>
      <c r="AC2165"/>
    </row>
    <row r="2166" spans="28:29" x14ac:dyDescent="0.25">
      <c r="AB2166"/>
      <c r="AC2166"/>
    </row>
    <row r="2167" spans="28:29" x14ac:dyDescent="0.25">
      <c r="AB2167"/>
      <c r="AC2167"/>
    </row>
    <row r="2168" spans="28:29" x14ac:dyDescent="0.25">
      <c r="AB2168"/>
      <c r="AC2168"/>
    </row>
    <row r="2169" spans="28:29" x14ac:dyDescent="0.25">
      <c r="AB2169"/>
      <c r="AC2169"/>
    </row>
    <row r="2170" spans="28:29" x14ac:dyDescent="0.25">
      <c r="AB2170"/>
      <c r="AC2170"/>
    </row>
    <row r="2171" spans="28:29" x14ac:dyDescent="0.25">
      <c r="AB2171"/>
      <c r="AC2171"/>
    </row>
    <row r="2172" spans="28:29" x14ac:dyDescent="0.25">
      <c r="AB2172"/>
      <c r="AC2172"/>
    </row>
    <row r="2173" spans="28:29" x14ac:dyDescent="0.25">
      <c r="AB2173"/>
      <c r="AC2173"/>
    </row>
    <row r="2174" spans="28:29" x14ac:dyDescent="0.25">
      <c r="AB2174"/>
      <c r="AC2174"/>
    </row>
    <row r="2175" spans="28:29" x14ac:dyDescent="0.25">
      <c r="AB2175"/>
      <c r="AC2175"/>
    </row>
    <row r="2176" spans="28:29" x14ac:dyDescent="0.25">
      <c r="AB2176"/>
      <c r="AC2176"/>
    </row>
    <row r="2177" spans="28:29" x14ac:dyDescent="0.25">
      <c r="AB2177"/>
      <c r="AC2177"/>
    </row>
    <row r="2178" spans="28:29" x14ac:dyDescent="0.25">
      <c r="AB2178"/>
      <c r="AC2178"/>
    </row>
    <row r="2179" spans="28:29" x14ac:dyDescent="0.25">
      <c r="AB2179"/>
      <c r="AC2179"/>
    </row>
    <row r="2180" spans="28:29" x14ac:dyDescent="0.25">
      <c r="AB2180"/>
      <c r="AC2180"/>
    </row>
    <row r="2181" spans="28:29" x14ac:dyDescent="0.25">
      <c r="AB2181"/>
      <c r="AC2181"/>
    </row>
    <row r="2182" spans="28:29" x14ac:dyDescent="0.25">
      <c r="AB2182"/>
      <c r="AC2182"/>
    </row>
    <row r="2183" spans="28:29" x14ac:dyDescent="0.25">
      <c r="AB2183"/>
      <c r="AC2183"/>
    </row>
    <row r="2184" spans="28:29" x14ac:dyDescent="0.25">
      <c r="AB2184"/>
      <c r="AC2184"/>
    </row>
    <row r="2185" spans="28:29" x14ac:dyDescent="0.25">
      <c r="AB2185"/>
      <c r="AC2185"/>
    </row>
    <row r="2186" spans="28:29" x14ac:dyDescent="0.25">
      <c r="AB2186"/>
      <c r="AC2186"/>
    </row>
    <row r="2187" spans="28:29" x14ac:dyDescent="0.25">
      <c r="AB2187"/>
      <c r="AC2187"/>
    </row>
    <row r="2188" spans="28:29" x14ac:dyDescent="0.25">
      <c r="AB2188"/>
      <c r="AC2188"/>
    </row>
    <row r="2189" spans="28:29" x14ac:dyDescent="0.25">
      <c r="AB2189"/>
      <c r="AC2189"/>
    </row>
    <row r="2190" spans="28:29" x14ac:dyDescent="0.25">
      <c r="AB2190"/>
      <c r="AC2190"/>
    </row>
    <row r="2191" spans="28:29" x14ac:dyDescent="0.25">
      <c r="AB2191"/>
      <c r="AC2191"/>
    </row>
    <row r="2192" spans="28:29" x14ac:dyDescent="0.25">
      <c r="AB2192"/>
      <c r="AC2192"/>
    </row>
    <row r="2193" spans="28:29" x14ac:dyDescent="0.25">
      <c r="AB2193"/>
      <c r="AC2193"/>
    </row>
    <row r="2194" spans="28:29" x14ac:dyDescent="0.25">
      <c r="AB2194"/>
      <c r="AC2194"/>
    </row>
    <row r="2195" spans="28:29" x14ac:dyDescent="0.25">
      <c r="AB2195"/>
      <c r="AC2195"/>
    </row>
    <row r="2196" spans="28:29" x14ac:dyDescent="0.25">
      <c r="AB2196"/>
      <c r="AC2196"/>
    </row>
    <row r="2197" spans="28:29" x14ac:dyDescent="0.25">
      <c r="AB2197"/>
      <c r="AC2197"/>
    </row>
    <row r="2198" spans="28:29" x14ac:dyDescent="0.25">
      <c r="AB2198"/>
      <c r="AC2198"/>
    </row>
    <row r="2199" spans="28:29" x14ac:dyDescent="0.25">
      <c r="AB2199"/>
      <c r="AC2199"/>
    </row>
    <row r="2200" spans="28:29" x14ac:dyDescent="0.25">
      <c r="AB2200"/>
      <c r="AC2200"/>
    </row>
    <row r="2201" spans="28:29" x14ac:dyDescent="0.25">
      <c r="AB2201"/>
      <c r="AC2201"/>
    </row>
    <row r="2202" spans="28:29" x14ac:dyDescent="0.25">
      <c r="AB2202"/>
      <c r="AC2202"/>
    </row>
    <row r="2203" spans="28:29" x14ac:dyDescent="0.25">
      <c r="AB2203"/>
      <c r="AC2203"/>
    </row>
    <row r="2204" spans="28:29" x14ac:dyDescent="0.25">
      <c r="AB2204"/>
      <c r="AC2204"/>
    </row>
    <row r="2205" spans="28:29" x14ac:dyDescent="0.25">
      <c r="AB2205"/>
      <c r="AC2205"/>
    </row>
    <row r="2206" spans="28:29" x14ac:dyDescent="0.25">
      <c r="AB2206"/>
      <c r="AC2206"/>
    </row>
    <row r="2207" spans="28:29" x14ac:dyDescent="0.25">
      <c r="AB2207"/>
      <c r="AC2207"/>
    </row>
    <row r="2208" spans="28:29" x14ac:dyDescent="0.25">
      <c r="AB2208"/>
      <c r="AC2208"/>
    </row>
    <row r="2209" spans="28:29" x14ac:dyDescent="0.25">
      <c r="AB2209"/>
      <c r="AC2209"/>
    </row>
    <row r="2210" spans="28:29" x14ac:dyDescent="0.25">
      <c r="AB2210"/>
      <c r="AC2210"/>
    </row>
    <row r="2211" spans="28:29" x14ac:dyDescent="0.25">
      <c r="AB2211"/>
      <c r="AC2211"/>
    </row>
    <row r="2212" spans="28:29" x14ac:dyDescent="0.25">
      <c r="AB2212"/>
      <c r="AC2212"/>
    </row>
    <row r="2213" spans="28:29" x14ac:dyDescent="0.25">
      <c r="AB2213"/>
      <c r="AC2213"/>
    </row>
    <row r="2214" spans="28:29" x14ac:dyDescent="0.25">
      <c r="AB2214"/>
      <c r="AC2214"/>
    </row>
    <row r="2215" spans="28:29" x14ac:dyDescent="0.25">
      <c r="AB2215"/>
      <c r="AC2215"/>
    </row>
    <row r="2216" spans="28:29" x14ac:dyDescent="0.25">
      <c r="AB2216"/>
      <c r="AC2216"/>
    </row>
    <row r="2217" spans="28:29" x14ac:dyDescent="0.25">
      <c r="AB2217"/>
      <c r="AC2217"/>
    </row>
    <row r="2218" spans="28:29" x14ac:dyDescent="0.25">
      <c r="AB2218"/>
      <c r="AC2218"/>
    </row>
    <row r="2219" spans="28:29" x14ac:dyDescent="0.25">
      <c r="AB2219"/>
      <c r="AC2219"/>
    </row>
    <row r="2220" spans="28:29" x14ac:dyDescent="0.25">
      <c r="AB2220"/>
      <c r="AC2220"/>
    </row>
    <row r="2221" spans="28:29" x14ac:dyDescent="0.25">
      <c r="AB2221"/>
      <c r="AC2221"/>
    </row>
    <row r="2222" spans="28:29" x14ac:dyDescent="0.25">
      <c r="AB2222"/>
      <c r="AC2222"/>
    </row>
    <row r="2223" spans="28:29" x14ac:dyDescent="0.25">
      <c r="AB2223"/>
      <c r="AC2223"/>
    </row>
    <row r="2224" spans="28:29" x14ac:dyDescent="0.25">
      <c r="AB2224"/>
      <c r="AC2224"/>
    </row>
    <row r="2225" spans="28:29" x14ac:dyDescent="0.25">
      <c r="AB2225"/>
      <c r="AC2225"/>
    </row>
    <row r="2226" spans="28:29" x14ac:dyDescent="0.25">
      <c r="AB2226"/>
      <c r="AC2226"/>
    </row>
    <row r="2227" spans="28:29" x14ac:dyDescent="0.25">
      <c r="AB2227"/>
      <c r="AC2227"/>
    </row>
    <row r="2228" spans="28:29" x14ac:dyDescent="0.25">
      <c r="AB2228"/>
      <c r="AC2228"/>
    </row>
    <row r="2229" spans="28:29" x14ac:dyDescent="0.25">
      <c r="AB2229"/>
      <c r="AC2229"/>
    </row>
    <row r="2230" spans="28:29" x14ac:dyDescent="0.25">
      <c r="AB2230"/>
      <c r="AC2230"/>
    </row>
    <row r="2231" spans="28:29" x14ac:dyDescent="0.25">
      <c r="AB2231"/>
      <c r="AC2231"/>
    </row>
    <row r="2232" spans="28:29" x14ac:dyDescent="0.25">
      <c r="AB2232"/>
      <c r="AC2232"/>
    </row>
    <row r="2233" spans="28:29" x14ac:dyDescent="0.25">
      <c r="AB2233"/>
      <c r="AC2233"/>
    </row>
    <row r="2234" spans="28:29" x14ac:dyDescent="0.25">
      <c r="AB2234"/>
      <c r="AC2234"/>
    </row>
    <row r="2235" spans="28:29" x14ac:dyDescent="0.25">
      <c r="AB2235"/>
      <c r="AC2235"/>
    </row>
    <row r="2236" spans="28:29" x14ac:dyDescent="0.25">
      <c r="AB2236"/>
      <c r="AC2236"/>
    </row>
    <row r="2237" spans="28:29" x14ac:dyDescent="0.25">
      <c r="AB2237"/>
      <c r="AC2237"/>
    </row>
    <row r="2238" spans="28:29" x14ac:dyDescent="0.25">
      <c r="AB2238"/>
      <c r="AC2238"/>
    </row>
    <row r="2239" spans="28:29" x14ac:dyDescent="0.25">
      <c r="AB2239"/>
      <c r="AC2239"/>
    </row>
    <row r="2240" spans="28:29" x14ac:dyDescent="0.25">
      <c r="AB2240"/>
      <c r="AC2240"/>
    </row>
    <row r="2241" spans="28:29" x14ac:dyDescent="0.25">
      <c r="AB2241"/>
      <c r="AC2241"/>
    </row>
    <row r="2242" spans="28:29" x14ac:dyDescent="0.25">
      <c r="AB2242" s="93"/>
      <c r="AC2242"/>
    </row>
    <row r="2243" spans="28:29" x14ac:dyDescent="0.25">
      <c r="AB2243" s="93"/>
      <c r="AC2243"/>
    </row>
    <row r="2244" spans="28:29" x14ac:dyDescent="0.25">
      <c r="AB2244" s="93"/>
      <c r="AC2244"/>
    </row>
    <row r="2245" spans="28:29" x14ac:dyDescent="0.25">
      <c r="AB2245" s="93"/>
      <c r="AC2245"/>
    </row>
    <row r="2246" spans="28:29" x14ac:dyDescent="0.25">
      <c r="AB2246" s="93"/>
      <c r="AC2246"/>
    </row>
    <row r="2247" spans="28:29" x14ac:dyDescent="0.25">
      <c r="AB2247" s="93"/>
      <c r="AC2247"/>
    </row>
    <row r="2248" spans="28:29" x14ac:dyDescent="0.25">
      <c r="AB2248" s="93"/>
      <c r="AC2248"/>
    </row>
    <row r="2249" spans="28:29" x14ac:dyDescent="0.25">
      <c r="AB2249" s="93"/>
      <c r="AC2249"/>
    </row>
    <row r="2250" spans="28:29" x14ac:dyDescent="0.25">
      <c r="AB2250" s="93"/>
      <c r="AC2250"/>
    </row>
    <row r="2251" spans="28:29" x14ac:dyDescent="0.25">
      <c r="AB2251" s="93"/>
      <c r="AC2251"/>
    </row>
    <row r="2252" spans="28:29" x14ac:dyDescent="0.25">
      <c r="AB2252" s="93"/>
      <c r="AC2252"/>
    </row>
    <row r="2253" spans="28:29" x14ac:dyDescent="0.25">
      <c r="AB2253" s="93"/>
      <c r="AC2253"/>
    </row>
    <row r="2254" spans="28:29" x14ac:dyDescent="0.25">
      <c r="AB2254" s="93"/>
      <c r="AC2254"/>
    </row>
    <row r="2255" spans="28:29" x14ac:dyDescent="0.25">
      <c r="AB2255" s="93"/>
      <c r="AC2255"/>
    </row>
    <row r="2256" spans="28:29" x14ac:dyDescent="0.25">
      <c r="AB2256" s="93"/>
      <c r="AC2256"/>
    </row>
    <row r="2257" spans="28:29" x14ac:dyDescent="0.25">
      <c r="AB2257" s="93"/>
      <c r="AC2257"/>
    </row>
    <row r="2258" spans="28:29" x14ac:dyDescent="0.25">
      <c r="AB2258" s="93"/>
      <c r="AC2258"/>
    </row>
    <row r="2259" spans="28:29" x14ac:dyDescent="0.25">
      <c r="AB2259" s="93"/>
      <c r="AC2259"/>
    </row>
    <row r="2260" spans="28:29" x14ac:dyDescent="0.25">
      <c r="AB2260" s="93"/>
      <c r="AC2260"/>
    </row>
    <row r="2261" spans="28:29" x14ac:dyDescent="0.25">
      <c r="AB2261" s="93"/>
      <c r="AC2261"/>
    </row>
    <row r="2262" spans="28:29" x14ac:dyDescent="0.25">
      <c r="AB2262" s="93"/>
      <c r="AC2262"/>
    </row>
    <row r="2263" spans="28:29" x14ac:dyDescent="0.25">
      <c r="AB2263" s="93"/>
      <c r="AC2263"/>
    </row>
    <row r="2264" spans="28:29" x14ac:dyDescent="0.25">
      <c r="AB2264" s="93"/>
      <c r="AC2264"/>
    </row>
    <row r="2265" spans="28:29" x14ac:dyDescent="0.25">
      <c r="AB2265" s="93"/>
      <c r="AC2265"/>
    </row>
    <row r="2266" spans="28:29" x14ac:dyDescent="0.25">
      <c r="AB2266" s="93"/>
      <c r="AC2266"/>
    </row>
    <row r="2267" spans="28:29" x14ac:dyDescent="0.25">
      <c r="AB2267" s="93"/>
      <c r="AC2267"/>
    </row>
    <row r="2268" spans="28:29" x14ac:dyDescent="0.25">
      <c r="AB2268" s="93"/>
      <c r="AC2268"/>
    </row>
    <row r="2269" spans="28:29" x14ac:dyDescent="0.25">
      <c r="AB2269" s="93"/>
      <c r="AC2269"/>
    </row>
    <row r="2270" spans="28:29" x14ac:dyDescent="0.25">
      <c r="AB2270" s="93"/>
      <c r="AC2270"/>
    </row>
    <row r="2271" spans="28:29" x14ac:dyDescent="0.25">
      <c r="AB2271" s="93"/>
      <c r="AC2271"/>
    </row>
    <row r="2272" spans="28:29" x14ac:dyDescent="0.25">
      <c r="AB2272" s="93"/>
      <c r="AC2272"/>
    </row>
    <row r="2273" spans="28:29" x14ac:dyDescent="0.25">
      <c r="AB2273" s="93"/>
      <c r="AC2273"/>
    </row>
    <row r="2274" spans="28:29" x14ac:dyDescent="0.25">
      <c r="AB2274" s="93"/>
      <c r="AC2274"/>
    </row>
    <row r="2275" spans="28:29" x14ac:dyDescent="0.25">
      <c r="AB2275" s="93"/>
      <c r="AC2275"/>
    </row>
    <row r="2276" spans="28:29" x14ac:dyDescent="0.25">
      <c r="AB2276" s="93"/>
      <c r="AC2276"/>
    </row>
    <row r="2277" spans="28:29" x14ac:dyDescent="0.25">
      <c r="AB2277" s="93"/>
      <c r="AC2277"/>
    </row>
    <row r="2278" spans="28:29" x14ac:dyDescent="0.25">
      <c r="AB2278" s="93"/>
      <c r="AC2278"/>
    </row>
  </sheetData>
  <autoFilter ref="A5:S2005" xr:uid="{00000000-0001-0000-0400-000000000000}"/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/>
  <dimension ref="B5:X56"/>
  <sheetViews>
    <sheetView topLeftCell="N1" zoomScale="83" zoomScaleNormal="70" workbookViewId="0">
      <selection activeCell="R7" sqref="R7:W48"/>
    </sheetView>
  </sheetViews>
  <sheetFormatPr baseColWidth="10" defaultColWidth="11.42578125" defaultRowHeight="15" x14ac:dyDescent="0.25"/>
  <cols>
    <col min="1" max="1" width="2.5703125" style="60" customWidth="1"/>
    <col min="2" max="2" width="17.28515625" style="63" customWidth="1"/>
    <col min="3" max="3" width="21.42578125" style="61" customWidth="1"/>
    <col min="4" max="4" width="23.140625" style="63" bestFit="1" customWidth="1"/>
    <col min="5" max="5" width="71.28515625" style="60" bestFit="1" customWidth="1"/>
    <col min="6" max="6" width="48.42578125" style="60" bestFit="1" customWidth="1"/>
    <col min="7" max="7" width="11.42578125" style="60" customWidth="1"/>
    <col min="8" max="8" width="14.5703125" style="60" bestFit="1" customWidth="1"/>
    <col min="9" max="9" width="11.85546875" style="60" bestFit="1" customWidth="1"/>
    <col min="10" max="10" width="17.28515625" style="63" customWidth="1"/>
    <col min="11" max="11" width="21.42578125" style="61" customWidth="1"/>
    <col min="12" max="12" width="23.140625" style="63" bestFit="1" customWidth="1"/>
    <col min="13" max="13" width="71.28515625" style="60" bestFit="1" customWidth="1"/>
    <col min="14" max="14" width="48.42578125" style="60" bestFit="1" customWidth="1"/>
    <col min="15" max="15" width="11.42578125" style="60"/>
    <col min="16" max="16" width="14.5703125" style="60" bestFit="1" customWidth="1"/>
    <col min="17" max="17" width="11.42578125" style="60"/>
    <col min="18" max="18" width="17.28515625" style="63" customWidth="1"/>
    <col min="19" max="19" width="21.42578125" style="61" customWidth="1"/>
    <col min="20" max="20" width="23.140625" style="63" bestFit="1" customWidth="1"/>
    <col min="21" max="21" width="71.28515625" style="60" bestFit="1" customWidth="1"/>
    <col min="22" max="22" width="48.42578125" style="60" bestFit="1" customWidth="1"/>
    <col min="23" max="23" width="11.42578125" style="60"/>
    <col min="24" max="24" width="14.5703125" style="60" bestFit="1" customWidth="1"/>
    <col min="25" max="16384" width="11.42578125" style="60"/>
  </cols>
  <sheetData>
    <row r="5" spans="2:24" x14ac:dyDescent="0.25">
      <c r="B5" s="106" t="s">
        <v>88</v>
      </c>
      <c r="C5" s="106"/>
      <c r="D5" s="106"/>
      <c r="E5" s="106"/>
      <c r="F5" s="106"/>
      <c r="G5" s="106"/>
      <c r="H5" s="106"/>
      <c r="J5" s="106" t="s">
        <v>87</v>
      </c>
      <c r="K5" s="106"/>
      <c r="L5" s="106"/>
      <c r="M5" s="106"/>
      <c r="N5" s="106"/>
      <c r="O5" s="106"/>
      <c r="P5" s="106"/>
      <c r="R5" s="106" t="s">
        <v>105</v>
      </c>
      <c r="S5" s="106"/>
      <c r="T5" s="106"/>
      <c r="U5" s="106"/>
      <c r="V5" s="106"/>
      <c r="W5" s="106"/>
      <c r="X5" s="106"/>
    </row>
    <row r="6" spans="2:24" x14ac:dyDescent="0.25">
      <c r="B6" s="62" t="s">
        <v>23</v>
      </c>
      <c r="C6" s="59" t="s">
        <v>106</v>
      </c>
      <c r="D6" s="62" t="s">
        <v>107</v>
      </c>
      <c r="E6" s="33" t="s">
        <v>108</v>
      </c>
      <c r="F6" s="33" t="s">
        <v>109</v>
      </c>
      <c r="G6" s="35" t="s">
        <v>144</v>
      </c>
      <c r="H6" s="35" t="s">
        <v>110</v>
      </c>
      <c r="J6" s="62" t="s">
        <v>23</v>
      </c>
      <c r="K6" s="59" t="s">
        <v>106</v>
      </c>
      <c r="L6" s="62" t="s">
        <v>107</v>
      </c>
      <c r="M6" s="33" t="s">
        <v>108</v>
      </c>
      <c r="N6" s="33" t="s">
        <v>109</v>
      </c>
      <c r="O6" s="35" t="s">
        <v>144</v>
      </c>
      <c r="P6" s="35" t="s">
        <v>110</v>
      </c>
      <c r="R6" s="62" t="s">
        <v>23</v>
      </c>
      <c r="S6" s="59" t="s">
        <v>106</v>
      </c>
      <c r="T6" s="62" t="s">
        <v>107</v>
      </c>
      <c r="U6" s="33" t="s">
        <v>108</v>
      </c>
      <c r="V6" s="33" t="s">
        <v>109</v>
      </c>
      <c r="W6" s="35" t="s">
        <v>144</v>
      </c>
      <c r="X6" s="35" t="s">
        <v>110</v>
      </c>
    </row>
    <row r="7" spans="2:24" x14ac:dyDescent="0.25">
      <c r="B7" s="63">
        <v>156622</v>
      </c>
      <c r="C7" s="61">
        <f>IFERROR((VLOOKUP(B7,FONT!$W$5:$X$1091,2,0)),0)</f>
        <v>203705476.38309199</v>
      </c>
      <c r="D7" s="63">
        <v>58</v>
      </c>
      <c r="E7" s="60" t="s">
        <v>39</v>
      </c>
      <c r="F7" s="60" t="s">
        <v>39</v>
      </c>
      <c r="G7" s="60">
        <f>IFERROR((VLOOKUP(B7,PENDIENTES!$L$5:$M$561,2,0)),0)</f>
        <v>0</v>
      </c>
      <c r="H7" s="60" t="s">
        <v>204</v>
      </c>
      <c r="J7" s="63">
        <v>147492</v>
      </c>
      <c r="K7" s="61">
        <f>IFERROR((VLOOKUP(J7,FONT!$W$5:$X$1091,2,0)),0)</f>
        <v>42426821.603606999</v>
      </c>
      <c r="L7" s="63" t="s">
        <v>297</v>
      </c>
      <c r="M7" s="60" t="s">
        <v>302</v>
      </c>
      <c r="N7" s="60" t="s">
        <v>299</v>
      </c>
      <c r="O7" s="60">
        <f>IFERROR((VLOOKUP(J7,PENDIENTES!$L$5:$M$561,2,0)),0)</f>
        <v>0</v>
      </c>
      <c r="P7" s="60" t="s">
        <v>204</v>
      </c>
      <c r="R7" s="63">
        <v>2000469</v>
      </c>
      <c r="S7" s="61">
        <f>IFERROR((VLOOKUP(R7,FONT!$W$5:$X$1091,2,0)),0)</f>
        <v>0</v>
      </c>
      <c r="T7" s="63" t="s">
        <v>90</v>
      </c>
      <c r="U7" s="60" t="s">
        <v>266</v>
      </c>
      <c r="V7" s="60" t="s">
        <v>265</v>
      </c>
      <c r="W7" s="60">
        <f>IFERROR((VLOOKUP(R7,PENDIENTES!$L$5:$M$561,2,0)),0)</f>
        <v>1</v>
      </c>
      <c r="X7" s="60" t="s">
        <v>204</v>
      </c>
    </row>
    <row r="8" spans="2:24" x14ac:dyDescent="0.25">
      <c r="B8" s="63">
        <v>154702</v>
      </c>
      <c r="C8" s="61">
        <f>IFERROR((VLOOKUP(B8,FONT!$W$5:$X$1091,2,0)),0)</f>
        <v>0</v>
      </c>
      <c r="D8" s="63">
        <v>60</v>
      </c>
      <c r="E8" s="60" t="s">
        <v>40</v>
      </c>
      <c r="F8" s="60" t="s">
        <v>210</v>
      </c>
      <c r="G8" s="60">
        <f>IFERROR((VLOOKUP(B8,PENDIENTES!$L$5:$M$561,2,0)),0)</f>
        <v>1</v>
      </c>
      <c r="H8" s="60" t="s">
        <v>204</v>
      </c>
      <c r="J8" s="63">
        <v>147491</v>
      </c>
      <c r="K8" s="61">
        <f>IFERROR((VLOOKUP(J8,FONT!$W$5:$X$1091,2,0)),0)</f>
        <v>1600297.8591159999</v>
      </c>
      <c r="L8" s="63" t="s">
        <v>297</v>
      </c>
      <c r="M8" s="60" t="s">
        <v>302</v>
      </c>
      <c r="N8" s="60" t="s">
        <v>299</v>
      </c>
      <c r="O8" s="60">
        <f>IFERROR((VLOOKUP(J8,PENDIENTES!$L$5:$M$561,2,0)),0)</f>
        <v>0</v>
      </c>
      <c r="P8" s="60" t="s">
        <v>204</v>
      </c>
      <c r="R8" s="63">
        <v>2000467</v>
      </c>
      <c r="S8" s="61">
        <f>IFERROR((VLOOKUP(R8,FONT!$W$5:$X$1091,2,0)),0)</f>
        <v>22901377.689304002</v>
      </c>
      <c r="T8" s="63" t="s">
        <v>92</v>
      </c>
      <c r="U8" s="60" t="s">
        <v>269</v>
      </c>
      <c r="V8" s="60" t="s">
        <v>265</v>
      </c>
      <c r="W8" s="60">
        <f>IFERROR((VLOOKUP(R8,PENDIENTES!$L$5:$M$561,2,0)),0)</f>
        <v>0</v>
      </c>
      <c r="X8" s="60" t="s">
        <v>204</v>
      </c>
    </row>
    <row r="9" spans="2:24" x14ac:dyDescent="0.25">
      <c r="B9" s="63">
        <v>80820</v>
      </c>
      <c r="C9" s="61">
        <f>IFERROR((VLOOKUP(B9,FONT!$W$5:$X$1091,2,0)),0)</f>
        <v>0</v>
      </c>
      <c r="D9" s="63">
        <v>63</v>
      </c>
      <c r="E9" s="60" t="s">
        <v>211</v>
      </c>
      <c r="F9" s="60" t="s">
        <v>210</v>
      </c>
      <c r="G9" s="60">
        <f>IFERROR((VLOOKUP(B9,PENDIENTES!$L$5:$M$561,2,0)),0)</f>
        <v>1</v>
      </c>
      <c r="H9" s="60" t="s">
        <v>204</v>
      </c>
      <c r="J9" s="63">
        <v>159246</v>
      </c>
      <c r="K9" s="61">
        <f>IFERROR((VLOOKUP(J9,FONT!$W$5:$X$1091,2,0)),0)</f>
        <v>13674935.246929999</v>
      </c>
      <c r="L9" s="63" t="s">
        <v>297</v>
      </c>
      <c r="M9" s="60" t="s">
        <v>302</v>
      </c>
      <c r="N9" s="60" t="s">
        <v>299</v>
      </c>
      <c r="O9" s="60">
        <f>IFERROR((VLOOKUP(J9,PENDIENTES!$L$5:$M$561,2,0)),0)</f>
        <v>0</v>
      </c>
      <c r="P9" s="60" t="s">
        <v>204</v>
      </c>
      <c r="R9" s="63">
        <v>1018867</v>
      </c>
      <c r="S9" s="61">
        <f>IFERROR((VLOOKUP(R9,FONT!$W$5:$X$1091,2,0)),0)</f>
        <v>29175276.964768</v>
      </c>
      <c r="T9" s="63" t="s">
        <v>93</v>
      </c>
      <c r="U9" s="60" t="s">
        <v>249</v>
      </c>
      <c r="V9" s="60" t="s">
        <v>250</v>
      </c>
      <c r="W9" s="60">
        <f>IFERROR((VLOOKUP(R9,PENDIENTES!$L$5:$M$561,2,0)),0)</f>
        <v>0</v>
      </c>
      <c r="X9" s="60" t="s">
        <v>204</v>
      </c>
    </row>
    <row r="10" spans="2:24" x14ac:dyDescent="0.25">
      <c r="B10" s="63">
        <v>1036691</v>
      </c>
      <c r="C10" s="61">
        <f>IFERROR((VLOOKUP(B10,FONT!$W$5:$X$1091,2,0)),0)</f>
        <v>981466.69845200004</v>
      </c>
      <c r="D10" s="63" t="s">
        <v>311</v>
      </c>
      <c r="E10" s="60" t="s">
        <v>311</v>
      </c>
      <c r="F10" s="60" t="s">
        <v>311</v>
      </c>
      <c r="G10" s="60">
        <f>IFERROR((VLOOKUP(B10,PENDIENTES!$L$5:$M$561,2,0)),0)</f>
        <v>0</v>
      </c>
      <c r="H10" s="60" t="s">
        <v>204</v>
      </c>
      <c r="J10" s="63">
        <v>1010401</v>
      </c>
      <c r="K10" s="61">
        <f>IFERROR((VLOOKUP(J10,FONT!$W$5:$X$1091,2,0)),0)</f>
        <v>52831071.346625999</v>
      </c>
      <c r="L10" s="63" t="s">
        <v>297</v>
      </c>
      <c r="M10" s="60" t="s">
        <v>302</v>
      </c>
      <c r="N10" s="60" t="s">
        <v>299</v>
      </c>
      <c r="O10" s="60">
        <f>IFERROR((VLOOKUP(J10,PENDIENTES!$L$5:$M$561,2,0)),0)</f>
        <v>0</v>
      </c>
      <c r="P10" s="60" t="s">
        <v>204</v>
      </c>
      <c r="R10" s="63">
        <v>65501372909</v>
      </c>
      <c r="S10" s="61">
        <f>IFERROR((VLOOKUP(R10,FONT!$W$5:$X$1091,2,0)),0)</f>
        <v>30554888.754117001</v>
      </c>
      <c r="T10" s="63" t="s">
        <v>94</v>
      </c>
      <c r="U10" s="60" t="s">
        <v>95</v>
      </c>
      <c r="V10" s="60" t="s">
        <v>254</v>
      </c>
      <c r="W10" s="60">
        <f>IFERROR((VLOOKUP(R10,PENDIENTES!$L$5:$M$561,2,0)),0)</f>
        <v>0</v>
      </c>
      <c r="X10" s="60" t="s">
        <v>204</v>
      </c>
    </row>
    <row r="11" spans="2:24" x14ac:dyDescent="0.25">
      <c r="B11" s="63">
        <v>2000206</v>
      </c>
      <c r="C11" s="61">
        <f>IFERROR((VLOOKUP(B11,FONT!$W$5:$X$1091,2,0)),0)</f>
        <v>0</v>
      </c>
      <c r="D11" s="63">
        <v>116</v>
      </c>
      <c r="E11" s="60" t="s">
        <v>220</v>
      </c>
      <c r="F11" s="60" t="s">
        <v>221</v>
      </c>
      <c r="G11" s="60">
        <f>IFERROR((VLOOKUP(B11,PENDIENTES!$L$5:$M$561,2,0)),0)</f>
        <v>0</v>
      </c>
      <c r="H11" s="60" t="s">
        <v>204</v>
      </c>
      <c r="R11" s="63">
        <v>65505285253</v>
      </c>
      <c r="S11" s="61">
        <f>IFERROR((VLOOKUP(R11,FONT!$W$5:$X$1091,2,0)),0)</f>
        <v>257628.98404800001</v>
      </c>
      <c r="T11" s="63" t="s">
        <v>99</v>
      </c>
      <c r="U11" s="60" t="s">
        <v>99</v>
      </c>
      <c r="V11" s="60" t="s">
        <v>247</v>
      </c>
      <c r="W11" s="60">
        <f>IFERROR((VLOOKUP(R11,PENDIENTES!$L$5:$M$561,2,0)),0)</f>
        <v>0</v>
      </c>
      <c r="X11" s="60" t="s">
        <v>204</v>
      </c>
    </row>
    <row r="12" spans="2:24" x14ac:dyDescent="0.25">
      <c r="B12" s="63">
        <v>2000205</v>
      </c>
      <c r="C12" s="61">
        <f>IFERROR((VLOOKUP(B12,FONT!$W$5:$X$1091,2,0)),0)</f>
        <v>0</v>
      </c>
      <c r="D12" s="63">
        <v>117</v>
      </c>
      <c r="E12" s="60" t="s">
        <v>222</v>
      </c>
      <c r="F12" s="60" t="s">
        <v>221</v>
      </c>
      <c r="G12" s="60">
        <f>IFERROR((VLOOKUP(B12,PENDIENTES!$L$5:$M$561,2,0)),0)</f>
        <v>0</v>
      </c>
      <c r="H12" s="60" t="s">
        <v>204</v>
      </c>
      <c r="R12" s="63">
        <v>1031340</v>
      </c>
      <c r="S12" s="61">
        <f>IFERROR((VLOOKUP(R12,FONT!$W$5:$X$1091,2,0)),0)</f>
        <v>32195624.158808</v>
      </c>
      <c r="T12" s="63" t="s">
        <v>100</v>
      </c>
      <c r="U12" s="60" t="s">
        <v>101</v>
      </c>
      <c r="V12" s="60" t="s">
        <v>101</v>
      </c>
      <c r="W12" s="60">
        <f>IFERROR((VLOOKUP(R12,PENDIENTES!$L$5:$M$561,2,0)),0)</f>
        <v>0</v>
      </c>
      <c r="X12" s="60" t="s">
        <v>204</v>
      </c>
    </row>
    <row r="13" spans="2:24" x14ac:dyDescent="0.25">
      <c r="B13" s="63">
        <v>1013187</v>
      </c>
      <c r="C13" s="61">
        <f>IFERROR((VLOOKUP(B13,FONT!$W$5:$X$1091,2,0)),0)</f>
        <v>93135769.234126002</v>
      </c>
      <c r="D13" s="63">
        <v>127</v>
      </c>
      <c r="E13" s="60" t="s">
        <v>43</v>
      </c>
      <c r="F13" s="60" t="s">
        <v>236</v>
      </c>
      <c r="G13" s="60">
        <f>IFERROR((VLOOKUP(B13,PENDIENTES!$L$5:$M$561,2,0)),0)</f>
        <v>0</v>
      </c>
      <c r="H13" s="60" t="s">
        <v>204</v>
      </c>
      <c r="R13" s="63">
        <v>2000926</v>
      </c>
      <c r="S13" s="61">
        <f>IFERROR((VLOOKUP(R13,FONT!$W$5:$X$1091,2,0)),0)</f>
        <v>36862014.311584003</v>
      </c>
      <c r="T13" s="63" t="s">
        <v>256</v>
      </c>
      <c r="U13" s="60" t="s">
        <v>257</v>
      </c>
      <c r="V13" s="60" t="s">
        <v>258</v>
      </c>
      <c r="W13" s="60">
        <f>IFERROR((VLOOKUP(R13,PENDIENTES!$L$5:$M$561,2,0)),0)</f>
        <v>0</v>
      </c>
      <c r="X13" s="60" t="s">
        <v>204</v>
      </c>
    </row>
    <row r="14" spans="2:24" x14ac:dyDescent="0.25">
      <c r="B14" s="63">
        <v>2000863</v>
      </c>
      <c r="C14" s="61">
        <f>IFERROR((VLOOKUP(B14,FONT!$W$5:$X$1091,2,0)),0)</f>
        <v>0</v>
      </c>
      <c r="D14" s="63">
        <v>2000863</v>
      </c>
      <c r="E14" s="60" t="s">
        <v>44</v>
      </c>
      <c r="F14" s="60" t="s">
        <v>221</v>
      </c>
      <c r="G14" s="60">
        <f>IFERROR((VLOOKUP(B14,PENDIENTES!$L$5:$M$561,2,0)),0)</f>
        <v>0</v>
      </c>
      <c r="H14" s="60" t="s">
        <v>204</v>
      </c>
      <c r="R14" s="63">
        <v>1031341</v>
      </c>
      <c r="S14" s="61">
        <f>IFERROR((VLOOKUP(R14,FONT!$W$5:$X$1091,2,0)),0)</f>
        <v>26358687.108624</v>
      </c>
      <c r="T14" s="63" t="s">
        <v>175</v>
      </c>
      <c r="U14" s="60" t="s">
        <v>148</v>
      </c>
      <c r="V14" s="60" t="s">
        <v>148</v>
      </c>
      <c r="W14" s="60">
        <f>IFERROR((VLOOKUP(R14,PENDIENTES!$L$5:$M$561,2,0)),0)</f>
        <v>0</v>
      </c>
      <c r="X14" s="60" t="s">
        <v>204</v>
      </c>
    </row>
    <row r="15" spans="2:24" x14ac:dyDescent="0.25">
      <c r="B15" s="63">
        <v>2000905</v>
      </c>
      <c r="C15" s="61">
        <f>IFERROR((VLOOKUP(B15,FONT!$W$5:$X$1091,2,0)),0)</f>
        <v>570670743.00125206</v>
      </c>
      <c r="D15" s="63">
        <v>2000905</v>
      </c>
      <c r="E15" s="60" t="s">
        <v>45</v>
      </c>
      <c r="F15" s="60" t="s">
        <v>45</v>
      </c>
      <c r="G15" s="60">
        <f>IFERROR((VLOOKUP(B15,PENDIENTES!$L$5:$M$561,2,0)),0)</f>
        <v>0</v>
      </c>
      <c r="H15" s="60" t="s">
        <v>204</v>
      </c>
      <c r="R15" s="63">
        <v>2001049</v>
      </c>
      <c r="S15" s="61">
        <f>IFERROR((VLOOKUP(R15,FONT!$W$5:$X$1091,2,0)),0)</f>
        <v>10750642.521645</v>
      </c>
      <c r="T15" s="63" t="s">
        <v>176</v>
      </c>
      <c r="U15" s="60" t="s">
        <v>272</v>
      </c>
      <c r="V15" s="60" t="s">
        <v>271</v>
      </c>
      <c r="W15" s="60">
        <f>IFERROR((VLOOKUP(R15,PENDIENTES!$L$5:$M$561,2,0)),0)</f>
        <v>6</v>
      </c>
      <c r="X15" s="60" t="s">
        <v>204</v>
      </c>
    </row>
    <row r="16" spans="2:24" x14ac:dyDescent="0.25">
      <c r="B16" s="63">
        <v>2000574</v>
      </c>
      <c r="C16" s="61">
        <f>IFERROR((VLOOKUP(B16,FONT!$W$5:$X$1091,2,0)),0)</f>
        <v>6247804.5492439996</v>
      </c>
      <c r="D16" s="63" t="s">
        <v>172</v>
      </c>
      <c r="E16" s="60" t="s">
        <v>255</v>
      </c>
      <c r="F16" s="60" t="s">
        <v>172</v>
      </c>
      <c r="G16" s="60">
        <f>IFERROR((VLOOKUP(B16,PENDIENTES!$L$5:$M$561,2,0)),0)</f>
        <v>0</v>
      </c>
      <c r="H16" s="60" t="s">
        <v>204</v>
      </c>
      <c r="R16" s="63">
        <v>2001050</v>
      </c>
      <c r="S16" s="61">
        <f>IFERROR((VLOOKUP(R16,FONT!$W$5:$X$1091,2,0)),0)</f>
        <v>3958037.0935169999</v>
      </c>
      <c r="T16" s="63" t="s">
        <v>177</v>
      </c>
      <c r="U16" s="60" t="s">
        <v>270</v>
      </c>
      <c r="V16" s="60" t="s">
        <v>271</v>
      </c>
      <c r="W16" s="60">
        <f>IFERROR((VLOOKUP(R16,PENDIENTES!$L$5:$M$561,2,0)),0)</f>
        <v>1</v>
      </c>
      <c r="X16" s="60" t="s">
        <v>204</v>
      </c>
    </row>
    <row r="17" spans="2:24" x14ac:dyDescent="0.25">
      <c r="B17" s="63">
        <v>2000575</v>
      </c>
      <c r="C17" s="61">
        <f>IFERROR((VLOOKUP(B17,FONT!$W$5:$X$1091,2,0)),0)</f>
        <v>27603079.142901</v>
      </c>
      <c r="D17" s="63" t="s">
        <v>172</v>
      </c>
      <c r="E17" s="60" t="s">
        <v>255</v>
      </c>
      <c r="F17" s="60" t="s">
        <v>172</v>
      </c>
      <c r="G17" s="60">
        <f>IFERROR((VLOOKUP(B17,PENDIENTES!$L$5:$M$561,2,0)),0)</f>
        <v>0</v>
      </c>
      <c r="H17" s="60" t="s">
        <v>204</v>
      </c>
      <c r="R17" s="63">
        <v>1037090</v>
      </c>
      <c r="S17" s="61">
        <f>IFERROR((VLOOKUP(R17,FONT!$W$5:$X$1091,2,0)),0)</f>
        <v>16704197.451416001</v>
      </c>
      <c r="T17" s="63" t="s">
        <v>303</v>
      </c>
      <c r="U17" s="60" t="s">
        <v>309</v>
      </c>
      <c r="V17" s="60" t="s">
        <v>309</v>
      </c>
      <c r="W17" s="60">
        <f>IFERROR((VLOOKUP(R17,PENDIENTES!$L$5:$M$561,2,0)),0)</f>
        <v>1</v>
      </c>
      <c r="X17" s="60" t="s">
        <v>204</v>
      </c>
    </row>
    <row r="18" spans="2:24" x14ac:dyDescent="0.25">
      <c r="B18" s="63">
        <v>2000576</v>
      </c>
      <c r="C18" s="61">
        <f>IFERROR((VLOOKUP(B18,FONT!$W$5:$X$1091,2,0)),0)</f>
        <v>7847433.3837179998</v>
      </c>
      <c r="D18" s="63" t="s">
        <v>172</v>
      </c>
      <c r="E18" s="60" t="s">
        <v>255</v>
      </c>
      <c r="F18" s="60" t="s">
        <v>172</v>
      </c>
      <c r="G18" s="60">
        <f>IFERROR((VLOOKUP(B18,PENDIENTES!$L$5:$M$561,2,0)),0)</f>
        <v>0</v>
      </c>
      <c r="H18" s="60" t="s">
        <v>204</v>
      </c>
      <c r="R18" s="63">
        <v>65501902345</v>
      </c>
      <c r="S18" s="61">
        <f>IFERROR((VLOOKUP(R18,FONT!$W$5:$X$1091,2,0)),0)</f>
        <v>29211516.135896001</v>
      </c>
      <c r="T18" s="63" t="s">
        <v>304</v>
      </c>
      <c r="U18" s="60" t="s">
        <v>310</v>
      </c>
      <c r="V18" s="60" t="s">
        <v>310</v>
      </c>
      <c r="W18" s="60">
        <f>IFERROR((VLOOKUP(R18,PENDIENTES!$L$5:$M$561,2,0)),0)</f>
        <v>0</v>
      </c>
      <c r="X18" s="60" t="s">
        <v>204</v>
      </c>
    </row>
    <row r="19" spans="2:24" x14ac:dyDescent="0.25">
      <c r="B19" s="63">
        <v>2000577</v>
      </c>
      <c r="C19" s="61">
        <f>IFERROR((VLOOKUP(B19,FONT!$W$5:$X$1091,2,0)),0)</f>
        <v>61534022.634461001</v>
      </c>
      <c r="D19" s="63" t="s">
        <v>172</v>
      </c>
      <c r="E19" s="60" t="s">
        <v>255</v>
      </c>
      <c r="F19" s="60" t="s">
        <v>172</v>
      </c>
      <c r="G19" s="60">
        <f>IFERROR((VLOOKUP(B19,PENDIENTES!$L$5:$M$561,2,0)),0)</f>
        <v>0</v>
      </c>
      <c r="H19" s="60" t="s">
        <v>204</v>
      </c>
      <c r="R19" s="63">
        <v>1037087</v>
      </c>
      <c r="S19" s="61">
        <f>IFERROR((VLOOKUP(R19,FONT!$W$5:$X$1091,2,0)),0)</f>
        <v>18359.321096</v>
      </c>
      <c r="T19" s="63" t="s">
        <v>305</v>
      </c>
      <c r="U19" s="60" t="s">
        <v>308</v>
      </c>
      <c r="V19" s="60" t="s">
        <v>308</v>
      </c>
      <c r="W19" s="60">
        <f>IFERROR((VLOOKUP(R19,PENDIENTES!$L$5:$M$561,2,0)),0)</f>
        <v>0</v>
      </c>
      <c r="X19" s="60" t="s">
        <v>204</v>
      </c>
    </row>
    <row r="20" spans="2:24" x14ac:dyDescent="0.25">
      <c r="B20" s="63">
        <v>65503691935</v>
      </c>
      <c r="C20" s="61">
        <f>IFERROR((VLOOKUP(B20,FONT!$W$5:$X$1091,2,0)),0)</f>
        <v>14666173.122264</v>
      </c>
      <c r="D20" s="63" t="s">
        <v>49</v>
      </c>
      <c r="E20" s="63" t="s">
        <v>49</v>
      </c>
      <c r="F20" s="63" t="s">
        <v>49</v>
      </c>
      <c r="G20" s="60">
        <f>IFERROR((VLOOKUP(B20,PENDIENTES!$L$5:$M$561,2,0)),0)</f>
        <v>0</v>
      </c>
      <c r="H20" s="60" t="s">
        <v>204</v>
      </c>
      <c r="M20" s="63"/>
      <c r="N20" s="63"/>
      <c r="R20" s="63">
        <v>1037118</v>
      </c>
      <c r="S20" s="61">
        <f>IFERROR((VLOOKUP(R20,FONT!$W$5:$X$1091,2,0)),0)</f>
        <v>14737348.621164</v>
      </c>
      <c r="T20" s="63" t="s">
        <v>334</v>
      </c>
      <c r="U20" s="60" t="s">
        <v>335</v>
      </c>
      <c r="V20" s="60" t="s">
        <v>335</v>
      </c>
      <c r="W20" s="60">
        <f>IFERROR((VLOOKUP(R20,PENDIENTES!$L$5:$M$561,2,0)),0)</f>
        <v>1</v>
      </c>
      <c r="X20" s="60" t="s">
        <v>204</v>
      </c>
    </row>
    <row r="21" spans="2:24" x14ac:dyDescent="0.25">
      <c r="B21" s="63">
        <v>2000534</v>
      </c>
      <c r="C21" s="61">
        <f>IFERROR((VLOOKUP(B21,FONT!$W$5:$X$1091,2,0)),0)</f>
        <v>437.32162499999998</v>
      </c>
      <c r="D21" s="63" t="s">
        <v>50</v>
      </c>
      <c r="E21" s="60" t="s">
        <v>51</v>
      </c>
      <c r="F21" s="60" t="s">
        <v>51</v>
      </c>
      <c r="G21" s="60">
        <f>IFERROR((VLOOKUP(B21,PENDIENTES!$L$5:$M$561,2,0)),0)</f>
        <v>0</v>
      </c>
      <c r="H21" s="60" t="s">
        <v>204</v>
      </c>
      <c r="R21" s="63">
        <v>1037086</v>
      </c>
      <c r="S21" s="61">
        <f>IFERROR((VLOOKUP(R21,FONT!$W$5:$X$1091,2,0)),0)</f>
        <v>55433047.280056</v>
      </c>
      <c r="T21" s="63" t="s">
        <v>336</v>
      </c>
      <c r="U21" s="60" t="s">
        <v>337</v>
      </c>
      <c r="V21" s="60" t="s">
        <v>337</v>
      </c>
      <c r="W21" s="60">
        <f>IFERROR((VLOOKUP(R21,PENDIENTES!$L$5:$M$561,2,0)),0)</f>
        <v>1</v>
      </c>
      <c r="X21" s="60" t="s">
        <v>204</v>
      </c>
    </row>
    <row r="22" spans="2:24" x14ac:dyDescent="0.25">
      <c r="B22" s="63">
        <v>65507430562</v>
      </c>
      <c r="C22" s="61">
        <f>IFERROR((VLOOKUP(B22,FONT!$W$5:$X$1091,2,0)),0)</f>
        <v>219370869.39074799</v>
      </c>
      <c r="D22" s="63" t="s">
        <v>242</v>
      </c>
      <c r="E22" s="60" t="s">
        <v>243</v>
      </c>
      <c r="F22" s="60" t="s">
        <v>243</v>
      </c>
      <c r="G22" s="60">
        <f>IFERROR((VLOOKUP(B22,PENDIENTES!$L$5:$M$561,2,0)),0)</f>
        <v>0</v>
      </c>
      <c r="H22" s="60" t="s">
        <v>204</v>
      </c>
      <c r="R22" s="63">
        <v>1037113</v>
      </c>
      <c r="S22" s="61">
        <f>IFERROR((VLOOKUP(R22,FONT!$W$5:$X$1091,2,0)),0)</f>
        <v>7989275.5879040007</v>
      </c>
      <c r="T22" s="63" t="s">
        <v>338</v>
      </c>
      <c r="U22" s="60" t="s">
        <v>339</v>
      </c>
      <c r="V22" s="60" t="s">
        <v>339</v>
      </c>
      <c r="W22" s="60">
        <f>IFERROR((VLOOKUP(R22,PENDIENTES!$L$5:$M$561,2,0)),0)</f>
        <v>1</v>
      </c>
      <c r="X22" s="60" t="s">
        <v>204</v>
      </c>
    </row>
    <row r="23" spans="2:24" x14ac:dyDescent="0.25">
      <c r="B23" s="63">
        <v>2000597</v>
      </c>
      <c r="C23" s="61">
        <f>IFERROR((VLOOKUP(B23,FONT!$W$5:$X$1091,2,0)),0)</f>
        <v>23370.467639999999</v>
      </c>
      <c r="D23" s="63" t="s">
        <v>306</v>
      </c>
      <c r="G23" s="60">
        <f>IFERROR((VLOOKUP(B23,PENDIENTES!$L$5:$M$561,2,0)),0)</f>
        <v>0</v>
      </c>
      <c r="H23" s="60" t="s">
        <v>204</v>
      </c>
      <c r="R23" s="63">
        <v>1037117</v>
      </c>
      <c r="S23" s="61">
        <f>IFERROR((VLOOKUP(R23,FONT!$W$5:$X$1091,2,0)),0)</f>
        <v>8890963.5312760007</v>
      </c>
      <c r="T23" s="63" t="s">
        <v>340</v>
      </c>
      <c r="U23" s="60" t="s">
        <v>341</v>
      </c>
      <c r="V23" s="60" t="s">
        <v>341</v>
      </c>
      <c r="W23" s="60">
        <f>IFERROR((VLOOKUP(R23,PENDIENTES!$L$5:$M$561,2,0)),0)</f>
        <v>1</v>
      </c>
      <c r="X23" s="60" t="s">
        <v>204</v>
      </c>
    </row>
    <row r="24" spans="2:24" x14ac:dyDescent="0.25">
      <c r="B24" s="63">
        <v>2000730</v>
      </c>
      <c r="C24" s="61">
        <f>IFERROR((VLOOKUP(B24,FONT!$W$5:$X$1091,2,0)),0)</f>
        <v>4910789.4843149995</v>
      </c>
      <c r="D24" s="63" t="s">
        <v>54</v>
      </c>
      <c r="E24" s="60" t="s">
        <v>267</v>
      </c>
      <c r="F24" s="60" t="s">
        <v>55</v>
      </c>
      <c r="G24" s="60">
        <f>IFERROR((VLOOKUP(B24,PENDIENTES!$L$5:$M$561,2,0)),0)</f>
        <v>0</v>
      </c>
      <c r="H24" s="60" t="s">
        <v>204</v>
      </c>
      <c r="R24" s="63">
        <v>1037085</v>
      </c>
      <c r="S24" s="61">
        <f>IFERROR((VLOOKUP(R24,FONT!$W$5:$X$1091,2,0)),0)</f>
        <v>40351701.630644001</v>
      </c>
      <c r="T24" s="63" t="s">
        <v>342</v>
      </c>
      <c r="U24" s="60" t="s">
        <v>343</v>
      </c>
      <c r="V24" s="60" t="s">
        <v>343</v>
      </c>
      <c r="W24" s="60">
        <f>IFERROR((VLOOKUP(R24,PENDIENTES!$L$5:$M$561,2,0)),0)</f>
        <v>1</v>
      </c>
      <c r="X24" s="60" t="s">
        <v>204</v>
      </c>
    </row>
    <row r="25" spans="2:24" x14ac:dyDescent="0.25">
      <c r="B25" s="63">
        <v>2000927</v>
      </c>
      <c r="C25" s="61">
        <f>IFERROR((VLOOKUP(B25,FONT!$W$5:$X$1091,2,0)),0)</f>
        <v>43142832.562044002</v>
      </c>
      <c r="D25" s="63" t="s">
        <v>56</v>
      </c>
      <c r="E25" s="60" t="s">
        <v>262</v>
      </c>
      <c r="F25" s="60" t="s">
        <v>263</v>
      </c>
      <c r="G25" s="60">
        <f>IFERROR((VLOOKUP(B25,PENDIENTES!$L$5:$M$561,2,0)),0)</f>
        <v>0</v>
      </c>
      <c r="H25" s="60" t="s">
        <v>204</v>
      </c>
      <c r="R25" s="63">
        <v>65502397418</v>
      </c>
      <c r="S25" s="61">
        <f>IFERROR((VLOOKUP(R25,FONT!$W$5:$X$1091,2,0)),0)</f>
        <v>21732632.524448</v>
      </c>
      <c r="T25" s="63" t="s">
        <v>344</v>
      </c>
      <c r="U25" s="60" t="s">
        <v>346</v>
      </c>
      <c r="V25" s="60" t="s">
        <v>346</v>
      </c>
      <c r="W25" s="60">
        <f>IFERROR((VLOOKUP(R25,PENDIENTES!$L$5:$M$561,2,0)),0)</f>
        <v>0</v>
      </c>
      <c r="X25" s="60" t="s">
        <v>204</v>
      </c>
    </row>
    <row r="26" spans="2:24" x14ac:dyDescent="0.25">
      <c r="B26" s="63">
        <v>2000928</v>
      </c>
      <c r="C26" s="61">
        <f>IFERROR((VLOOKUP(B26,FONT!$W$5:$X$1091,2,0)),0)</f>
        <v>37093456.768576004</v>
      </c>
      <c r="D26" s="63" t="s">
        <v>57</v>
      </c>
      <c r="E26" s="60" t="s">
        <v>260</v>
      </c>
      <c r="F26" s="60" t="s">
        <v>261</v>
      </c>
      <c r="G26" s="60">
        <f>IFERROR((VLOOKUP(B26,PENDIENTES!$L$5:$M$561,2,0)),0)</f>
        <v>0</v>
      </c>
      <c r="H26" s="60" t="s">
        <v>204</v>
      </c>
      <c r="R26" s="63">
        <v>65501285111</v>
      </c>
      <c r="S26" s="61">
        <f>IFERROR((VLOOKUP(R26,FONT!$W$5:$X$1091,2,0)),0)</f>
        <v>32732470.33326</v>
      </c>
      <c r="T26" s="63" t="s">
        <v>345</v>
      </c>
      <c r="U26" s="60" t="s">
        <v>347</v>
      </c>
      <c r="V26" s="60" t="s">
        <v>347</v>
      </c>
      <c r="W26" s="60">
        <f>IFERROR((VLOOKUP(R26,PENDIENTES!$L$5:$M$561,2,0)),0)</f>
        <v>0</v>
      </c>
      <c r="X26" s="60" t="s">
        <v>204</v>
      </c>
    </row>
    <row r="27" spans="2:24" x14ac:dyDescent="0.25">
      <c r="B27" s="63">
        <v>65507408917</v>
      </c>
      <c r="C27" s="61">
        <f>IFERROR((VLOOKUP(B27,FONT!$W$5:$X$1091,2,0)),0)</f>
        <v>0</v>
      </c>
      <c r="D27" s="63">
        <v>37</v>
      </c>
      <c r="E27" s="60" t="s">
        <v>18</v>
      </c>
      <c r="F27" s="60" t="s">
        <v>209</v>
      </c>
      <c r="G27" s="60">
        <f>IFERROR((VLOOKUP(B27,PENDIENTES!$L$5:$M$561,2,0)),0)</f>
        <v>0</v>
      </c>
      <c r="H27" s="60" t="s">
        <v>204</v>
      </c>
      <c r="R27" s="63">
        <v>2000469</v>
      </c>
      <c r="S27" s="61">
        <f>IFERROR((VLOOKUP(R27,FONT!$W$5:$X$1091,2,0)),0)</f>
        <v>0</v>
      </c>
      <c r="T27" s="63" t="s">
        <v>90</v>
      </c>
      <c r="U27" s="60" t="s">
        <v>266</v>
      </c>
      <c r="V27" s="60" t="s">
        <v>266</v>
      </c>
      <c r="W27" s="60">
        <f>IFERROR((VLOOKUP(R27,PENDIENTES!$L$5:$M$561,2,0)),0)</f>
        <v>1</v>
      </c>
      <c r="X27" s="60" t="s">
        <v>204</v>
      </c>
    </row>
    <row r="28" spans="2:24" x14ac:dyDescent="0.25">
      <c r="B28" s="63">
        <v>1037124</v>
      </c>
      <c r="C28" s="61">
        <f>IFERROR((VLOOKUP(B28,FONT!$W$5:$X$1091,2,0)),0)</f>
        <v>2875696.5890790001</v>
      </c>
      <c r="D28" s="63">
        <v>75</v>
      </c>
      <c r="E28" s="60" t="s">
        <v>63</v>
      </c>
      <c r="F28" s="60" t="s">
        <v>212</v>
      </c>
      <c r="G28" s="60">
        <f>IFERROR((VLOOKUP(B28,PENDIENTES!$L$5:$M$561,2,0)),0)</f>
        <v>1</v>
      </c>
      <c r="H28" s="60" t="s">
        <v>204</v>
      </c>
      <c r="R28" s="63">
        <v>2000466</v>
      </c>
      <c r="S28" s="61">
        <f>IFERROR((VLOOKUP(R28,FONT!$W$5:$X$1091,2,0)),0)</f>
        <v>0</v>
      </c>
      <c r="T28" s="63" t="s">
        <v>91</v>
      </c>
      <c r="U28" s="60" t="s">
        <v>268</v>
      </c>
      <c r="V28" s="60" t="s">
        <v>268</v>
      </c>
      <c r="W28" s="60">
        <f>IFERROR((VLOOKUP(R28,PENDIENTES!$L$5:$M$561,2,0)),0)</f>
        <v>0</v>
      </c>
      <c r="X28" s="60" t="s">
        <v>204</v>
      </c>
    </row>
    <row r="29" spans="2:24" x14ac:dyDescent="0.25">
      <c r="B29" s="63">
        <v>1033811</v>
      </c>
      <c r="C29" s="61">
        <f>IFERROR((VLOOKUP(B29,FONT!$W$5:$X$1091,2,0)),0)</f>
        <v>3248841.5216000001</v>
      </c>
      <c r="D29" s="63">
        <v>76</v>
      </c>
      <c r="E29" s="60" t="s">
        <v>64</v>
      </c>
      <c r="F29" s="60" t="s">
        <v>212</v>
      </c>
      <c r="G29" s="60">
        <f>IFERROR((VLOOKUP(B29,PENDIENTES!$L$5:$M$561,2,0)),0)</f>
        <v>0</v>
      </c>
      <c r="H29" s="60" t="s">
        <v>204</v>
      </c>
      <c r="R29" s="63">
        <v>1033795</v>
      </c>
      <c r="S29" s="61">
        <f>IFERROR((VLOOKUP(R29,FONT!$W$5:$X$1091,2,0)),0)</f>
        <v>11634623.918634001</v>
      </c>
      <c r="T29" s="63">
        <v>1033795</v>
      </c>
      <c r="U29" s="60" t="s">
        <v>510</v>
      </c>
      <c r="V29" s="60" t="s">
        <v>510</v>
      </c>
      <c r="W29" s="60">
        <f>IFERROR((VLOOKUP(R29,PENDIENTES!$L$5:$M$561,2,0)),0)</f>
        <v>0</v>
      </c>
      <c r="X29" s="60" t="s">
        <v>204</v>
      </c>
    </row>
    <row r="30" spans="2:24" x14ac:dyDescent="0.25">
      <c r="B30" s="63">
        <v>65502425394</v>
      </c>
      <c r="C30" s="61">
        <f>IFERROR((VLOOKUP(B30,FONT!$W$5:$X$1091,2,0)),0)</f>
        <v>104963120.889327</v>
      </c>
      <c r="D30" s="63">
        <v>93</v>
      </c>
      <c r="E30" s="60" t="s">
        <v>66</v>
      </c>
      <c r="F30" s="60" t="s">
        <v>215</v>
      </c>
      <c r="G30" s="60">
        <f>IFERROR((VLOOKUP(B30,PENDIENTES!$L$5:$M$561,2,0)),0)</f>
        <v>0</v>
      </c>
      <c r="H30" s="60" t="s">
        <v>204</v>
      </c>
      <c r="R30" s="63">
        <v>65508881201</v>
      </c>
      <c r="S30" s="61">
        <f>IFERROR((VLOOKUP(R30,FONT!$W$5:$X$1091,2,0)),0)</f>
        <v>1529145.231872</v>
      </c>
      <c r="T30" s="63" t="s">
        <v>619</v>
      </c>
      <c r="U30" s="60" t="s">
        <v>614</v>
      </c>
      <c r="V30" s="60" t="s">
        <v>614</v>
      </c>
      <c r="W30" s="60">
        <f>IFERROR((VLOOKUP(R30,PENDIENTES!$L$5:$M$561,2,0)),0)</f>
        <v>0</v>
      </c>
      <c r="X30" s="60" t="s">
        <v>204</v>
      </c>
    </row>
    <row r="31" spans="2:24" x14ac:dyDescent="0.25">
      <c r="B31" s="63">
        <v>1002455</v>
      </c>
      <c r="C31" s="61">
        <f>IFERROR((VLOOKUP(B31,FONT!$W$5:$X$1091,2,0)),0)</f>
        <v>8938949.8599999994</v>
      </c>
      <c r="D31" s="63">
        <v>94</v>
      </c>
      <c r="E31" s="60" t="s">
        <v>67</v>
      </c>
      <c r="F31" s="60" t="s">
        <v>216</v>
      </c>
      <c r="G31" s="60">
        <f>IFERROR((VLOOKUP(B31,PENDIENTES!$L$5:$M$561,2,0)),0)</f>
        <v>0</v>
      </c>
      <c r="H31" s="60" t="s">
        <v>204</v>
      </c>
      <c r="R31" s="63">
        <v>65508886089</v>
      </c>
      <c r="S31" s="61">
        <f>IFERROR((VLOOKUP(R31,FONT!$W$5:$X$1091,2,0)),0)</f>
        <v>96488725.812631994</v>
      </c>
      <c r="T31" s="63" t="s">
        <v>512</v>
      </c>
      <c r="U31" s="60" t="s">
        <v>511</v>
      </c>
      <c r="V31" s="60" t="s">
        <v>511</v>
      </c>
      <c r="W31" s="60">
        <f>IFERROR((VLOOKUP(R31,PENDIENTES!$L$5:$M$561,2,0)),0)</f>
        <v>0</v>
      </c>
      <c r="X31" s="60" t="s">
        <v>204</v>
      </c>
    </row>
    <row r="32" spans="2:24" x14ac:dyDescent="0.25">
      <c r="B32" s="63">
        <v>152965</v>
      </c>
      <c r="C32" s="61">
        <f>IFERROR((VLOOKUP(B32,FONT!$W$5:$X$1091,2,0)),0)</f>
        <v>21394557.376568999</v>
      </c>
      <c r="D32" s="63">
        <v>105</v>
      </c>
      <c r="E32" s="60" t="s">
        <v>68</v>
      </c>
      <c r="F32" s="60" t="s">
        <v>217</v>
      </c>
      <c r="G32" s="60">
        <f>IFERROR((VLOOKUP(B32,PENDIENTES!$L$5:$M$561,2,0)),0)</f>
        <v>0</v>
      </c>
      <c r="H32" s="60" t="s">
        <v>204</v>
      </c>
      <c r="R32" s="68">
        <v>1000002861</v>
      </c>
      <c r="S32" s="61">
        <f>IFERROR((VLOOKUP(R32,FONT!$W$5:$X$1091,2,0)),0)</f>
        <v>13097239.509880001</v>
      </c>
      <c r="T32" s="63" t="s">
        <v>513</v>
      </c>
      <c r="U32" s="60" t="s">
        <v>514</v>
      </c>
      <c r="V32" s="60" t="s">
        <v>514</v>
      </c>
      <c r="W32" s="60">
        <f>IFERROR((VLOOKUP(R32,PENDIENTES!$L$5:$M$561,2,0)),0)</f>
        <v>1</v>
      </c>
      <c r="X32" s="60" t="s">
        <v>204</v>
      </c>
    </row>
    <row r="33" spans="2:24" x14ac:dyDescent="0.25">
      <c r="B33" s="63">
        <v>1005849</v>
      </c>
      <c r="C33" s="61">
        <f>IFERROR((VLOOKUP(B33,FONT!$W$5:$X$1091,2,0)),0)</f>
        <v>26196890.727880001</v>
      </c>
      <c r="D33" s="63">
        <v>114</v>
      </c>
      <c r="E33" s="60" t="s">
        <v>218</v>
      </c>
      <c r="F33" s="60" t="s">
        <v>219</v>
      </c>
      <c r="G33" s="60">
        <f>IFERROR((VLOOKUP(B33,PENDIENTES!$L$5:$M$561,2,0)),0)</f>
        <v>0</v>
      </c>
      <c r="H33" s="60" t="s">
        <v>204</v>
      </c>
      <c r="R33" s="63">
        <v>1000003291</v>
      </c>
      <c r="S33" s="61">
        <f>IFERROR((VLOOKUP(R33,FONT!$W$5:$X$1091,2,0)),0)</f>
        <v>60779327.953492001</v>
      </c>
      <c r="T33" s="63" t="s">
        <v>515</v>
      </c>
      <c r="U33" s="60" t="s">
        <v>526</v>
      </c>
      <c r="V33" s="60" t="s">
        <v>526</v>
      </c>
      <c r="W33" s="60">
        <f>IFERROR((VLOOKUP(R33,PENDIENTES!$L$5:$M$561,2,0)),0)</f>
        <v>1</v>
      </c>
      <c r="X33" s="60" t="s">
        <v>204</v>
      </c>
    </row>
    <row r="34" spans="2:24" x14ac:dyDescent="0.25">
      <c r="B34" s="63">
        <v>142481</v>
      </c>
      <c r="C34" s="61">
        <f>IFERROR((VLOOKUP(B34,FONT!$W$5:$X$1091,2,0)),0)</f>
        <v>1058388.8999999999</v>
      </c>
      <c r="D34" s="63">
        <v>1081</v>
      </c>
      <c r="E34" s="60" t="s">
        <v>73</v>
      </c>
      <c r="F34" s="60" t="s">
        <v>216</v>
      </c>
      <c r="G34" s="60">
        <f>IFERROR((VLOOKUP(B34,PENDIENTES!$L$5:$M$561,2,0)),0)</f>
        <v>0</v>
      </c>
      <c r="H34" s="60" t="s">
        <v>204</v>
      </c>
      <c r="R34" s="63">
        <v>1000003292</v>
      </c>
      <c r="S34" s="61">
        <f>IFERROR((VLOOKUP(R34,FONT!$W$5:$X$1091,2,0)),0)</f>
        <v>8581992.0128080007</v>
      </c>
      <c r="T34" s="63" t="s">
        <v>516</v>
      </c>
      <c r="U34" s="60" t="s">
        <v>527</v>
      </c>
      <c r="V34" s="60" t="s">
        <v>527</v>
      </c>
      <c r="W34" s="60">
        <f>IFERROR((VLOOKUP(R34,PENDIENTES!$L$5:$M$561,2,0)),0)</f>
        <v>1</v>
      </c>
      <c r="X34" s="60" t="s">
        <v>204</v>
      </c>
    </row>
    <row r="35" spans="2:24" x14ac:dyDescent="0.25">
      <c r="B35" s="63">
        <v>142482</v>
      </c>
      <c r="C35" s="61">
        <f>IFERROR((VLOOKUP(B35,FONT!$W$5:$X$1091,2,0)),0)</f>
        <v>208796.14</v>
      </c>
      <c r="D35" s="63">
        <v>1082</v>
      </c>
      <c r="E35" s="60" t="s">
        <v>74</v>
      </c>
      <c r="F35" s="60" t="s">
        <v>216</v>
      </c>
      <c r="G35" s="60">
        <f>IFERROR((VLOOKUP(B35,PENDIENTES!$L$5:$M$561,2,0)),0)</f>
        <v>0</v>
      </c>
      <c r="H35" s="60" t="s">
        <v>204</v>
      </c>
      <c r="R35" s="63">
        <v>1000003293</v>
      </c>
      <c r="S35" s="61">
        <f>IFERROR((VLOOKUP(R35,FONT!$W$5:$X$1091,2,0)),0)</f>
        <v>31340123.241996001</v>
      </c>
      <c r="T35" s="63" t="s">
        <v>517</v>
      </c>
      <c r="U35" s="60" t="s">
        <v>528</v>
      </c>
      <c r="V35" s="60" t="s">
        <v>528</v>
      </c>
      <c r="W35" s="60">
        <f>IFERROR((VLOOKUP(R35,PENDIENTES!$L$5:$M$561,2,0)),0)</f>
        <v>1</v>
      </c>
      <c r="X35" s="60" t="s">
        <v>204</v>
      </c>
    </row>
    <row r="36" spans="2:24" x14ac:dyDescent="0.25">
      <c r="B36" s="63">
        <v>65507665273</v>
      </c>
      <c r="C36" s="61">
        <f>IFERROR((VLOOKUP(B36,FONT!$W$5:$X$1091,2,0)),0)</f>
        <v>0</v>
      </c>
      <c r="D36" s="63">
        <v>1094</v>
      </c>
      <c r="E36" s="60" t="s">
        <v>75</v>
      </c>
      <c r="F36" s="60" t="s">
        <v>209</v>
      </c>
      <c r="G36" s="60">
        <f>IFERROR((VLOOKUP(B36,PENDIENTES!$L$5:$M$561,2,0)),0)</f>
        <v>0</v>
      </c>
      <c r="H36" s="60" t="s">
        <v>204</v>
      </c>
      <c r="R36" s="63">
        <v>1000003294</v>
      </c>
      <c r="S36" s="61">
        <f>IFERROR((VLOOKUP(R36,FONT!$W$5:$X$1091,2,0)),0)</f>
        <v>2752363.5903360001</v>
      </c>
      <c r="T36" s="63">
        <v>1528</v>
      </c>
      <c r="U36" s="60" t="s">
        <v>529</v>
      </c>
      <c r="V36" s="60" t="s">
        <v>529</v>
      </c>
      <c r="W36" s="60">
        <f>IFERROR((VLOOKUP(R36,PENDIENTES!$L$5:$M$561,2,0)),0)</f>
        <v>0</v>
      </c>
      <c r="X36" s="60" t="s">
        <v>204</v>
      </c>
    </row>
    <row r="37" spans="2:24" x14ac:dyDescent="0.25">
      <c r="B37" s="63">
        <v>1018014</v>
      </c>
      <c r="C37" s="61">
        <f>IFERROR((VLOOKUP(B37,FONT!$W$5:$X$1091,2,0)),0)</f>
        <v>4309.26</v>
      </c>
      <c r="D37" s="63">
        <v>1018014</v>
      </c>
      <c r="E37" s="60" t="s">
        <v>79</v>
      </c>
      <c r="F37" s="60" t="s">
        <v>79</v>
      </c>
      <c r="G37" s="60">
        <f>IFERROR((VLOOKUP(B37,PENDIENTES!$L$5:$M$561,2,0)),0)</f>
        <v>0</v>
      </c>
      <c r="H37" s="60" t="s">
        <v>204</v>
      </c>
      <c r="R37" s="63">
        <v>1000003295</v>
      </c>
      <c r="S37" s="61">
        <f>IFERROR((VLOOKUP(R37,FONT!$W$5:$X$1091,2,0)),0)</f>
        <v>82669240.862708002</v>
      </c>
      <c r="T37" s="63" t="s">
        <v>518</v>
      </c>
      <c r="U37" s="60" t="s">
        <v>530</v>
      </c>
      <c r="V37" s="60" t="s">
        <v>530</v>
      </c>
      <c r="W37" s="60">
        <f>IFERROR((VLOOKUP(R37,PENDIENTES!$L$5:$M$561,2,0)),0)</f>
        <v>1</v>
      </c>
      <c r="X37" s="60" t="s">
        <v>204</v>
      </c>
    </row>
    <row r="38" spans="2:24" x14ac:dyDescent="0.25">
      <c r="B38" s="63">
        <v>1018122</v>
      </c>
      <c r="C38" s="61">
        <f>IFERROR((VLOOKUP(B38,FONT!$W$5:$X$1091,2,0)),0)</f>
        <v>59838.68</v>
      </c>
      <c r="D38" s="63">
        <v>1018122</v>
      </c>
      <c r="E38" s="60" t="s">
        <v>80</v>
      </c>
      <c r="F38" s="60" t="s">
        <v>216</v>
      </c>
      <c r="G38" s="60">
        <f>IFERROR((VLOOKUP(B38,PENDIENTES!$L$5:$M$561,2,0)),0)</f>
        <v>0</v>
      </c>
      <c r="H38" s="60" t="s">
        <v>204</v>
      </c>
      <c r="R38" s="63">
        <v>1000003296</v>
      </c>
      <c r="S38" s="61">
        <f>IFERROR((VLOOKUP(R38,FONT!$W$5:$X$1091,2,0)),0)</f>
        <v>29963625.547031999</v>
      </c>
      <c r="T38" s="63" t="s">
        <v>519</v>
      </c>
      <c r="U38" s="60" t="s">
        <v>531</v>
      </c>
      <c r="V38" s="60" t="s">
        <v>531</v>
      </c>
      <c r="W38" s="60">
        <f>IFERROR((VLOOKUP(R38,PENDIENTES!$L$5:$M$561,2,0)),0)</f>
        <v>0</v>
      </c>
      <c r="X38" s="60" t="s">
        <v>204</v>
      </c>
    </row>
    <row r="39" spans="2:24" x14ac:dyDescent="0.25">
      <c r="B39" s="63">
        <v>1018302</v>
      </c>
      <c r="C39" s="61">
        <f>IFERROR((VLOOKUP(B39,FONT!$W$5:$X$1091,2,0)),0)</f>
        <v>2957355.92</v>
      </c>
      <c r="D39" s="63">
        <v>1018302</v>
      </c>
      <c r="E39" s="60" t="s">
        <v>81</v>
      </c>
      <c r="F39" s="60" t="s">
        <v>216</v>
      </c>
      <c r="G39" s="60">
        <f>IFERROR((VLOOKUP(B39,PENDIENTES!$L$5:$M$561,2,0)),0)</f>
        <v>0</v>
      </c>
      <c r="H39" s="60" t="s">
        <v>204</v>
      </c>
      <c r="R39" s="63">
        <v>1000003297</v>
      </c>
      <c r="S39" s="61">
        <f>IFERROR((VLOOKUP(R39,FONT!$W$5:$X$1091,2,0)),0)</f>
        <v>10801619.469752001</v>
      </c>
      <c r="T39" s="63" t="s">
        <v>520</v>
      </c>
      <c r="U39" s="60" t="s">
        <v>532</v>
      </c>
      <c r="V39" s="60" t="s">
        <v>532</v>
      </c>
      <c r="W39" s="60">
        <f>IFERROR((VLOOKUP(R39,PENDIENTES!$L$5:$M$561,2,0)),0)</f>
        <v>1</v>
      </c>
      <c r="X39" s="60" t="s">
        <v>204</v>
      </c>
    </row>
    <row r="40" spans="2:24" x14ac:dyDescent="0.25">
      <c r="B40" s="63">
        <v>65502313952</v>
      </c>
      <c r="C40" s="61">
        <f>IFERROR((VLOOKUP(B40,FONT!$W$5:$X$1091,2,0)),0)</f>
        <v>1667338100.6397631</v>
      </c>
      <c r="D40" s="63">
        <v>92</v>
      </c>
      <c r="E40" s="60" t="s">
        <v>213</v>
      </c>
      <c r="F40" s="60" t="s">
        <v>214</v>
      </c>
      <c r="G40" s="60">
        <f>IFERROR((VLOOKUP(B40,PENDIENTES!$L$5:$M$561,2,0)),0)</f>
        <v>0</v>
      </c>
      <c r="H40" s="60" t="s">
        <v>204</v>
      </c>
      <c r="R40" s="63">
        <v>1000003298</v>
      </c>
      <c r="S40" s="61">
        <f>IFERROR((VLOOKUP(R40,FONT!$W$5:$X$1091,2,0)),0)</f>
        <v>26481530.031164002</v>
      </c>
      <c r="T40" s="63" t="s">
        <v>521</v>
      </c>
      <c r="U40" s="60" t="s">
        <v>533</v>
      </c>
      <c r="V40" s="60" t="s">
        <v>533</v>
      </c>
      <c r="W40" s="60">
        <f>IFERROR((VLOOKUP(R40,PENDIENTES!$L$5:$M$561,2,0)),0)</f>
        <v>1</v>
      </c>
      <c r="X40" s="60" t="s">
        <v>204</v>
      </c>
    </row>
    <row r="41" spans="2:24" x14ac:dyDescent="0.25">
      <c r="B41" s="63">
        <v>1036724</v>
      </c>
      <c r="C41" s="61">
        <f>IFERROR((VLOOKUP(B41,FONT!$W$5:$X$1091,2,0)),0)</f>
        <v>9398474.0984480008</v>
      </c>
      <c r="D41" s="63" t="s">
        <v>313</v>
      </c>
      <c r="E41" s="60" t="s">
        <v>315</v>
      </c>
      <c r="F41" s="60" t="s">
        <v>315</v>
      </c>
      <c r="G41" s="60">
        <f>IFERROR((VLOOKUP(B41,PENDIENTES!$L$5:$M$561,2,0)),0)</f>
        <v>0</v>
      </c>
      <c r="H41" s="60" t="s">
        <v>204</v>
      </c>
      <c r="R41" s="63">
        <v>1000003299</v>
      </c>
      <c r="S41" s="61">
        <f>IFERROR((VLOOKUP(R41,FONT!$W$5:$X$1091,2,0)),0)</f>
        <v>96704930.350431994</v>
      </c>
      <c r="T41" s="63">
        <v>6981</v>
      </c>
      <c r="U41" s="60" t="s">
        <v>534</v>
      </c>
      <c r="V41" s="60" t="s">
        <v>534</v>
      </c>
      <c r="W41" s="60">
        <f>IFERROR((VLOOKUP(R41,PENDIENTES!$L$5:$M$561,2,0)),0)</f>
        <v>1</v>
      </c>
      <c r="X41" s="60" t="s">
        <v>204</v>
      </c>
    </row>
    <row r="42" spans="2:24" x14ac:dyDescent="0.25">
      <c r="B42" s="63">
        <v>65508989338</v>
      </c>
      <c r="C42" s="61">
        <f>IFERROR((VLOOKUP(B42,FONT!$W$5:$X$1091,2,0)),0)</f>
        <v>57461140.273712002</v>
      </c>
      <c r="D42" s="63" t="s">
        <v>318</v>
      </c>
      <c r="E42" s="60" t="s">
        <v>316</v>
      </c>
      <c r="F42" s="60" t="s">
        <v>316</v>
      </c>
      <c r="G42" s="60">
        <f>IFERROR((VLOOKUP(B42,PENDIENTES!$L$5:$M$561,2,0)),0)</f>
        <v>0</v>
      </c>
      <c r="H42" s="60" t="s">
        <v>204</v>
      </c>
      <c r="R42" s="63">
        <v>1000003300</v>
      </c>
      <c r="S42" s="61">
        <f>IFERROR((VLOOKUP(R42,FONT!$W$5:$X$1091,2,0)),0)</f>
        <v>10765009.061136</v>
      </c>
      <c r="T42" s="63" t="s">
        <v>522</v>
      </c>
      <c r="U42" s="60" t="s">
        <v>535</v>
      </c>
      <c r="V42" s="60" t="s">
        <v>535</v>
      </c>
      <c r="W42" s="60">
        <f>IFERROR((VLOOKUP(R42,PENDIENTES!$L$5:$M$561,2,0)),0)</f>
        <v>0</v>
      </c>
      <c r="X42" s="60" t="s">
        <v>204</v>
      </c>
    </row>
    <row r="43" spans="2:24" x14ac:dyDescent="0.25">
      <c r="B43" s="63">
        <v>65507143699</v>
      </c>
      <c r="C43" s="61">
        <f>IFERROR((VLOOKUP(B43,FONT!$W$5:$X$1091,2,0)),0)</f>
        <v>469565.06172900001</v>
      </c>
      <c r="D43" s="63" t="s">
        <v>327</v>
      </c>
      <c r="E43" s="60" t="s">
        <v>327</v>
      </c>
      <c r="F43" s="60" t="s">
        <v>327</v>
      </c>
      <c r="G43" s="60">
        <f>IFERROR((VLOOKUP(B43,PENDIENTES!$L$5:$M$561,2,0)),0)</f>
        <v>0</v>
      </c>
      <c r="H43" s="60" t="s">
        <v>204</v>
      </c>
      <c r="R43" s="63">
        <v>1000003301</v>
      </c>
      <c r="S43" s="61">
        <f>IFERROR((VLOOKUP(R43,FONT!$W$5:$X$1091,2,0)),0)</f>
        <v>21470183.983491998</v>
      </c>
      <c r="T43" s="63" t="s">
        <v>523</v>
      </c>
      <c r="U43" s="60" t="s">
        <v>536</v>
      </c>
      <c r="V43" s="60" t="s">
        <v>536</v>
      </c>
      <c r="W43" s="60">
        <f>IFERROR((VLOOKUP(R43,PENDIENTES!$L$5:$M$561,2,0)),0)</f>
        <v>0</v>
      </c>
      <c r="X43" s="60" t="s">
        <v>204</v>
      </c>
    </row>
    <row r="44" spans="2:24" x14ac:dyDescent="0.25">
      <c r="B44" s="63">
        <v>65507143745</v>
      </c>
      <c r="C44" s="61">
        <f>IFERROR((VLOOKUP(B44,FONT!$W$5:$X$1091,2,0)),0)</f>
        <v>296669.94669900002</v>
      </c>
      <c r="D44" s="63" t="s">
        <v>328</v>
      </c>
      <c r="E44" s="60" t="s">
        <v>328</v>
      </c>
      <c r="F44" s="60" t="s">
        <v>328</v>
      </c>
      <c r="G44" s="60">
        <f>IFERROR((VLOOKUP(B44,PENDIENTES!$L$5:$M$561,2,0)),0)</f>
        <v>0</v>
      </c>
      <c r="H44" s="60" t="s">
        <v>204</v>
      </c>
      <c r="R44" s="63">
        <v>1000003302</v>
      </c>
      <c r="S44" s="61">
        <f>IFERROR((VLOOKUP(R44,FONT!$W$5:$X$1091,2,0)),0)</f>
        <v>13975865.53926</v>
      </c>
      <c r="T44" s="63" t="s">
        <v>524</v>
      </c>
      <c r="U44" s="60" t="s">
        <v>537</v>
      </c>
      <c r="V44" s="60" t="s">
        <v>537</v>
      </c>
      <c r="W44" s="60">
        <f>IFERROR((VLOOKUP(R44,PENDIENTES!$L$5:$M$561,2,0)),0)</f>
        <v>1</v>
      </c>
      <c r="X44" s="60" t="s">
        <v>204</v>
      </c>
    </row>
    <row r="45" spans="2:24" x14ac:dyDescent="0.25">
      <c r="B45" s="63">
        <v>65507142173</v>
      </c>
      <c r="C45" s="61">
        <f>IFERROR((VLOOKUP(B45,FONT!$W$5:$X$1091,2,0)),0)</f>
        <v>739470.93246499996</v>
      </c>
      <c r="D45" s="63" t="s">
        <v>329</v>
      </c>
      <c r="E45" s="60" t="s">
        <v>329</v>
      </c>
      <c r="F45" s="60" t="s">
        <v>329</v>
      </c>
      <c r="G45" s="60">
        <f>IFERROR((VLOOKUP(B45,PENDIENTES!$L$5:$M$561,2,0)),0)</f>
        <v>0</v>
      </c>
      <c r="H45" s="60" t="s">
        <v>204</v>
      </c>
      <c r="R45" s="63">
        <v>1000003305</v>
      </c>
      <c r="S45" s="61">
        <f>IFERROR((VLOOKUP(R45,FONT!$W$5:$X$1091,2,0)),0)</f>
        <v>10526385.828136001</v>
      </c>
      <c r="T45" s="63" t="s">
        <v>525</v>
      </c>
      <c r="U45" s="60" t="s">
        <v>538</v>
      </c>
      <c r="V45" s="60" t="s">
        <v>538</v>
      </c>
      <c r="W45" s="60">
        <f>IFERROR((VLOOKUP(R45,PENDIENTES!$L$5:$M$561,2,0)),0)</f>
        <v>0</v>
      </c>
      <c r="X45" s="60" t="s">
        <v>204</v>
      </c>
    </row>
    <row r="46" spans="2:24" x14ac:dyDescent="0.25">
      <c r="B46" s="63">
        <v>65507052215</v>
      </c>
      <c r="C46" s="61">
        <f>IFERROR((VLOOKUP(B46,FONT!$W$5:$X$1091,2,0)),0)</f>
        <v>7911653.4124480002</v>
      </c>
      <c r="D46" s="63" t="s">
        <v>330</v>
      </c>
      <c r="E46" s="60" t="s">
        <v>331</v>
      </c>
      <c r="F46" s="60" t="s">
        <v>331</v>
      </c>
      <c r="G46" s="60">
        <f>IFERROR((VLOOKUP(B46,PENDIENTES!$L$5:$M$561,2,0)),0)</f>
        <v>0</v>
      </c>
      <c r="H46" s="60" t="s">
        <v>204</v>
      </c>
      <c r="R46" s="63">
        <v>1000003307</v>
      </c>
      <c r="S46" s="61">
        <f>IFERROR((VLOOKUP(R46,FONT!$W$5:$X$1091,2,0)),0)</f>
        <v>7177.3792359999998</v>
      </c>
      <c r="T46" s="63" t="s">
        <v>547</v>
      </c>
      <c r="U46" s="60" t="s">
        <v>548</v>
      </c>
      <c r="V46" s="60" t="s">
        <v>548</v>
      </c>
      <c r="W46" s="60">
        <f>IFERROR((VLOOKUP(R46,PENDIENTES!$L$5:$M$561,2,0)),0)</f>
        <v>0</v>
      </c>
      <c r="X46" s="60" t="s">
        <v>204</v>
      </c>
    </row>
    <row r="47" spans="2:24" x14ac:dyDescent="0.25">
      <c r="B47" s="63">
        <v>65507052277</v>
      </c>
      <c r="C47" s="61">
        <f>IFERROR((VLOOKUP(B47,FONT!$W$5:$X$1091,2,0)),0)</f>
        <v>5074705.3529690001</v>
      </c>
      <c r="D47" s="63" t="s">
        <v>332</v>
      </c>
      <c r="E47" s="60" t="s">
        <v>331</v>
      </c>
      <c r="F47" s="60" t="s">
        <v>331</v>
      </c>
      <c r="G47" s="60">
        <f>IFERROR((VLOOKUP(B47,PENDIENTES!$L$5:$M$561,2,0)),0)</f>
        <v>0</v>
      </c>
      <c r="H47" s="60" t="s">
        <v>204</v>
      </c>
      <c r="R47" s="63">
        <v>1000003968</v>
      </c>
      <c r="S47" s="61">
        <f>IFERROR((VLOOKUP(R47,FONT!$W$5:$X$1091,2,0)),0)</f>
        <v>0</v>
      </c>
      <c r="T47" s="63" t="s">
        <v>549</v>
      </c>
      <c r="U47" s="60" t="s">
        <v>550</v>
      </c>
      <c r="V47" s="60" t="s">
        <v>550</v>
      </c>
      <c r="W47" s="60">
        <f>IFERROR((VLOOKUP(R47,PENDIENTES!$L$5:$M$561,2,0)),0)</f>
        <v>0</v>
      </c>
      <c r="X47" s="60" t="s">
        <v>204</v>
      </c>
    </row>
    <row r="48" spans="2:24" x14ac:dyDescent="0.25">
      <c r="B48" s="63">
        <v>65507052294</v>
      </c>
      <c r="C48" s="61">
        <f>IFERROR((VLOOKUP(B48,FONT!$W$5:$X$1091,2,0)),0)</f>
        <v>7726026.700096</v>
      </c>
      <c r="D48" s="63" t="s">
        <v>333</v>
      </c>
      <c r="E48" s="60" t="s">
        <v>331</v>
      </c>
      <c r="F48" s="60" t="s">
        <v>331</v>
      </c>
      <c r="G48" s="60">
        <f>IFERROR((VLOOKUP(B48,PENDIENTES!$L$5:$M$561,2,0)),0)</f>
        <v>0</v>
      </c>
      <c r="H48" s="60" t="s">
        <v>204</v>
      </c>
      <c r="R48" s="63">
        <v>1000003306</v>
      </c>
      <c r="S48" s="61">
        <f>IFERROR((VLOOKUP(R48,FONT!$W$5:$X$1091,2,0)),0)</f>
        <v>0</v>
      </c>
      <c r="T48" s="63" t="s">
        <v>620</v>
      </c>
      <c r="U48" s="60" t="s">
        <v>621</v>
      </c>
      <c r="V48" s="60" t="s">
        <v>621</v>
      </c>
      <c r="W48" s="60">
        <f>IFERROR((VLOOKUP(R48,PENDIENTES!$L$5:$M$561,2,0)),0)</f>
        <v>0</v>
      </c>
      <c r="X48" s="60" t="s">
        <v>204</v>
      </c>
    </row>
    <row r="49" spans="2:8" x14ac:dyDescent="0.25">
      <c r="B49" s="63">
        <v>1037923</v>
      </c>
      <c r="C49" s="61">
        <f>IFERROR((VLOOKUP(B49,FONT!$W$5:$X$1091,2,0)),0)</f>
        <v>1499134.751252</v>
      </c>
      <c r="D49" s="63" t="s">
        <v>320</v>
      </c>
      <c r="E49" s="60" t="s">
        <v>320</v>
      </c>
      <c r="F49" s="60" t="s">
        <v>320</v>
      </c>
      <c r="G49" s="60">
        <f>IFERROR((VLOOKUP(B49,PENDIENTES!$L$5:$M$561,2,0)),0)</f>
        <v>0</v>
      </c>
      <c r="H49" s="60" t="s">
        <v>204</v>
      </c>
    </row>
    <row r="50" spans="2:8" x14ac:dyDescent="0.25">
      <c r="B50" s="63">
        <v>1037924</v>
      </c>
      <c r="C50" s="61">
        <f>IFERROR((VLOOKUP(B50,FONT!$W$5:$X$1091,2,0)),0)</f>
        <v>0</v>
      </c>
      <c r="D50" s="63" t="s">
        <v>322</v>
      </c>
      <c r="E50" s="60" t="s">
        <v>322</v>
      </c>
      <c r="F50" s="60" t="s">
        <v>322</v>
      </c>
      <c r="G50" s="60">
        <f>IFERROR((VLOOKUP(B50,PENDIENTES!$L$5:$M$561,2,0)),0)</f>
        <v>0</v>
      </c>
      <c r="H50" s="60" t="s">
        <v>204</v>
      </c>
    </row>
    <row r="51" spans="2:8" x14ac:dyDescent="0.25">
      <c r="B51" s="63">
        <v>1037925</v>
      </c>
      <c r="C51" s="61">
        <f>IFERROR((VLOOKUP(B51,FONT!$W$5:$X$1091,2,0)),0)</f>
        <v>1531784.5237159999</v>
      </c>
      <c r="D51" s="63" t="s">
        <v>321</v>
      </c>
      <c r="E51" s="60" t="s">
        <v>321</v>
      </c>
      <c r="F51" s="60" t="s">
        <v>321</v>
      </c>
      <c r="G51" s="60">
        <f>IFERROR((VLOOKUP(B51,PENDIENTES!$L$5:$M$561,2,0)),0)</f>
        <v>0</v>
      </c>
      <c r="H51" s="60" t="s">
        <v>204</v>
      </c>
    </row>
    <row r="52" spans="2:8" x14ac:dyDescent="0.25">
      <c r="B52" s="63">
        <v>65509560409</v>
      </c>
      <c r="C52" s="61">
        <f>IFERROR((VLOOKUP(B52,FONT!$W$5:$X$1091,2,0)),0)</f>
        <v>57344512.107092001</v>
      </c>
      <c r="D52" s="63" t="s">
        <v>353</v>
      </c>
      <c r="E52" s="60" t="s">
        <v>349</v>
      </c>
      <c r="F52" s="60" t="s">
        <v>349</v>
      </c>
      <c r="G52" s="60">
        <f>IFERROR((VLOOKUP(B52,PENDIENTES!$L$5:$M$561,2,0)),0)</f>
        <v>0</v>
      </c>
      <c r="H52" s="60" t="s">
        <v>204</v>
      </c>
    </row>
    <row r="53" spans="2:8" x14ac:dyDescent="0.25">
      <c r="B53" s="63">
        <v>65509560426</v>
      </c>
      <c r="C53" s="61">
        <f>IFERROR((VLOOKUP(B53,FONT!$W$5:$X$1091,2,0)),0)</f>
        <v>217913.11411600001</v>
      </c>
      <c r="D53" s="63" t="s">
        <v>354</v>
      </c>
      <c r="E53" s="60" t="s">
        <v>350</v>
      </c>
      <c r="F53" s="60" t="s">
        <v>350</v>
      </c>
      <c r="G53" s="60">
        <f>IFERROR((VLOOKUP(B53,PENDIENTES!$L$5:$M$561,2,0)),0)</f>
        <v>0</v>
      </c>
      <c r="H53" s="60" t="s">
        <v>204</v>
      </c>
    </row>
    <row r="54" spans="2:8" x14ac:dyDescent="0.25">
      <c r="B54" s="63">
        <v>65509560457</v>
      </c>
      <c r="C54" s="61">
        <f>IFERROR((VLOOKUP(B54,FONT!$W$5:$X$1091,2,0)),0)</f>
        <v>1277403.6654079999</v>
      </c>
      <c r="D54" s="63" t="s">
        <v>355</v>
      </c>
      <c r="E54" s="60" t="s">
        <v>351</v>
      </c>
      <c r="F54" s="60" t="s">
        <v>351</v>
      </c>
      <c r="G54" s="60">
        <f>IFERROR((VLOOKUP(B54,PENDIENTES!$L$5:$M$561,2,0)),0)</f>
        <v>0</v>
      </c>
      <c r="H54" s="60" t="s">
        <v>204</v>
      </c>
    </row>
    <row r="55" spans="2:8" x14ac:dyDescent="0.25">
      <c r="B55" s="63">
        <v>65509560443</v>
      </c>
      <c r="C55" s="61">
        <f>IFERROR((VLOOKUP(B55,FONT!$W$5:$X$1091,2,0)),0)</f>
        <v>594835.91909600003</v>
      </c>
      <c r="D55" s="63" t="s">
        <v>356</v>
      </c>
      <c r="E55" s="60" t="s">
        <v>352</v>
      </c>
      <c r="F55" s="60" t="s">
        <v>352</v>
      </c>
      <c r="G55" s="60">
        <f>IFERROR((VLOOKUP(B55,PENDIENTES!$L$5:$M$561,2,0)),0)</f>
        <v>0</v>
      </c>
      <c r="H55" s="60" t="s">
        <v>204</v>
      </c>
    </row>
    <row r="56" spans="2:8" x14ac:dyDescent="0.25">
      <c r="B56" s="63">
        <v>1036723</v>
      </c>
      <c r="C56" s="61">
        <f>IFERROR((VLOOKUP(B56,FONT!$W$5:$X$1091,2,0)),0)</f>
        <v>4302568.8086080002</v>
      </c>
      <c r="D56" s="63" t="s">
        <v>312</v>
      </c>
      <c r="E56" s="60" t="s">
        <v>314</v>
      </c>
      <c r="F56" s="60" t="s">
        <v>314</v>
      </c>
      <c r="G56" s="60">
        <f>IFERROR((VLOOKUP(B56,PENDIENTES!$L$5:$M$561,2,0)),0)</f>
        <v>0</v>
      </c>
      <c r="H56" s="60" t="s">
        <v>204</v>
      </c>
    </row>
  </sheetData>
  <mergeCells count="3">
    <mergeCell ref="B5:H5"/>
    <mergeCell ref="J5:P5"/>
    <mergeCell ref="R5:X5"/>
  </mergeCells>
  <conditionalFormatting sqref="R22:R24">
    <cfRule type="duplicateValues" dxfId="5" priority="14"/>
  </conditionalFormatting>
  <conditionalFormatting sqref="R47:R48">
    <cfRule type="duplicateValues" dxfId="4" priority="8"/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4002D-90BE-4156-AF93-40FE3B8F904A}">
  <sheetPr codeName="Hoja13"/>
  <dimension ref="B1:G19"/>
  <sheetViews>
    <sheetView workbookViewId="0">
      <selection activeCell="U15" sqref="U15"/>
    </sheetView>
  </sheetViews>
  <sheetFormatPr baseColWidth="10" defaultRowHeight="15" x14ac:dyDescent="0.25"/>
  <cols>
    <col min="1" max="1" width="1.5703125" customWidth="1"/>
    <col min="2" max="3" width="14.5703125" bestFit="1" customWidth="1"/>
  </cols>
  <sheetData>
    <row r="1" spans="2:7" x14ac:dyDescent="0.25">
      <c r="B1" s="1" t="s">
        <v>23</v>
      </c>
      <c r="C1" s="1" t="s">
        <v>107</v>
      </c>
      <c r="D1" s="1" t="s">
        <v>108</v>
      </c>
      <c r="E1" s="1" t="s">
        <v>890</v>
      </c>
      <c r="F1" s="99" t="s">
        <v>106</v>
      </c>
      <c r="G1" s="8" t="s">
        <v>891</v>
      </c>
    </row>
    <row r="2" spans="2:7" x14ac:dyDescent="0.25">
      <c r="B2" s="103" t="s">
        <v>196</v>
      </c>
      <c r="G2" s="101"/>
    </row>
    <row r="3" spans="2:7" x14ac:dyDescent="0.25">
      <c r="B3">
        <v>1000003633</v>
      </c>
      <c r="C3">
        <v>1000003633</v>
      </c>
      <c r="D3" t="s">
        <v>883</v>
      </c>
      <c r="E3" t="s">
        <v>389</v>
      </c>
      <c r="F3">
        <v>22704027.444772001</v>
      </c>
      <c r="G3" s="101"/>
    </row>
    <row r="4" spans="2:7" x14ac:dyDescent="0.25">
      <c r="B4">
        <v>1000003633</v>
      </c>
      <c r="C4">
        <v>1000003633</v>
      </c>
      <c r="D4" t="s">
        <v>883</v>
      </c>
      <c r="E4" t="s">
        <v>407</v>
      </c>
      <c r="F4">
        <v>4550267.4924539998</v>
      </c>
      <c r="G4" s="101"/>
    </row>
    <row r="5" spans="2:7" x14ac:dyDescent="0.25">
      <c r="B5">
        <v>1000003633</v>
      </c>
      <c r="C5">
        <v>1000003633</v>
      </c>
      <c r="D5" t="s">
        <v>883</v>
      </c>
      <c r="E5" t="s">
        <v>406</v>
      </c>
      <c r="F5">
        <v>69181403.535607994</v>
      </c>
      <c r="G5" s="101"/>
    </row>
    <row r="6" spans="2:7" x14ac:dyDescent="0.25">
      <c r="B6">
        <v>1000003633</v>
      </c>
      <c r="C6">
        <v>1000003633</v>
      </c>
      <c r="D6" t="s">
        <v>883</v>
      </c>
      <c r="E6" t="s">
        <v>404</v>
      </c>
      <c r="F6">
        <v>77244812.848480001</v>
      </c>
      <c r="G6" s="101"/>
    </row>
    <row r="7" spans="2:7" x14ac:dyDescent="0.25">
      <c r="B7">
        <v>1000003633</v>
      </c>
      <c r="C7">
        <v>1000003633</v>
      </c>
      <c r="D7" t="s">
        <v>883</v>
      </c>
      <c r="E7" t="s">
        <v>405</v>
      </c>
      <c r="F7">
        <v>243663010.213608</v>
      </c>
      <c r="G7" s="101"/>
    </row>
    <row r="8" spans="2:7" x14ac:dyDescent="0.25">
      <c r="B8">
        <v>1000002677</v>
      </c>
      <c r="C8">
        <v>1000002677</v>
      </c>
      <c r="D8" t="s">
        <v>884</v>
      </c>
      <c r="E8" t="s">
        <v>389</v>
      </c>
      <c r="F8">
        <v>1511.5635400000001</v>
      </c>
      <c r="G8" s="101"/>
    </row>
    <row r="9" spans="2:7" x14ac:dyDescent="0.25">
      <c r="B9">
        <v>1000002677</v>
      </c>
      <c r="C9">
        <v>1000002677</v>
      </c>
      <c r="D9" t="s">
        <v>884</v>
      </c>
      <c r="E9" t="s">
        <v>406</v>
      </c>
      <c r="F9">
        <v>699922.94494199997</v>
      </c>
      <c r="G9" s="101"/>
    </row>
    <row r="10" spans="2:7" x14ac:dyDescent="0.25">
      <c r="B10">
        <v>1000002677</v>
      </c>
      <c r="C10">
        <v>1000002677</v>
      </c>
      <c r="D10" t="s">
        <v>884</v>
      </c>
      <c r="E10" t="s">
        <v>405</v>
      </c>
      <c r="F10">
        <v>335704.74483600003</v>
      </c>
      <c r="G10" s="101"/>
    </row>
    <row r="11" spans="2:7" x14ac:dyDescent="0.25">
      <c r="B11">
        <v>10000001249</v>
      </c>
      <c r="C11">
        <v>10000001249</v>
      </c>
      <c r="D11" t="s">
        <v>885</v>
      </c>
      <c r="E11" t="s">
        <v>389</v>
      </c>
      <c r="F11">
        <v>1511.5635400000001</v>
      </c>
      <c r="G11" s="101"/>
    </row>
    <row r="12" spans="2:7" x14ac:dyDescent="0.25">
      <c r="B12">
        <v>10000001249</v>
      </c>
      <c r="C12">
        <v>10000001249</v>
      </c>
      <c r="D12" t="s">
        <v>885</v>
      </c>
      <c r="E12" t="s">
        <v>406</v>
      </c>
      <c r="F12">
        <v>699922.94494199997</v>
      </c>
      <c r="G12" s="101"/>
    </row>
    <row r="13" spans="2:7" x14ac:dyDescent="0.25">
      <c r="B13">
        <v>10000001249</v>
      </c>
      <c r="C13">
        <v>10000001249</v>
      </c>
      <c r="D13" t="s">
        <v>885</v>
      </c>
      <c r="E13" t="s">
        <v>405</v>
      </c>
      <c r="F13">
        <v>335704.74483600003</v>
      </c>
      <c r="G13" s="101"/>
    </row>
    <row r="14" spans="2:7" x14ac:dyDescent="0.25">
      <c r="B14">
        <v>65507895505</v>
      </c>
      <c r="C14">
        <v>65507895505</v>
      </c>
      <c r="D14" t="s">
        <v>886</v>
      </c>
      <c r="E14" t="s">
        <v>389</v>
      </c>
      <c r="F14">
        <v>1511.5635400000001</v>
      </c>
      <c r="G14" s="101"/>
    </row>
    <row r="15" spans="2:7" x14ac:dyDescent="0.25">
      <c r="B15">
        <v>65507895505</v>
      </c>
      <c r="C15">
        <v>65507895505</v>
      </c>
      <c r="D15" t="s">
        <v>886</v>
      </c>
      <c r="E15" t="s">
        <v>406</v>
      </c>
      <c r="F15">
        <v>699922.94494199997</v>
      </c>
      <c r="G15" s="101"/>
    </row>
    <row r="16" spans="2:7" x14ac:dyDescent="0.25">
      <c r="B16">
        <v>65507895505</v>
      </c>
      <c r="C16">
        <v>65507895505</v>
      </c>
      <c r="D16" t="s">
        <v>886</v>
      </c>
      <c r="E16" t="s">
        <v>405</v>
      </c>
      <c r="F16">
        <v>335704.74483600003</v>
      </c>
      <c r="G16" s="101"/>
    </row>
    <row r="17" spans="2:7" x14ac:dyDescent="0.25">
      <c r="B17">
        <v>65506131264</v>
      </c>
      <c r="C17">
        <v>65506131264</v>
      </c>
      <c r="D17" t="s">
        <v>887</v>
      </c>
      <c r="E17" t="s">
        <v>389</v>
      </c>
      <c r="F17">
        <v>1511.5635400000001</v>
      </c>
      <c r="G17" s="101"/>
    </row>
    <row r="18" spans="2:7" x14ac:dyDescent="0.25">
      <c r="B18">
        <v>65506131264</v>
      </c>
      <c r="C18">
        <v>65506131264</v>
      </c>
      <c r="D18" t="s">
        <v>887</v>
      </c>
      <c r="E18" t="s">
        <v>406</v>
      </c>
      <c r="F18">
        <v>699922.94494199997</v>
      </c>
      <c r="G18" s="101"/>
    </row>
    <row r="19" spans="2:7" x14ac:dyDescent="0.25">
      <c r="B19">
        <v>65506131264</v>
      </c>
      <c r="C19">
        <v>65506131264</v>
      </c>
      <c r="D19" t="s">
        <v>887</v>
      </c>
      <c r="E19" t="s">
        <v>405</v>
      </c>
      <c r="F19">
        <v>335704.74483600003</v>
      </c>
      <c r="G19" s="10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1" filterMode="1"/>
  <dimension ref="A1:H183"/>
  <sheetViews>
    <sheetView topLeftCell="A179" zoomScale="107" workbookViewId="0">
      <selection activeCell="E184" sqref="E184"/>
    </sheetView>
  </sheetViews>
  <sheetFormatPr baseColWidth="10" defaultRowHeight="15" x14ac:dyDescent="0.25"/>
  <cols>
    <col min="1" max="1" width="11.28515625" bestFit="1" customWidth="1"/>
    <col min="2" max="2" width="16.42578125" style="102" bestFit="1" customWidth="1"/>
    <col min="3" max="3" width="12.140625" bestFit="1" customWidth="1"/>
    <col min="4" max="4" width="22" bestFit="1" customWidth="1"/>
    <col min="5" max="5" width="79.42578125" bestFit="1" customWidth="1"/>
    <col min="6" max="6" width="78.140625" bestFit="1" customWidth="1"/>
    <col min="7" max="7" width="15.85546875" bestFit="1" customWidth="1"/>
    <col min="8" max="8" width="11.85546875" bestFit="1" customWidth="1"/>
  </cols>
  <sheetData>
    <row r="1" spans="1:8" x14ac:dyDescent="0.25">
      <c r="A1" s="1" t="s">
        <v>188</v>
      </c>
      <c r="B1" s="100" t="s">
        <v>23</v>
      </c>
      <c r="C1" s="7" t="s">
        <v>106</v>
      </c>
      <c r="D1" s="1" t="s">
        <v>107</v>
      </c>
      <c r="E1" s="1" t="s">
        <v>108</v>
      </c>
      <c r="F1" s="1" t="s">
        <v>109</v>
      </c>
      <c r="G1" s="8" t="s">
        <v>144</v>
      </c>
      <c r="H1" s="8" t="s">
        <v>110</v>
      </c>
    </row>
    <row r="2" spans="1:8" hidden="1" x14ac:dyDescent="0.25">
      <c r="A2" t="s">
        <v>88</v>
      </c>
      <c r="B2" s="101">
        <v>156622</v>
      </c>
      <c r="D2">
        <v>58</v>
      </c>
      <c r="E2" t="s">
        <v>39</v>
      </c>
      <c r="F2" t="s">
        <v>39</v>
      </c>
      <c r="H2" t="s">
        <v>204</v>
      </c>
    </row>
    <row r="3" spans="1:8" hidden="1" x14ac:dyDescent="0.25">
      <c r="A3" t="s">
        <v>88</v>
      </c>
      <c r="B3" s="101">
        <v>154702</v>
      </c>
      <c r="D3">
        <v>60</v>
      </c>
      <c r="E3" t="s">
        <v>40</v>
      </c>
      <c r="F3" t="s">
        <v>210</v>
      </c>
      <c r="H3" t="s">
        <v>204</v>
      </c>
    </row>
    <row r="4" spans="1:8" hidden="1" x14ac:dyDescent="0.25">
      <c r="A4" t="s">
        <v>88</v>
      </c>
      <c r="B4" s="101">
        <v>80820</v>
      </c>
      <c r="D4">
        <v>63</v>
      </c>
      <c r="E4" t="s">
        <v>211</v>
      </c>
      <c r="F4" t="s">
        <v>210</v>
      </c>
      <c r="H4" t="s">
        <v>204</v>
      </c>
    </row>
    <row r="5" spans="1:8" hidden="1" x14ac:dyDescent="0.25">
      <c r="A5" t="s">
        <v>88</v>
      </c>
      <c r="B5" s="101">
        <v>64972</v>
      </c>
      <c r="D5">
        <v>86</v>
      </c>
      <c r="E5" t="s">
        <v>41</v>
      </c>
      <c r="F5" t="s">
        <v>41</v>
      </c>
      <c r="H5" t="s">
        <v>204</v>
      </c>
    </row>
    <row r="6" spans="1:8" hidden="1" x14ac:dyDescent="0.25">
      <c r="A6" t="s">
        <v>88</v>
      </c>
      <c r="B6" s="101">
        <v>1036691</v>
      </c>
      <c r="D6" t="s">
        <v>311</v>
      </c>
      <c r="E6" t="s">
        <v>311</v>
      </c>
      <c r="F6" t="s">
        <v>311</v>
      </c>
      <c r="H6" t="s">
        <v>317</v>
      </c>
    </row>
    <row r="7" spans="1:8" hidden="1" x14ac:dyDescent="0.25">
      <c r="A7" t="s">
        <v>88</v>
      </c>
      <c r="B7" s="101">
        <v>1037923</v>
      </c>
      <c r="D7" t="s">
        <v>320</v>
      </c>
      <c r="E7" t="s">
        <v>320</v>
      </c>
      <c r="F7" t="s">
        <v>311</v>
      </c>
      <c r="H7" t="s">
        <v>204</v>
      </c>
    </row>
    <row r="8" spans="1:8" hidden="1" x14ac:dyDescent="0.25">
      <c r="A8" t="s">
        <v>88</v>
      </c>
      <c r="B8" s="101">
        <v>1037925</v>
      </c>
      <c r="D8" t="s">
        <v>321</v>
      </c>
      <c r="E8" t="s">
        <v>321</v>
      </c>
      <c r="F8" t="s">
        <v>311</v>
      </c>
      <c r="H8" t="s">
        <v>204</v>
      </c>
    </row>
    <row r="9" spans="1:8" hidden="1" x14ac:dyDescent="0.25">
      <c r="A9" t="s">
        <v>88</v>
      </c>
      <c r="B9" s="101">
        <v>1037924</v>
      </c>
      <c r="D9" t="s">
        <v>322</v>
      </c>
      <c r="E9" t="s">
        <v>322</v>
      </c>
      <c r="F9" t="s">
        <v>311</v>
      </c>
      <c r="H9" t="s">
        <v>204</v>
      </c>
    </row>
    <row r="10" spans="1:8" hidden="1" x14ac:dyDescent="0.25">
      <c r="A10" t="s">
        <v>88</v>
      </c>
      <c r="B10" s="101">
        <v>2000206</v>
      </c>
      <c r="D10">
        <v>116</v>
      </c>
      <c r="E10" t="s">
        <v>220</v>
      </c>
      <c r="F10" t="s">
        <v>221</v>
      </c>
      <c r="H10" t="s">
        <v>204</v>
      </c>
    </row>
    <row r="11" spans="1:8" hidden="1" x14ac:dyDescent="0.25">
      <c r="A11" t="s">
        <v>88</v>
      </c>
      <c r="B11" s="101">
        <v>2000205</v>
      </c>
      <c r="D11">
        <v>117</v>
      </c>
      <c r="E11" t="s">
        <v>222</v>
      </c>
      <c r="F11" t="s">
        <v>221</v>
      </c>
      <c r="H11" t="s">
        <v>204</v>
      </c>
    </row>
    <row r="12" spans="1:8" hidden="1" x14ac:dyDescent="0.25">
      <c r="A12" t="s">
        <v>88</v>
      </c>
      <c r="B12" s="101">
        <v>2000241</v>
      </c>
      <c r="D12">
        <v>120</v>
      </c>
      <c r="E12" t="s">
        <v>233</v>
      </c>
      <c r="F12" t="s">
        <v>232</v>
      </c>
      <c r="H12" t="s">
        <v>204</v>
      </c>
    </row>
    <row r="13" spans="1:8" hidden="1" x14ac:dyDescent="0.25">
      <c r="A13" t="s">
        <v>88</v>
      </c>
      <c r="B13" s="101">
        <v>2000240</v>
      </c>
      <c r="D13">
        <v>120</v>
      </c>
      <c r="E13" t="s">
        <v>233</v>
      </c>
      <c r="F13" t="s">
        <v>232</v>
      </c>
      <c r="H13" t="s">
        <v>204</v>
      </c>
    </row>
    <row r="14" spans="1:8" hidden="1" x14ac:dyDescent="0.25">
      <c r="A14" t="s">
        <v>88</v>
      </c>
      <c r="B14" s="101">
        <v>2000239</v>
      </c>
      <c r="D14">
        <v>121</v>
      </c>
      <c r="E14" t="s">
        <v>235</v>
      </c>
      <c r="F14" t="s">
        <v>232</v>
      </c>
      <c r="H14" t="s">
        <v>204</v>
      </c>
    </row>
    <row r="15" spans="1:8" hidden="1" x14ac:dyDescent="0.25">
      <c r="A15" t="s">
        <v>88</v>
      </c>
      <c r="B15" s="101">
        <v>2000238</v>
      </c>
      <c r="D15">
        <v>121</v>
      </c>
      <c r="E15" t="s">
        <v>235</v>
      </c>
      <c r="F15" t="s">
        <v>232</v>
      </c>
      <c r="H15" t="s">
        <v>204</v>
      </c>
    </row>
    <row r="16" spans="1:8" hidden="1" x14ac:dyDescent="0.25">
      <c r="A16" t="s">
        <v>88</v>
      </c>
      <c r="B16" s="101">
        <v>65501387259</v>
      </c>
      <c r="D16">
        <v>122</v>
      </c>
      <c r="E16" t="s">
        <v>42</v>
      </c>
      <c r="F16" t="s">
        <v>42</v>
      </c>
      <c r="H16" t="s">
        <v>204</v>
      </c>
    </row>
    <row r="17" spans="1:8" hidden="1" x14ac:dyDescent="0.25">
      <c r="A17" t="s">
        <v>88</v>
      </c>
      <c r="B17" s="101">
        <v>71532</v>
      </c>
      <c r="D17">
        <v>1071</v>
      </c>
      <c r="E17" t="s">
        <v>239</v>
      </c>
      <c r="F17" t="s">
        <v>238</v>
      </c>
      <c r="H17" t="s">
        <v>197</v>
      </c>
    </row>
    <row r="18" spans="1:8" hidden="1" x14ac:dyDescent="0.25">
      <c r="A18" t="s">
        <v>88</v>
      </c>
      <c r="B18" s="101">
        <v>71535</v>
      </c>
      <c r="D18">
        <v>1071</v>
      </c>
      <c r="E18" t="s">
        <v>239</v>
      </c>
      <c r="F18" t="s">
        <v>238</v>
      </c>
      <c r="H18" t="s">
        <v>197</v>
      </c>
    </row>
    <row r="19" spans="1:8" hidden="1" x14ac:dyDescent="0.25">
      <c r="A19" t="s">
        <v>88</v>
      </c>
      <c r="B19" s="101">
        <v>1013187</v>
      </c>
      <c r="D19">
        <v>127</v>
      </c>
      <c r="E19" t="s">
        <v>43</v>
      </c>
      <c r="F19" t="s">
        <v>236</v>
      </c>
      <c r="H19" t="s">
        <v>204</v>
      </c>
    </row>
    <row r="20" spans="1:8" hidden="1" x14ac:dyDescent="0.25">
      <c r="A20" t="s">
        <v>88</v>
      </c>
      <c r="B20" s="101">
        <v>2000486</v>
      </c>
      <c r="D20">
        <v>128</v>
      </c>
      <c r="E20" t="s">
        <v>171</v>
      </c>
      <c r="F20" t="s">
        <v>221</v>
      </c>
      <c r="H20" t="s">
        <v>204</v>
      </c>
    </row>
    <row r="21" spans="1:8" hidden="1" x14ac:dyDescent="0.25">
      <c r="A21" t="s">
        <v>88</v>
      </c>
      <c r="B21" s="101">
        <v>2000863</v>
      </c>
      <c r="D21">
        <v>2000863</v>
      </c>
      <c r="E21" t="s">
        <v>44</v>
      </c>
      <c r="F21" t="s">
        <v>221</v>
      </c>
      <c r="H21" t="s">
        <v>204</v>
      </c>
    </row>
    <row r="22" spans="1:8" hidden="1" x14ac:dyDescent="0.25">
      <c r="A22" t="s">
        <v>88</v>
      </c>
      <c r="B22" s="101">
        <v>2000905</v>
      </c>
      <c r="D22">
        <v>2000905</v>
      </c>
      <c r="E22" t="s">
        <v>45</v>
      </c>
      <c r="F22" t="s">
        <v>45</v>
      </c>
      <c r="H22" t="s">
        <v>204</v>
      </c>
    </row>
    <row r="23" spans="1:8" hidden="1" x14ac:dyDescent="0.25">
      <c r="A23" t="s">
        <v>88</v>
      </c>
      <c r="B23" s="101">
        <v>2000570</v>
      </c>
      <c r="D23" t="s">
        <v>46</v>
      </c>
    </row>
    <row r="24" spans="1:8" hidden="1" x14ac:dyDescent="0.25">
      <c r="A24" t="s">
        <v>88</v>
      </c>
      <c r="B24" s="101">
        <v>2000571</v>
      </c>
      <c r="D24" t="s">
        <v>46</v>
      </c>
    </row>
    <row r="25" spans="1:8" hidden="1" x14ac:dyDescent="0.25">
      <c r="A25" t="s">
        <v>88</v>
      </c>
      <c r="B25" s="101">
        <v>2000572</v>
      </c>
      <c r="D25" t="s">
        <v>46</v>
      </c>
    </row>
    <row r="26" spans="1:8" hidden="1" x14ac:dyDescent="0.25">
      <c r="A26" t="s">
        <v>88</v>
      </c>
      <c r="B26" s="101">
        <v>2000573</v>
      </c>
      <c r="D26" t="s">
        <v>46</v>
      </c>
    </row>
    <row r="27" spans="1:8" hidden="1" x14ac:dyDescent="0.25">
      <c r="A27" t="s">
        <v>88</v>
      </c>
      <c r="B27" s="101">
        <v>2000574</v>
      </c>
      <c r="D27" t="s">
        <v>172</v>
      </c>
      <c r="E27" t="s">
        <v>255</v>
      </c>
      <c r="F27" t="s">
        <v>172</v>
      </c>
      <c r="H27" t="s">
        <v>204</v>
      </c>
    </row>
    <row r="28" spans="1:8" hidden="1" x14ac:dyDescent="0.25">
      <c r="A28" t="s">
        <v>88</v>
      </c>
      <c r="B28" s="101">
        <v>2000575</v>
      </c>
      <c r="D28" t="s">
        <v>172</v>
      </c>
      <c r="E28" t="s">
        <v>255</v>
      </c>
      <c r="F28" t="s">
        <v>172</v>
      </c>
      <c r="H28" t="s">
        <v>204</v>
      </c>
    </row>
    <row r="29" spans="1:8" hidden="1" x14ac:dyDescent="0.25">
      <c r="A29" t="s">
        <v>88</v>
      </c>
      <c r="B29" s="101">
        <v>2000576</v>
      </c>
      <c r="D29" t="s">
        <v>172</v>
      </c>
      <c r="E29" t="s">
        <v>255</v>
      </c>
      <c r="F29" t="s">
        <v>172</v>
      </c>
      <c r="H29" t="s">
        <v>204</v>
      </c>
    </row>
    <row r="30" spans="1:8" hidden="1" x14ac:dyDescent="0.25">
      <c r="A30" t="s">
        <v>88</v>
      </c>
      <c r="B30" s="101">
        <v>2000577</v>
      </c>
      <c r="D30" t="s">
        <v>172</v>
      </c>
      <c r="E30" t="s">
        <v>255</v>
      </c>
      <c r="F30" t="s">
        <v>172</v>
      </c>
      <c r="H30" t="s">
        <v>204</v>
      </c>
    </row>
    <row r="31" spans="1:8" hidden="1" x14ac:dyDescent="0.25">
      <c r="A31" t="s">
        <v>88</v>
      </c>
      <c r="B31" s="101">
        <v>2000522</v>
      </c>
      <c r="D31" t="s">
        <v>47</v>
      </c>
      <c r="E31" t="s">
        <v>48</v>
      </c>
      <c r="F31" t="s">
        <v>48</v>
      </c>
      <c r="H31" t="s">
        <v>204</v>
      </c>
    </row>
    <row r="32" spans="1:8" hidden="1" x14ac:dyDescent="0.25">
      <c r="A32" t="s">
        <v>88</v>
      </c>
      <c r="B32" s="101">
        <v>65503691935</v>
      </c>
      <c r="D32" t="s">
        <v>49</v>
      </c>
    </row>
    <row r="33" spans="1:8" hidden="1" x14ac:dyDescent="0.25">
      <c r="A33" t="s">
        <v>88</v>
      </c>
      <c r="B33" s="101">
        <v>2000534</v>
      </c>
      <c r="D33" t="s">
        <v>50</v>
      </c>
      <c r="E33" t="s">
        <v>51</v>
      </c>
      <c r="F33" t="s">
        <v>51</v>
      </c>
      <c r="H33" t="s">
        <v>204</v>
      </c>
    </row>
    <row r="34" spans="1:8" hidden="1" x14ac:dyDescent="0.25">
      <c r="A34" t="s">
        <v>88</v>
      </c>
      <c r="B34" s="101">
        <v>65504667724</v>
      </c>
      <c r="D34" t="s">
        <v>52</v>
      </c>
      <c r="E34" t="s">
        <v>169</v>
      </c>
      <c r="F34" t="s">
        <v>169</v>
      </c>
      <c r="H34" t="s">
        <v>204</v>
      </c>
    </row>
    <row r="35" spans="1:8" hidden="1" x14ac:dyDescent="0.25">
      <c r="A35" t="s">
        <v>88</v>
      </c>
      <c r="B35" s="101">
        <v>2001012</v>
      </c>
      <c r="D35">
        <v>2001012</v>
      </c>
      <c r="E35" t="s">
        <v>205</v>
      </c>
      <c r="F35" t="s">
        <v>149</v>
      </c>
      <c r="H35" t="s">
        <v>204</v>
      </c>
    </row>
    <row r="36" spans="1:8" hidden="1" x14ac:dyDescent="0.25">
      <c r="A36" t="s">
        <v>88</v>
      </c>
      <c r="B36" s="101">
        <v>65505569851</v>
      </c>
      <c r="D36" t="s">
        <v>146</v>
      </c>
      <c r="E36" t="s">
        <v>168</v>
      </c>
      <c r="F36" t="s">
        <v>147</v>
      </c>
      <c r="H36" t="s">
        <v>204</v>
      </c>
    </row>
    <row r="37" spans="1:8" hidden="1" x14ac:dyDescent="0.25">
      <c r="A37" t="s">
        <v>88</v>
      </c>
      <c r="B37" s="101">
        <v>65507430562</v>
      </c>
      <c r="D37" t="s">
        <v>242</v>
      </c>
      <c r="E37" t="s">
        <v>243</v>
      </c>
      <c r="F37" t="s">
        <v>243</v>
      </c>
      <c r="H37" t="s">
        <v>165</v>
      </c>
    </row>
    <row r="38" spans="1:8" hidden="1" x14ac:dyDescent="0.25">
      <c r="A38" t="s">
        <v>88</v>
      </c>
      <c r="B38" s="101">
        <v>65503863638</v>
      </c>
      <c r="D38" t="s">
        <v>53</v>
      </c>
      <c r="E38" t="s">
        <v>207</v>
      </c>
      <c r="F38" t="s">
        <v>208</v>
      </c>
      <c r="H38" t="s">
        <v>204</v>
      </c>
    </row>
    <row r="39" spans="1:8" hidden="1" x14ac:dyDescent="0.25">
      <c r="A39" t="s">
        <v>88</v>
      </c>
      <c r="B39" s="101">
        <v>1032382</v>
      </c>
      <c r="D39">
        <v>1032382</v>
      </c>
      <c r="E39" t="s">
        <v>164</v>
      </c>
      <c r="F39" t="s">
        <v>164</v>
      </c>
      <c r="H39" t="s">
        <v>197</v>
      </c>
    </row>
    <row r="40" spans="1:8" hidden="1" x14ac:dyDescent="0.25">
      <c r="A40" t="s">
        <v>88</v>
      </c>
      <c r="B40" s="101">
        <v>2000597</v>
      </c>
      <c r="D40" t="s">
        <v>306</v>
      </c>
    </row>
    <row r="41" spans="1:8" hidden="1" x14ac:dyDescent="0.25">
      <c r="A41" t="s">
        <v>88</v>
      </c>
      <c r="B41" s="101">
        <v>2000730</v>
      </c>
      <c r="D41" t="s">
        <v>54</v>
      </c>
      <c r="E41" t="s">
        <v>267</v>
      </c>
      <c r="F41" t="s">
        <v>55</v>
      </c>
      <c r="H41" t="s">
        <v>204</v>
      </c>
    </row>
    <row r="42" spans="1:8" hidden="1" x14ac:dyDescent="0.25">
      <c r="A42" t="s">
        <v>88</v>
      </c>
      <c r="B42" s="101">
        <v>2000927</v>
      </c>
      <c r="D42" t="s">
        <v>56</v>
      </c>
      <c r="E42" t="s">
        <v>262</v>
      </c>
      <c r="F42" t="s">
        <v>263</v>
      </c>
      <c r="H42" t="s">
        <v>204</v>
      </c>
    </row>
    <row r="43" spans="1:8" hidden="1" x14ac:dyDescent="0.25">
      <c r="A43" t="s">
        <v>88</v>
      </c>
      <c r="B43" s="101">
        <v>2000928</v>
      </c>
      <c r="D43" t="s">
        <v>57</v>
      </c>
      <c r="E43" t="s">
        <v>260</v>
      </c>
      <c r="F43" t="s">
        <v>261</v>
      </c>
      <c r="H43" t="s">
        <v>204</v>
      </c>
    </row>
    <row r="44" spans="1:8" hidden="1" x14ac:dyDescent="0.25">
      <c r="A44" t="s">
        <v>88</v>
      </c>
      <c r="B44" s="101">
        <v>65503562246</v>
      </c>
      <c r="D44" t="s">
        <v>58</v>
      </c>
      <c r="E44" t="s">
        <v>59</v>
      </c>
      <c r="F44" t="s">
        <v>59</v>
      </c>
      <c r="H44" t="s">
        <v>204</v>
      </c>
    </row>
    <row r="45" spans="1:8" hidden="1" x14ac:dyDescent="0.25">
      <c r="A45" t="s">
        <v>88</v>
      </c>
      <c r="B45" s="101">
        <v>2000204</v>
      </c>
      <c r="D45">
        <v>115</v>
      </c>
      <c r="E45" t="s">
        <v>158</v>
      </c>
      <c r="F45" t="s">
        <v>33</v>
      </c>
      <c r="H45" t="s">
        <v>197</v>
      </c>
    </row>
    <row r="46" spans="1:8" hidden="1" x14ac:dyDescent="0.25">
      <c r="A46" t="s">
        <v>88</v>
      </c>
      <c r="B46" s="101">
        <v>77703</v>
      </c>
      <c r="D46">
        <v>19</v>
      </c>
    </row>
    <row r="47" spans="1:8" hidden="1" x14ac:dyDescent="0.25">
      <c r="A47" t="s">
        <v>88</v>
      </c>
      <c r="B47" s="101">
        <v>65507408917</v>
      </c>
      <c r="D47">
        <v>37</v>
      </c>
      <c r="E47" t="s">
        <v>18</v>
      </c>
      <c r="F47" t="s">
        <v>209</v>
      </c>
      <c r="H47" t="s">
        <v>204</v>
      </c>
    </row>
    <row r="48" spans="1:8" hidden="1" x14ac:dyDescent="0.25">
      <c r="A48" t="s">
        <v>88</v>
      </c>
      <c r="B48" s="101">
        <v>156331</v>
      </c>
      <c r="D48">
        <v>71</v>
      </c>
      <c r="E48" t="s">
        <v>60</v>
      </c>
      <c r="F48" t="s">
        <v>61</v>
      </c>
      <c r="H48" t="s">
        <v>197</v>
      </c>
    </row>
    <row r="49" spans="1:8" hidden="1" x14ac:dyDescent="0.25">
      <c r="A49" t="s">
        <v>88</v>
      </c>
      <c r="B49" s="101">
        <v>65502222299</v>
      </c>
      <c r="D49">
        <v>74</v>
      </c>
      <c r="E49" t="s">
        <v>62</v>
      </c>
      <c r="F49" t="s">
        <v>62</v>
      </c>
      <c r="H49" t="s">
        <v>197</v>
      </c>
    </row>
    <row r="50" spans="1:8" hidden="1" x14ac:dyDescent="0.25">
      <c r="A50" t="s">
        <v>88</v>
      </c>
      <c r="B50" s="101">
        <v>1037124</v>
      </c>
      <c r="D50">
        <v>75</v>
      </c>
      <c r="E50" t="s">
        <v>63</v>
      </c>
      <c r="F50" t="s">
        <v>212</v>
      </c>
      <c r="H50" t="s">
        <v>204</v>
      </c>
    </row>
    <row r="51" spans="1:8" hidden="1" x14ac:dyDescent="0.25">
      <c r="A51" t="s">
        <v>88</v>
      </c>
      <c r="B51" s="101">
        <v>1033811</v>
      </c>
      <c r="D51">
        <v>76</v>
      </c>
      <c r="E51" t="s">
        <v>64</v>
      </c>
      <c r="F51" t="s">
        <v>212</v>
      </c>
      <c r="H51" t="s">
        <v>204</v>
      </c>
    </row>
    <row r="52" spans="1:8" hidden="1" x14ac:dyDescent="0.25">
      <c r="A52" t="s">
        <v>88</v>
      </c>
      <c r="B52" s="101">
        <v>69902</v>
      </c>
      <c r="D52">
        <v>78</v>
      </c>
      <c r="E52" t="s">
        <v>65</v>
      </c>
      <c r="F52" t="s">
        <v>212</v>
      </c>
      <c r="H52" t="s">
        <v>204</v>
      </c>
    </row>
    <row r="53" spans="1:8" hidden="1" x14ac:dyDescent="0.25">
      <c r="A53" t="s">
        <v>88</v>
      </c>
      <c r="B53" s="101">
        <v>65502425394</v>
      </c>
      <c r="D53">
        <v>93</v>
      </c>
      <c r="E53" t="s">
        <v>66</v>
      </c>
      <c r="F53" t="s">
        <v>215</v>
      </c>
      <c r="H53" t="s">
        <v>197</v>
      </c>
    </row>
    <row r="54" spans="1:8" hidden="1" x14ac:dyDescent="0.25">
      <c r="A54" t="s">
        <v>88</v>
      </c>
      <c r="B54" s="101">
        <v>1002455</v>
      </c>
      <c r="D54">
        <v>94</v>
      </c>
      <c r="E54" t="s">
        <v>67</v>
      </c>
      <c r="F54" t="s">
        <v>216</v>
      </c>
      <c r="H54" t="s">
        <v>204</v>
      </c>
    </row>
    <row r="55" spans="1:8" hidden="1" x14ac:dyDescent="0.25">
      <c r="A55" t="s">
        <v>88</v>
      </c>
      <c r="B55" s="101">
        <v>2000135</v>
      </c>
      <c r="D55">
        <v>100</v>
      </c>
      <c r="E55" t="s">
        <v>199</v>
      </c>
      <c r="F55" t="s">
        <v>33</v>
      </c>
      <c r="H55" t="s">
        <v>197</v>
      </c>
    </row>
    <row r="56" spans="1:8" hidden="1" x14ac:dyDescent="0.25">
      <c r="A56" t="s">
        <v>88</v>
      </c>
      <c r="B56" s="101">
        <v>152965</v>
      </c>
      <c r="D56">
        <v>105</v>
      </c>
      <c r="E56" t="s">
        <v>68</v>
      </c>
      <c r="F56" t="s">
        <v>217</v>
      </c>
      <c r="H56" t="s">
        <v>197</v>
      </c>
    </row>
    <row r="57" spans="1:8" hidden="1" x14ac:dyDescent="0.25">
      <c r="A57" t="s">
        <v>88</v>
      </c>
      <c r="B57" s="101">
        <v>1005849</v>
      </c>
      <c r="D57">
        <v>114</v>
      </c>
      <c r="E57" t="s">
        <v>218</v>
      </c>
      <c r="F57" t="s">
        <v>219</v>
      </c>
      <c r="H57" t="s">
        <v>204</v>
      </c>
    </row>
    <row r="58" spans="1:8" hidden="1" x14ac:dyDescent="0.25">
      <c r="A58" t="s">
        <v>88</v>
      </c>
      <c r="B58" s="101">
        <v>1008496</v>
      </c>
      <c r="D58">
        <v>119</v>
      </c>
      <c r="E58" t="s">
        <v>69</v>
      </c>
      <c r="F58" t="s">
        <v>200</v>
      </c>
      <c r="H58" t="s">
        <v>197</v>
      </c>
    </row>
    <row r="59" spans="1:8" hidden="1" x14ac:dyDescent="0.25">
      <c r="A59" t="s">
        <v>88</v>
      </c>
      <c r="B59" s="101">
        <v>1032128</v>
      </c>
      <c r="D59">
        <v>1032128</v>
      </c>
      <c r="E59" t="s">
        <v>290</v>
      </c>
      <c r="F59" t="s">
        <v>290</v>
      </c>
      <c r="H59" t="s">
        <v>197</v>
      </c>
    </row>
    <row r="60" spans="1:8" hidden="1" x14ac:dyDescent="0.25">
      <c r="A60" t="s">
        <v>88</v>
      </c>
      <c r="B60" s="101">
        <v>67715</v>
      </c>
      <c r="D60">
        <v>1068</v>
      </c>
      <c r="E60" t="s">
        <v>70</v>
      </c>
      <c r="F60" t="s">
        <v>201</v>
      </c>
      <c r="H60" t="s">
        <v>197</v>
      </c>
    </row>
    <row r="61" spans="1:8" hidden="1" x14ac:dyDescent="0.25">
      <c r="A61" t="s">
        <v>88</v>
      </c>
      <c r="B61" s="101">
        <v>1031629</v>
      </c>
      <c r="D61">
        <v>1074</v>
      </c>
      <c r="E61" t="s">
        <v>72</v>
      </c>
      <c r="F61" t="s">
        <v>240</v>
      </c>
      <c r="H61" t="s">
        <v>204</v>
      </c>
    </row>
    <row r="62" spans="1:8" hidden="1" x14ac:dyDescent="0.25">
      <c r="A62" t="s">
        <v>88</v>
      </c>
      <c r="B62" s="101">
        <v>1031627</v>
      </c>
      <c r="D62">
        <v>1074</v>
      </c>
      <c r="E62" t="s">
        <v>72</v>
      </c>
      <c r="F62" t="s">
        <v>240</v>
      </c>
      <c r="H62" t="s">
        <v>204</v>
      </c>
    </row>
    <row r="63" spans="1:8" hidden="1" x14ac:dyDescent="0.25">
      <c r="A63" t="s">
        <v>88</v>
      </c>
      <c r="B63" s="101">
        <v>142481</v>
      </c>
      <c r="D63">
        <v>1081</v>
      </c>
      <c r="E63" t="s">
        <v>73</v>
      </c>
      <c r="F63" t="s">
        <v>216</v>
      </c>
      <c r="H63" t="s">
        <v>204</v>
      </c>
    </row>
    <row r="64" spans="1:8" hidden="1" x14ac:dyDescent="0.25">
      <c r="A64" t="s">
        <v>88</v>
      </c>
      <c r="B64" s="101">
        <v>142482</v>
      </c>
      <c r="D64">
        <v>1082</v>
      </c>
      <c r="E64" t="s">
        <v>74</v>
      </c>
      <c r="F64" t="s">
        <v>216</v>
      </c>
      <c r="H64" t="s">
        <v>204</v>
      </c>
    </row>
    <row r="65" spans="1:8" hidden="1" x14ac:dyDescent="0.25">
      <c r="A65" t="s">
        <v>88</v>
      </c>
      <c r="B65" s="101">
        <v>65507665273</v>
      </c>
      <c r="D65">
        <v>1094</v>
      </c>
      <c r="E65" t="s">
        <v>75</v>
      </c>
      <c r="F65" t="s">
        <v>209</v>
      </c>
      <c r="H65" t="s">
        <v>204</v>
      </c>
    </row>
    <row r="66" spans="1:8" hidden="1" x14ac:dyDescent="0.25">
      <c r="A66" t="s">
        <v>88</v>
      </c>
      <c r="B66" s="101">
        <v>75655</v>
      </c>
      <c r="D66">
        <v>1097</v>
      </c>
      <c r="E66" t="s">
        <v>76</v>
      </c>
      <c r="F66" t="s">
        <v>76</v>
      </c>
      <c r="H66" t="s">
        <v>204</v>
      </c>
    </row>
    <row r="67" spans="1:8" hidden="1" x14ac:dyDescent="0.25">
      <c r="A67" t="s">
        <v>88</v>
      </c>
      <c r="B67" s="101">
        <v>75145</v>
      </c>
      <c r="D67">
        <v>1800</v>
      </c>
      <c r="E67" t="s">
        <v>78</v>
      </c>
      <c r="F67" t="s">
        <v>241</v>
      </c>
      <c r="H67" t="s">
        <v>197</v>
      </c>
    </row>
    <row r="68" spans="1:8" hidden="1" x14ac:dyDescent="0.25">
      <c r="A68" t="s">
        <v>88</v>
      </c>
      <c r="B68" s="101">
        <v>75146</v>
      </c>
      <c r="D68">
        <v>1800</v>
      </c>
      <c r="E68" t="s">
        <v>78</v>
      </c>
      <c r="F68" t="s">
        <v>241</v>
      </c>
      <c r="H68" t="s">
        <v>197</v>
      </c>
    </row>
    <row r="69" spans="1:8" hidden="1" x14ac:dyDescent="0.25">
      <c r="A69" t="s">
        <v>88</v>
      </c>
      <c r="B69" s="101">
        <v>1018014</v>
      </c>
      <c r="D69">
        <v>1018014</v>
      </c>
      <c r="E69" t="s">
        <v>79</v>
      </c>
      <c r="F69" t="s">
        <v>79</v>
      </c>
      <c r="H69" t="s">
        <v>204</v>
      </c>
    </row>
    <row r="70" spans="1:8" hidden="1" x14ac:dyDescent="0.25">
      <c r="A70" t="s">
        <v>88</v>
      </c>
      <c r="B70" s="101">
        <v>1018122</v>
      </c>
      <c r="D70">
        <v>1018122</v>
      </c>
      <c r="E70" t="s">
        <v>80</v>
      </c>
      <c r="F70" t="s">
        <v>216</v>
      </c>
      <c r="H70" t="s">
        <v>204</v>
      </c>
    </row>
    <row r="71" spans="1:8" hidden="1" x14ac:dyDescent="0.25">
      <c r="A71" t="s">
        <v>88</v>
      </c>
      <c r="B71" s="101">
        <v>1018302</v>
      </c>
      <c r="D71">
        <v>1018302</v>
      </c>
      <c r="E71" t="s">
        <v>81</v>
      </c>
      <c r="F71" t="s">
        <v>216</v>
      </c>
      <c r="H71" t="s">
        <v>204</v>
      </c>
    </row>
    <row r="72" spans="1:8" hidden="1" x14ac:dyDescent="0.25">
      <c r="A72" t="s">
        <v>88</v>
      </c>
      <c r="B72" s="101">
        <v>1018811</v>
      </c>
      <c r="D72">
        <v>1018811</v>
      </c>
      <c r="E72" t="s">
        <v>82</v>
      </c>
      <c r="F72" t="s">
        <v>203</v>
      </c>
      <c r="H72" t="s">
        <v>197</v>
      </c>
    </row>
    <row r="73" spans="1:8" hidden="1" x14ac:dyDescent="0.25">
      <c r="A73" t="s">
        <v>88</v>
      </c>
      <c r="B73" s="101">
        <v>4031</v>
      </c>
      <c r="D73">
        <v>4031</v>
      </c>
      <c r="E73" t="s">
        <v>163</v>
      </c>
      <c r="F73" t="s">
        <v>163</v>
      </c>
      <c r="H73" t="s">
        <v>197</v>
      </c>
    </row>
    <row r="74" spans="1:8" hidden="1" x14ac:dyDescent="0.25">
      <c r="A74" t="s">
        <v>88</v>
      </c>
      <c r="B74" s="101">
        <v>2000698</v>
      </c>
      <c r="D74">
        <v>2000698</v>
      </c>
      <c r="E74" t="s">
        <v>83</v>
      </c>
      <c r="F74" t="s">
        <v>33</v>
      </c>
      <c r="H74" t="s">
        <v>197</v>
      </c>
    </row>
    <row r="75" spans="1:8" hidden="1" x14ac:dyDescent="0.25">
      <c r="A75" t="s">
        <v>88</v>
      </c>
      <c r="B75" s="101">
        <v>2000732</v>
      </c>
      <c r="D75">
        <v>2000732</v>
      </c>
      <c r="E75" t="s">
        <v>84</v>
      </c>
      <c r="F75" t="s">
        <v>33</v>
      </c>
      <c r="H75" t="s">
        <v>197</v>
      </c>
    </row>
    <row r="76" spans="1:8" hidden="1" x14ac:dyDescent="0.25">
      <c r="A76" t="s">
        <v>88</v>
      </c>
      <c r="B76" s="101">
        <v>2000733</v>
      </c>
      <c r="D76">
        <v>2000733</v>
      </c>
      <c r="E76" t="s">
        <v>85</v>
      </c>
      <c r="F76" t="s">
        <v>33</v>
      </c>
      <c r="H76" t="s">
        <v>197</v>
      </c>
    </row>
    <row r="77" spans="1:8" hidden="1" x14ac:dyDescent="0.25">
      <c r="A77" t="s">
        <v>88</v>
      </c>
      <c r="B77" s="101">
        <v>2000736</v>
      </c>
      <c r="D77">
        <v>2000736</v>
      </c>
      <c r="E77" t="s">
        <v>86</v>
      </c>
      <c r="F77" t="s">
        <v>76</v>
      </c>
      <c r="H77" t="s">
        <v>197</v>
      </c>
    </row>
    <row r="78" spans="1:8" hidden="1" x14ac:dyDescent="0.25">
      <c r="A78" t="s">
        <v>88</v>
      </c>
      <c r="B78" s="101">
        <v>65502313952</v>
      </c>
      <c r="D78">
        <v>92</v>
      </c>
      <c r="E78" t="s">
        <v>213</v>
      </c>
      <c r="F78" t="s">
        <v>214</v>
      </c>
      <c r="H78" t="s">
        <v>204</v>
      </c>
    </row>
    <row r="79" spans="1:8" hidden="1" x14ac:dyDescent="0.25">
      <c r="A79" t="s">
        <v>88</v>
      </c>
      <c r="B79" s="101">
        <v>1032873</v>
      </c>
      <c r="D79">
        <v>1032873</v>
      </c>
      <c r="E79" t="s">
        <v>170</v>
      </c>
      <c r="F79" t="s">
        <v>170</v>
      </c>
      <c r="H79" t="s">
        <v>165</v>
      </c>
    </row>
    <row r="80" spans="1:8" hidden="1" x14ac:dyDescent="0.25">
      <c r="A80" t="s">
        <v>88</v>
      </c>
      <c r="B80" s="101">
        <v>65508989338</v>
      </c>
      <c r="D80" t="s">
        <v>318</v>
      </c>
      <c r="E80" t="s">
        <v>319</v>
      </c>
      <c r="F80" t="s">
        <v>319</v>
      </c>
      <c r="H80" t="s">
        <v>165</v>
      </c>
    </row>
    <row r="81" spans="1:8" hidden="1" x14ac:dyDescent="0.25">
      <c r="A81" t="s">
        <v>88</v>
      </c>
      <c r="B81" s="101">
        <v>65509560409</v>
      </c>
      <c r="D81" t="s">
        <v>353</v>
      </c>
      <c r="E81" t="s">
        <v>349</v>
      </c>
      <c r="F81" t="s">
        <v>349</v>
      </c>
      <c r="H81" t="s">
        <v>165</v>
      </c>
    </row>
    <row r="82" spans="1:8" hidden="1" x14ac:dyDescent="0.25">
      <c r="A82" t="s">
        <v>88</v>
      </c>
      <c r="B82" s="101">
        <v>65509560426</v>
      </c>
      <c r="D82" t="s">
        <v>354</v>
      </c>
      <c r="E82" t="s">
        <v>350</v>
      </c>
      <c r="F82" t="s">
        <v>350</v>
      </c>
      <c r="H82" t="s">
        <v>165</v>
      </c>
    </row>
    <row r="83" spans="1:8" hidden="1" x14ac:dyDescent="0.25">
      <c r="A83" t="s">
        <v>88</v>
      </c>
      <c r="B83" s="101">
        <v>65509560457</v>
      </c>
      <c r="D83" t="s">
        <v>355</v>
      </c>
      <c r="E83" t="s">
        <v>351</v>
      </c>
      <c r="F83" t="s">
        <v>351</v>
      </c>
      <c r="H83" t="s">
        <v>165</v>
      </c>
    </row>
    <row r="84" spans="1:8" hidden="1" x14ac:dyDescent="0.25">
      <c r="A84" t="s">
        <v>88</v>
      </c>
      <c r="B84" s="101">
        <v>65509560443</v>
      </c>
      <c r="D84" t="s">
        <v>356</v>
      </c>
      <c r="E84" t="s">
        <v>352</v>
      </c>
      <c r="F84" t="s">
        <v>352</v>
      </c>
      <c r="H84" t="s">
        <v>165</v>
      </c>
    </row>
    <row r="85" spans="1:8" hidden="1" x14ac:dyDescent="0.25">
      <c r="A85" t="s">
        <v>88</v>
      </c>
      <c r="B85" s="101">
        <v>1036723</v>
      </c>
      <c r="D85" t="s">
        <v>312</v>
      </c>
      <c r="E85" t="s">
        <v>314</v>
      </c>
      <c r="F85" t="s">
        <v>314</v>
      </c>
      <c r="H85" t="s">
        <v>165</v>
      </c>
    </row>
    <row r="86" spans="1:8" hidden="1" x14ac:dyDescent="0.25">
      <c r="A86" t="s">
        <v>87</v>
      </c>
      <c r="B86" s="101">
        <v>147492</v>
      </c>
      <c r="D86" t="s">
        <v>297</v>
      </c>
      <c r="E86" t="s">
        <v>302</v>
      </c>
      <c r="F86" t="s">
        <v>299</v>
      </c>
      <c r="H86" t="s">
        <v>204</v>
      </c>
    </row>
    <row r="87" spans="1:8" hidden="1" x14ac:dyDescent="0.25">
      <c r="A87" t="s">
        <v>87</v>
      </c>
      <c r="B87" s="101">
        <v>147491</v>
      </c>
      <c r="D87" t="s">
        <v>297</v>
      </c>
      <c r="E87" t="s">
        <v>302</v>
      </c>
      <c r="F87" t="s">
        <v>299</v>
      </c>
      <c r="H87" t="s">
        <v>204</v>
      </c>
    </row>
    <row r="88" spans="1:8" hidden="1" x14ac:dyDescent="0.25">
      <c r="A88" t="s">
        <v>87</v>
      </c>
      <c r="B88" s="101">
        <v>159246</v>
      </c>
      <c r="D88" t="s">
        <v>297</v>
      </c>
      <c r="E88" t="s">
        <v>302</v>
      </c>
      <c r="F88" t="s">
        <v>299</v>
      </c>
      <c r="H88" t="s">
        <v>204</v>
      </c>
    </row>
    <row r="89" spans="1:8" hidden="1" x14ac:dyDescent="0.25">
      <c r="A89" t="s">
        <v>87</v>
      </c>
      <c r="B89" s="101">
        <v>1010401</v>
      </c>
      <c r="D89" t="s">
        <v>297</v>
      </c>
      <c r="E89" t="s">
        <v>302</v>
      </c>
      <c r="F89" t="s">
        <v>299</v>
      </c>
      <c r="H89" t="s">
        <v>204</v>
      </c>
    </row>
    <row r="90" spans="1:8" hidden="1" x14ac:dyDescent="0.25">
      <c r="A90" t="s">
        <v>105</v>
      </c>
      <c r="B90" s="101">
        <v>2000470</v>
      </c>
      <c r="D90" t="s">
        <v>89</v>
      </c>
      <c r="E90" t="s">
        <v>264</v>
      </c>
      <c r="F90" t="s">
        <v>265</v>
      </c>
      <c r="H90" t="s">
        <v>204</v>
      </c>
    </row>
    <row r="91" spans="1:8" hidden="1" x14ac:dyDescent="0.25">
      <c r="A91" t="s">
        <v>105</v>
      </c>
      <c r="B91" s="101">
        <v>2000469</v>
      </c>
      <c r="D91" t="s">
        <v>90</v>
      </c>
      <c r="E91" t="s">
        <v>266</v>
      </c>
      <c r="F91" t="s">
        <v>265</v>
      </c>
      <c r="H91" t="s">
        <v>204</v>
      </c>
    </row>
    <row r="92" spans="1:8" hidden="1" x14ac:dyDescent="0.25">
      <c r="A92" t="s">
        <v>105</v>
      </c>
      <c r="B92" s="101">
        <v>2000466</v>
      </c>
      <c r="D92" t="s">
        <v>91</v>
      </c>
      <c r="E92" t="s">
        <v>268</v>
      </c>
      <c r="F92" t="s">
        <v>265</v>
      </c>
      <c r="H92" t="s">
        <v>204</v>
      </c>
    </row>
    <row r="93" spans="1:8" hidden="1" x14ac:dyDescent="0.25">
      <c r="A93" t="s">
        <v>105</v>
      </c>
      <c r="B93" s="101">
        <v>2000467</v>
      </c>
      <c r="D93" t="s">
        <v>92</v>
      </c>
      <c r="E93" t="s">
        <v>269</v>
      </c>
      <c r="F93" t="s">
        <v>265</v>
      </c>
      <c r="H93" t="s">
        <v>204</v>
      </c>
    </row>
    <row r="94" spans="1:8" hidden="1" x14ac:dyDescent="0.25">
      <c r="A94" t="s">
        <v>105</v>
      </c>
      <c r="B94" s="101">
        <v>1018867</v>
      </c>
      <c r="D94" t="s">
        <v>93</v>
      </c>
      <c r="E94" t="s">
        <v>249</v>
      </c>
      <c r="F94" t="s">
        <v>250</v>
      </c>
      <c r="H94" t="s">
        <v>204</v>
      </c>
    </row>
    <row r="95" spans="1:8" hidden="1" x14ac:dyDescent="0.25">
      <c r="A95" t="s">
        <v>105</v>
      </c>
      <c r="B95" s="101">
        <v>65501372909</v>
      </c>
      <c r="D95" t="s">
        <v>94</v>
      </c>
      <c r="E95" t="s">
        <v>95</v>
      </c>
      <c r="F95" t="s">
        <v>254</v>
      </c>
      <c r="H95" t="s">
        <v>204</v>
      </c>
    </row>
    <row r="96" spans="1:8" hidden="1" x14ac:dyDescent="0.25">
      <c r="A96" t="s">
        <v>105</v>
      </c>
      <c r="B96" s="101">
        <v>65505283448</v>
      </c>
      <c r="D96" t="s">
        <v>96</v>
      </c>
      <c r="E96" t="s">
        <v>246</v>
      </c>
      <c r="F96" t="s">
        <v>247</v>
      </c>
      <c r="H96" t="s">
        <v>204</v>
      </c>
    </row>
    <row r="97" spans="1:8" hidden="1" x14ac:dyDescent="0.25">
      <c r="A97" t="s">
        <v>105</v>
      </c>
      <c r="B97" s="101">
        <v>65505283360</v>
      </c>
      <c r="D97" t="s">
        <v>97</v>
      </c>
      <c r="E97" t="s">
        <v>248</v>
      </c>
      <c r="F97" t="s">
        <v>247</v>
      </c>
      <c r="H97" t="s">
        <v>204</v>
      </c>
    </row>
    <row r="98" spans="1:8" hidden="1" x14ac:dyDescent="0.25">
      <c r="A98" t="s">
        <v>105</v>
      </c>
      <c r="B98" s="101">
        <v>65505283309</v>
      </c>
      <c r="D98" t="s">
        <v>98</v>
      </c>
      <c r="E98" t="s">
        <v>98</v>
      </c>
      <c r="F98" t="s">
        <v>247</v>
      </c>
      <c r="H98" t="s">
        <v>204</v>
      </c>
    </row>
    <row r="99" spans="1:8" hidden="1" x14ac:dyDescent="0.25">
      <c r="A99" t="s">
        <v>105</v>
      </c>
      <c r="B99" s="101">
        <v>65505285253</v>
      </c>
      <c r="D99" t="s">
        <v>99</v>
      </c>
      <c r="E99" t="s">
        <v>99</v>
      </c>
      <c r="F99" t="s">
        <v>247</v>
      </c>
      <c r="H99" t="s">
        <v>204</v>
      </c>
    </row>
    <row r="100" spans="1:8" hidden="1" x14ac:dyDescent="0.25">
      <c r="A100" t="s">
        <v>105</v>
      </c>
      <c r="B100" s="101">
        <v>1031340</v>
      </c>
      <c r="D100" t="s">
        <v>100</v>
      </c>
      <c r="E100" t="s">
        <v>101</v>
      </c>
      <c r="F100" t="s">
        <v>101</v>
      </c>
      <c r="H100" t="s">
        <v>204</v>
      </c>
    </row>
    <row r="101" spans="1:8" hidden="1" x14ac:dyDescent="0.25">
      <c r="A101" t="s">
        <v>105</v>
      </c>
      <c r="B101" s="101">
        <v>2000848</v>
      </c>
      <c r="D101" t="s">
        <v>173</v>
      </c>
      <c r="E101" t="s">
        <v>253</v>
      </c>
      <c r="F101" t="s">
        <v>252</v>
      </c>
      <c r="H101" t="s">
        <v>204</v>
      </c>
    </row>
    <row r="102" spans="1:8" hidden="1" x14ac:dyDescent="0.25">
      <c r="A102" t="s">
        <v>105</v>
      </c>
      <c r="B102" s="101">
        <v>2000849</v>
      </c>
      <c r="D102" t="s">
        <v>174</v>
      </c>
      <c r="E102" t="s">
        <v>251</v>
      </c>
      <c r="F102" t="s">
        <v>252</v>
      </c>
      <c r="H102" t="s">
        <v>204</v>
      </c>
    </row>
    <row r="103" spans="1:8" hidden="1" x14ac:dyDescent="0.25">
      <c r="A103" t="s">
        <v>105</v>
      </c>
      <c r="B103" s="101">
        <v>2000926</v>
      </c>
      <c r="D103" t="s">
        <v>256</v>
      </c>
      <c r="E103" t="s">
        <v>257</v>
      </c>
      <c r="F103" t="s">
        <v>258</v>
      </c>
      <c r="H103" t="s">
        <v>204</v>
      </c>
    </row>
    <row r="104" spans="1:8" hidden="1" x14ac:dyDescent="0.25">
      <c r="A104" t="s">
        <v>105</v>
      </c>
      <c r="B104" s="101">
        <v>1031547</v>
      </c>
      <c r="D104">
        <v>1031547</v>
      </c>
      <c r="E104" t="s">
        <v>34</v>
      </c>
      <c r="F104" t="s">
        <v>245</v>
      </c>
      <c r="H104" t="s">
        <v>204</v>
      </c>
    </row>
    <row r="105" spans="1:8" hidden="1" x14ac:dyDescent="0.25">
      <c r="A105" t="s">
        <v>105</v>
      </c>
      <c r="B105" s="101">
        <v>1031548</v>
      </c>
      <c r="D105">
        <v>1031548</v>
      </c>
      <c r="E105" t="s">
        <v>35</v>
      </c>
      <c r="F105" t="s">
        <v>245</v>
      </c>
      <c r="H105" t="s">
        <v>204</v>
      </c>
    </row>
    <row r="106" spans="1:8" hidden="1" x14ac:dyDescent="0.25">
      <c r="A106" t="s">
        <v>105</v>
      </c>
      <c r="B106" s="101">
        <v>1031549</v>
      </c>
      <c r="D106">
        <v>1031549</v>
      </c>
      <c r="E106" t="s">
        <v>36</v>
      </c>
      <c r="F106" t="s">
        <v>245</v>
      </c>
      <c r="H106" t="s">
        <v>204</v>
      </c>
    </row>
    <row r="107" spans="1:8" hidden="1" x14ac:dyDescent="0.25">
      <c r="A107" t="s">
        <v>105</v>
      </c>
      <c r="B107" s="101">
        <v>1031550</v>
      </c>
      <c r="D107">
        <v>1031550</v>
      </c>
      <c r="E107" t="s">
        <v>37</v>
      </c>
      <c r="F107" t="s">
        <v>245</v>
      </c>
      <c r="H107" t="s">
        <v>204</v>
      </c>
    </row>
    <row r="108" spans="1:8" hidden="1" x14ac:dyDescent="0.25">
      <c r="A108" t="s">
        <v>105</v>
      </c>
      <c r="B108" s="101">
        <v>1031551</v>
      </c>
      <c r="D108">
        <v>1031551</v>
      </c>
      <c r="E108" t="s">
        <v>38</v>
      </c>
      <c r="F108" t="s">
        <v>245</v>
      </c>
      <c r="H108" t="s">
        <v>204</v>
      </c>
    </row>
    <row r="109" spans="1:8" hidden="1" x14ac:dyDescent="0.25">
      <c r="A109" t="s">
        <v>105</v>
      </c>
      <c r="B109" s="101">
        <v>78666</v>
      </c>
      <c r="D109">
        <v>118</v>
      </c>
      <c r="E109" t="s">
        <v>230</v>
      </c>
      <c r="F109" t="s">
        <v>142</v>
      </c>
      <c r="H109" t="s">
        <v>204</v>
      </c>
    </row>
    <row r="110" spans="1:8" hidden="1" x14ac:dyDescent="0.25">
      <c r="A110" t="s">
        <v>105</v>
      </c>
      <c r="B110" s="101">
        <v>2000219</v>
      </c>
      <c r="D110">
        <v>118</v>
      </c>
      <c r="E110" t="s">
        <v>230</v>
      </c>
      <c r="F110" t="s">
        <v>142</v>
      </c>
      <c r="H110" t="s">
        <v>204</v>
      </c>
    </row>
    <row r="111" spans="1:8" hidden="1" x14ac:dyDescent="0.25">
      <c r="A111" t="s">
        <v>105</v>
      </c>
      <c r="B111" s="101">
        <v>2000220</v>
      </c>
      <c r="D111">
        <v>118</v>
      </c>
      <c r="E111" t="s">
        <v>230</v>
      </c>
      <c r="F111" t="s">
        <v>142</v>
      </c>
      <c r="H111" t="s">
        <v>204</v>
      </c>
    </row>
    <row r="112" spans="1:8" hidden="1" x14ac:dyDescent="0.25">
      <c r="A112" t="s">
        <v>105</v>
      </c>
      <c r="B112" s="101">
        <v>2000221</v>
      </c>
      <c r="D112">
        <v>118</v>
      </c>
      <c r="E112" t="s">
        <v>230</v>
      </c>
      <c r="F112" t="s">
        <v>142</v>
      </c>
      <c r="H112" t="s">
        <v>204</v>
      </c>
    </row>
    <row r="113" spans="1:8" hidden="1" x14ac:dyDescent="0.25">
      <c r="A113" t="s">
        <v>105</v>
      </c>
      <c r="B113" s="101">
        <v>78665</v>
      </c>
      <c r="D113">
        <v>118</v>
      </c>
      <c r="E113" t="s">
        <v>230</v>
      </c>
      <c r="F113" t="s">
        <v>142</v>
      </c>
      <c r="H113" t="s">
        <v>204</v>
      </c>
    </row>
    <row r="114" spans="1:8" hidden="1" x14ac:dyDescent="0.25">
      <c r="A114" t="s">
        <v>105</v>
      </c>
      <c r="B114" s="101">
        <v>2000216</v>
      </c>
      <c r="D114">
        <v>118</v>
      </c>
      <c r="E114" t="s">
        <v>230</v>
      </c>
      <c r="F114" t="s">
        <v>142</v>
      </c>
      <c r="H114" t="s">
        <v>204</v>
      </c>
    </row>
    <row r="115" spans="1:8" hidden="1" x14ac:dyDescent="0.25">
      <c r="A115" t="s">
        <v>105</v>
      </c>
      <c r="B115" s="101">
        <v>2000217</v>
      </c>
      <c r="D115">
        <v>118</v>
      </c>
      <c r="E115" t="s">
        <v>230</v>
      </c>
      <c r="F115" t="s">
        <v>142</v>
      </c>
      <c r="H115" t="s">
        <v>204</v>
      </c>
    </row>
    <row r="116" spans="1:8" hidden="1" x14ac:dyDescent="0.25">
      <c r="A116" t="s">
        <v>105</v>
      </c>
      <c r="B116" s="101">
        <v>2000218</v>
      </c>
      <c r="D116">
        <v>118</v>
      </c>
      <c r="E116" t="s">
        <v>230</v>
      </c>
      <c r="F116" t="s">
        <v>142</v>
      </c>
      <c r="H116" t="s">
        <v>204</v>
      </c>
    </row>
    <row r="117" spans="1:8" hidden="1" x14ac:dyDescent="0.25">
      <c r="A117" t="s">
        <v>105</v>
      </c>
      <c r="B117" s="101">
        <v>2000183</v>
      </c>
      <c r="D117">
        <v>2500</v>
      </c>
      <c r="E117" t="s">
        <v>244</v>
      </c>
      <c r="F117" t="s">
        <v>142</v>
      </c>
      <c r="H117" t="s">
        <v>204</v>
      </c>
    </row>
    <row r="118" spans="1:8" hidden="1" x14ac:dyDescent="0.25">
      <c r="A118" t="s">
        <v>105</v>
      </c>
      <c r="B118" s="101" t="s">
        <v>111</v>
      </c>
      <c r="D118">
        <v>2500</v>
      </c>
      <c r="E118" t="s">
        <v>244</v>
      </c>
      <c r="F118" t="s">
        <v>142</v>
      </c>
      <c r="H118" t="s">
        <v>204</v>
      </c>
    </row>
    <row r="119" spans="1:8" hidden="1" x14ac:dyDescent="0.25">
      <c r="A119" t="s">
        <v>105</v>
      </c>
      <c r="B119" s="101" t="s">
        <v>112</v>
      </c>
      <c r="D119">
        <v>2500</v>
      </c>
      <c r="E119" t="s">
        <v>244</v>
      </c>
      <c r="F119" t="s">
        <v>142</v>
      </c>
      <c r="H119" t="s">
        <v>204</v>
      </c>
    </row>
    <row r="120" spans="1:8" hidden="1" x14ac:dyDescent="0.25">
      <c r="A120" t="s">
        <v>105</v>
      </c>
      <c r="B120" s="101" t="s">
        <v>113</v>
      </c>
      <c r="D120">
        <v>2500</v>
      </c>
      <c r="E120" t="s">
        <v>244</v>
      </c>
      <c r="F120" t="s">
        <v>142</v>
      </c>
      <c r="H120" t="s">
        <v>204</v>
      </c>
    </row>
    <row r="121" spans="1:8" hidden="1" x14ac:dyDescent="0.25">
      <c r="A121" t="s">
        <v>105</v>
      </c>
      <c r="B121" s="101">
        <v>2000182</v>
      </c>
      <c r="D121">
        <v>2500</v>
      </c>
      <c r="E121" t="s">
        <v>244</v>
      </c>
      <c r="F121" t="s">
        <v>142</v>
      </c>
      <c r="H121" t="s">
        <v>204</v>
      </c>
    </row>
    <row r="122" spans="1:8" hidden="1" x14ac:dyDescent="0.25">
      <c r="A122" t="s">
        <v>105</v>
      </c>
      <c r="B122" t="s">
        <v>114</v>
      </c>
      <c r="D122">
        <v>2500</v>
      </c>
      <c r="E122" t="s">
        <v>244</v>
      </c>
      <c r="F122" t="s">
        <v>142</v>
      </c>
      <c r="H122" t="s">
        <v>204</v>
      </c>
    </row>
    <row r="123" spans="1:8" hidden="1" x14ac:dyDescent="0.25">
      <c r="A123" t="s">
        <v>105</v>
      </c>
      <c r="B123" t="s">
        <v>115</v>
      </c>
      <c r="D123">
        <v>2500</v>
      </c>
      <c r="E123" t="s">
        <v>244</v>
      </c>
      <c r="F123" t="s">
        <v>142</v>
      </c>
      <c r="H123" t="s">
        <v>204</v>
      </c>
    </row>
    <row r="124" spans="1:8" hidden="1" x14ac:dyDescent="0.25">
      <c r="A124" t="s">
        <v>105</v>
      </c>
      <c r="B124" t="s">
        <v>116</v>
      </c>
      <c r="D124">
        <v>2500</v>
      </c>
      <c r="E124" t="s">
        <v>244</v>
      </c>
      <c r="F124" t="s">
        <v>142</v>
      </c>
      <c r="H124" t="s">
        <v>204</v>
      </c>
    </row>
    <row r="125" spans="1:8" hidden="1" x14ac:dyDescent="0.25">
      <c r="A125" t="s">
        <v>105</v>
      </c>
      <c r="B125" t="s">
        <v>117</v>
      </c>
      <c r="D125">
        <v>2600</v>
      </c>
      <c r="E125" t="s">
        <v>285</v>
      </c>
      <c r="F125" t="s">
        <v>142</v>
      </c>
      <c r="H125" t="s">
        <v>204</v>
      </c>
    </row>
    <row r="126" spans="1:8" hidden="1" x14ac:dyDescent="0.25">
      <c r="A126" t="s">
        <v>105</v>
      </c>
      <c r="B126" t="s">
        <v>118</v>
      </c>
      <c r="D126">
        <v>2600</v>
      </c>
      <c r="E126" t="s">
        <v>285</v>
      </c>
      <c r="F126" t="s">
        <v>142</v>
      </c>
      <c r="H126" t="s">
        <v>204</v>
      </c>
    </row>
    <row r="127" spans="1:8" hidden="1" x14ac:dyDescent="0.25">
      <c r="A127" t="s">
        <v>105</v>
      </c>
      <c r="B127" t="s">
        <v>119</v>
      </c>
      <c r="D127">
        <v>2600</v>
      </c>
      <c r="E127" t="s">
        <v>285</v>
      </c>
      <c r="F127" t="s">
        <v>142</v>
      </c>
      <c r="H127" t="s">
        <v>204</v>
      </c>
    </row>
    <row r="128" spans="1:8" hidden="1" x14ac:dyDescent="0.25">
      <c r="A128" t="s">
        <v>105</v>
      </c>
      <c r="B128" t="s">
        <v>120</v>
      </c>
      <c r="D128">
        <v>2600</v>
      </c>
      <c r="E128" t="s">
        <v>285</v>
      </c>
      <c r="F128" t="s">
        <v>142</v>
      </c>
      <c r="H128" t="s">
        <v>204</v>
      </c>
    </row>
    <row r="129" spans="1:8" hidden="1" x14ac:dyDescent="0.25">
      <c r="A129" t="s">
        <v>105</v>
      </c>
      <c r="B129" t="s">
        <v>121</v>
      </c>
      <c r="D129">
        <v>2600</v>
      </c>
      <c r="E129" t="s">
        <v>285</v>
      </c>
      <c r="F129" t="s">
        <v>142</v>
      </c>
      <c r="H129" t="s">
        <v>204</v>
      </c>
    </row>
    <row r="130" spans="1:8" hidden="1" x14ac:dyDescent="0.25">
      <c r="A130" t="s">
        <v>105</v>
      </c>
      <c r="B130" t="s">
        <v>122</v>
      </c>
      <c r="D130">
        <v>2600</v>
      </c>
      <c r="E130" t="s">
        <v>285</v>
      </c>
      <c r="F130" t="s">
        <v>142</v>
      </c>
      <c r="H130" t="s">
        <v>204</v>
      </c>
    </row>
    <row r="131" spans="1:8" hidden="1" x14ac:dyDescent="0.25">
      <c r="A131" t="s">
        <v>105</v>
      </c>
      <c r="B131" t="s">
        <v>123</v>
      </c>
      <c r="D131">
        <v>2600</v>
      </c>
      <c r="E131" t="s">
        <v>285</v>
      </c>
      <c r="F131" t="s">
        <v>142</v>
      </c>
      <c r="H131" t="s">
        <v>204</v>
      </c>
    </row>
    <row r="132" spans="1:8" hidden="1" x14ac:dyDescent="0.25">
      <c r="A132" t="s">
        <v>105</v>
      </c>
      <c r="B132" t="s">
        <v>124</v>
      </c>
      <c r="D132">
        <v>2600</v>
      </c>
      <c r="E132" t="s">
        <v>285</v>
      </c>
      <c r="F132" t="s">
        <v>142</v>
      </c>
      <c r="H132" t="s">
        <v>204</v>
      </c>
    </row>
    <row r="133" spans="1:8" hidden="1" x14ac:dyDescent="0.25">
      <c r="A133" t="s">
        <v>105</v>
      </c>
      <c r="B133" t="s">
        <v>125</v>
      </c>
      <c r="D133">
        <v>2777</v>
      </c>
      <c r="E133" t="s">
        <v>287</v>
      </c>
      <c r="F133" t="s">
        <v>142</v>
      </c>
      <c r="H133" t="s">
        <v>204</v>
      </c>
    </row>
    <row r="134" spans="1:8" hidden="1" x14ac:dyDescent="0.25">
      <c r="A134" t="s">
        <v>105</v>
      </c>
      <c r="B134" t="s">
        <v>126</v>
      </c>
      <c r="D134">
        <v>2777</v>
      </c>
      <c r="E134" t="s">
        <v>287</v>
      </c>
      <c r="F134" t="s">
        <v>142</v>
      </c>
      <c r="H134" t="s">
        <v>204</v>
      </c>
    </row>
    <row r="135" spans="1:8" hidden="1" x14ac:dyDescent="0.25">
      <c r="A135" t="s">
        <v>105</v>
      </c>
      <c r="B135" t="s">
        <v>127</v>
      </c>
      <c r="D135">
        <v>2777</v>
      </c>
      <c r="E135" t="s">
        <v>287</v>
      </c>
      <c r="F135" t="s">
        <v>142</v>
      </c>
      <c r="H135" t="s">
        <v>204</v>
      </c>
    </row>
    <row r="136" spans="1:8" hidden="1" x14ac:dyDescent="0.25">
      <c r="A136" t="s">
        <v>105</v>
      </c>
      <c r="B136" t="s">
        <v>128</v>
      </c>
      <c r="D136">
        <v>2777</v>
      </c>
      <c r="E136" t="s">
        <v>287</v>
      </c>
      <c r="F136" t="s">
        <v>142</v>
      </c>
      <c r="H136" t="s">
        <v>204</v>
      </c>
    </row>
    <row r="137" spans="1:8" hidden="1" x14ac:dyDescent="0.25">
      <c r="A137" t="s">
        <v>105</v>
      </c>
      <c r="B137" t="s">
        <v>129</v>
      </c>
      <c r="D137">
        <v>2777</v>
      </c>
      <c r="E137" t="s">
        <v>287</v>
      </c>
      <c r="F137" t="s">
        <v>142</v>
      </c>
      <c r="H137" t="s">
        <v>204</v>
      </c>
    </row>
    <row r="138" spans="1:8" hidden="1" x14ac:dyDescent="0.25">
      <c r="A138" t="s">
        <v>105</v>
      </c>
      <c r="B138" t="s">
        <v>130</v>
      </c>
      <c r="D138">
        <v>2777</v>
      </c>
      <c r="E138" t="s">
        <v>287</v>
      </c>
      <c r="F138" t="s">
        <v>142</v>
      </c>
      <c r="H138" t="s">
        <v>204</v>
      </c>
    </row>
    <row r="139" spans="1:8" hidden="1" x14ac:dyDescent="0.25">
      <c r="A139" t="s">
        <v>105</v>
      </c>
      <c r="B139" t="s">
        <v>131</v>
      </c>
      <c r="D139">
        <v>2777</v>
      </c>
      <c r="E139" t="s">
        <v>287</v>
      </c>
      <c r="F139" t="s">
        <v>142</v>
      </c>
      <c r="H139" t="s">
        <v>204</v>
      </c>
    </row>
    <row r="140" spans="1:8" hidden="1" x14ac:dyDescent="0.25">
      <c r="A140" t="s">
        <v>105</v>
      </c>
      <c r="B140" t="s">
        <v>132</v>
      </c>
      <c r="D140">
        <v>2777</v>
      </c>
      <c r="E140" t="s">
        <v>287</v>
      </c>
      <c r="F140" t="s">
        <v>142</v>
      </c>
      <c r="H140" t="s">
        <v>204</v>
      </c>
    </row>
    <row r="141" spans="1:8" hidden="1" x14ac:dyDescent="0.25">
      <c r="A141" t="s">
        <v>105</v>
      </c>
      <c r="B141" t="s">
        <v>133</v>
      </c>
      <c r="D141">
        <v>2700</v>
      </c>
      <c r="E141" t="s">
        <v>179</v>
      </c>
      <c r="F141" t="s">
        <v>142</v>
      </c>
      <c r="H141" t="s">
        <v>204</v>
      </c>
    </row>
    <row r="142" spans="1:8" hidden="1" x14ac:dyDescent="0.25">
      <c r="A142" t="s">
        <v>105</v>
      </c>
      <c r="B142" t="s">
        <v>134</v>
      </c>
      <c r="D142">
        <v>2700</v>
      </c>
      <c r="E142" t="s">
        <v>179</v>
      </c>
      <c r="F142" t="s">
        <v>142</v>
      </c>
      <c r="H142" t="s">
        <v>204</v>
      </c>
    </row>
    <row r="143" spans="1:8" hidden="1" x14ac:dyDescent="0.25">
      <c r="A143" t="s">
        <v>105</v>
      </c>
      <c r="B143" t="s">
        <v>135</v>
      </c>
      <c r="D143">
        <v>2700</v>
      </c>
      <c r="E143" t="s">
        <v>179</v>
      </c>
      <c r="F143" t="s">
        <v>142</v>
      </c>
      <c r="H143" t="s">
        <v>204</v>
      </c>
    </row>
    <row r="144" spans="1:8" hidden="1" x14ac:dyDescent="0.25">
      <c r="A144" t="s">
        <v>105</v>
      </c>
      <c r="B144" t="s">
        <v>136</v>
      </c>
      <c r="D144">
        <v>2700</v>
      </c>
      <c r="E144" t="s">
        <v>179</v>
      </c>
      <c r="F144" t="s">
        <v>142</v>
      </c>
      <c r="H144" t="s">
        <v>204</v>
      </c>
    </row>
    <row r="145" spans="1:8" hidden="1" x14ac:dyDescent="0.25">
      <c r="A145" t="s">
        <v>105</v>
      </c>
      <c r="B145" t="s">
        <v>137</v>
      </c>
      <c r="D145">
        <v>2700</v>
      </c>
      <c r="E145" t="s">
        <v>179</v>
      </c>
      <c r="F145" t="s">
        <v>142</v>
      </c>
      <c r="H145" t="s">
        <v>204</v>
      </c>
    </row>
    <row r="146" spans="1:8" hidden="1" x14ac:dyDescent="0.25">
      <c r="A146" t="s">
        <v>105</v>
      </c>
      <c r="B146" t="s">
        <v>138</v>
      </c>
      <c r="D146">
        <v>2700</v>
      </c>
      <c r="E146" t="s">
        <v>179</v>
      </c>
      <c r="F146" t="s">
        <v>142</v>
      </c>
      <c r="H146" t="s">
        <v>204</v>
      </c>
    </row>
    <row r="147" spans="1:8" hidden="1" x14ac:dyDescent="0.25">
      <c r="A147" t="s">
        <v>105</v>
      </c>
      <c r="B147" t="s">
        <v>139</v>
      </c>
      <c r="D147">
        <v>2700</v>
      </c>
      <c r="E147" t="s">
        <v>179</v>
      </c>
      <c r="F147" t="s">
        <v>142</v>
      </c>
      <c r="H147" t="s">
        <v>204</v>
      </c>
    </row>
    <row r="148" spans="1:8" hidden="1" x14ac:dyDescent="0.25">
      <c r="A148" t="s">
        <v>105</v>
      </c>
      <c r="B148" t="s">
        <v>140</v>
      </c>
      <c r="D148">
        <v>2700</v>
      </c>
      <c r="E148" t="s">
        <v>179</v>
      </c>
      <c r="F148" t="s">
        <v>142</v>
      </c>
      <c r="H148" t="s">
        <v>204</v>
      </c>
    </row>
    <row r="149" spans="1:8" hidden="1" x14ac:dyDescent="0.25">
      <c r="A149" t="s">
        <v>105</v>
      </c>
      <c r="B149" s="101">
        <v>2000385</v>
      </c>
      <c r="D149">
        <v>2100</v>
      </c>
      <c r="E149" t="s">
        <v>291</v>
      </c>
      <c r="F149" t="s">
        <v>292</v>
      </c>
      <c r="H149" t="s">
        <v>204</v>
      </c>
    </row>
    <row r="150" spans="1:8" hidden="1" x14ac:dyDescent="0.25">
      <c r="A150" t="s">
        <v>105</v>
      </c>
      <c r="B150" s="101">
        <v>566810</v>
      </c>
      <c r="D150">
        <v>2200</v>
      </c>
      <c r="E150" t="s">
        <v>103</v>
      </c>
      <c r="F150" t="s">
        <v>103</v>
      </c>
      <c r="H150" t="s">
        <v>197</v>
      </c>
    </row>
    <row r="151" spans="1:8" hidden="1" x14ac:dyDescent="0.25">
      <c r="A151" t="s">
        <v>105</v>
      </c>
      <c r="B151" s="101">
        <v>142518</v>
      </c>
      <c r="D151">
        <v>2300</v>
      </c>
      <c r="E151" t="s">
        <v>104</v>
      </c>
      <c r="F151" t="s">
        <v>103</v>
      </c>
      <c r="H151" t="s">
        <v>197</v>
      </c>
    </row>
    <row r="152" spans="1:8" hidden="1" x14ac:dyDescent="0.25">
      <c r="A152" t="s">
        <v>105</v>
      </c>
      <c r="B152" s="101">
        <v>1031341</v>
      </c>
      <c r="D152" t="s">
        <v>175</v>
      </c>
      <c r="E152" t="s">
        <v>148</v>
      </c>
      <c r="F152" t="s">
        <v>148</v>
      </c>
      <c r="H152" t="s">
        <v>204</v>
      </c>
    </row>
    <row r="153" spans="1:8" hidden="1" x14ac:dyDescent="0.25">
      <c r="A153" t="s">
        <v>105</v>
      </c>
      <c r="B153" s="101">
        <v>2001049</v>
      </c>
      <c r="D153" t="s">
        <v>176</v>
      </c>
      <c r="E153" t="s">
        <v>272</v>
      </c>
      <c r="F153" t="s">
        <v>271</v>
      </c>
      <c r="H153" t="s">
        <v>204</v>
      </c>
    </row>
    <row r="154" spans="1:8" hidden="1" x14ac:dyDescent="0.25">
      <c r="A154" t="s">
        <v>105</v>
      </c>
      <c r="B154" s="101">
        <v>2001050</v>
      </c>
      <c r="D154" t="s">
        <v>177</v>
      </c>
      <c r="E154" t="s">
        <v>270</v>
      </c>
      <c r="F154" t="s">
        <v>271</v>
      </c>
      <c r="H154" t="s">
        <v>204</v>
      </c>
    </row>
    <row r="155" spans="1:8" hidden="1" x14ac:dyDescent="0.25">
      <c r="A155" t="s">
        <v>105</v>
      </c>
      <c r="B155" t="s">
        <v>150</v>
      </c>
      <c r="D155">
        <v>2779</v>
      </c>
      <c r="E155" t="s">
        <v>289</v>
      </c>
      <c r="F155" t="s">
        <v>142</v>
      </c>
      <c r="H155" t="s">
        <v>204</v>
      </c>
    </row>
    <row r="156" spans="1:8" hidden="1" x14ac:dyDescent="0.25">
      <c r="A156" t="s">
        <v>105</v>
      </c>
      <c r="B156" t="s">
        <v>151</v>
      </c>
      <c r="D156">
        <v>2779</v>
      </c>
      <c r="E156" t="s">
        <v>289</v>
      </c>
      <c r="F156" t="s">
        <v>142</v>
      </c>
      <c r="H156" t="s">
        <v>204</v>
      </c>
    </row>
    <row r="157" spans="1:8" hidden="1" x14ac:dyDescent="0.25">
      <c r="A157" t="s">
        <v>105</v>
      </c>
      <c r="B157" t="s">
        <v>152</v>
      </c>
      <c r="D157">
        <v>2779</v>
      </c>
      <c r="E157" t="s">
        <v>289</v>
      </c>
      <c r="F157" t="s">
        <v>142</v>
      </c>
      <c r="H157" t="s">
        <v>204</v>
      </c>
    </row>
    <row r="158" spans="1:8" hidden="1" x14ac:dyDescent="0.25">
      <c r="A158" t="s">
        <v>105</v>
      </c>
      <c r="B158" t="s">
        <v>153</v>
      </c>
      <c r="D158">
        <v>2779</v>
      </c>
      <c r="E158" t="s">
        <v>289</v>
      </c>
      <c r="F158" t="s">
        <v>142</v>
      </c>
      <c r="H158" t="s">
        <v>204</v>
      </c>
    </row>
    <row r="159" spans="1:8" hidden="1" x14ac:dyDescent="0.25">
      <c r="A159" t="s">
        <v>105</v>
      </c>
      <c r="B159" t="s">
        <v>154</v>
      </c>
      <c r="D159">
        <v>2779</v>
      </c>
      <c r="E159" t="s">
        <v>289</v>
      </c>
      <c r="F159" t="s">
        <v>142</v>
      </c>
      <c r="H159" t="s">
        <v>204</v>
      </c>
    </row>
    <row r="160" spans="1:8" hidden="1" x14ac:dyDescent="0.25">
      <c r="A160" t="s">
        <v>105</v>
      </c>
      <c r="B160" t="s">
        <v>155</v>
      </c>
      <c r="D160">
        <v>2779</v>
      </c>
      <c r="E160" t="s">
        <v>289</v>
      </c>
      <c r="F160" t="s">
        <v>142</v>
      </c>
      <c r="H160" t="s">
        <v>204</v>
      </c>
    </row>
    <row r="161" spans="1:8" hidden="1" x14ac:dyDescent="0.25">
      <c r="A161" t="s">
        <v>105</v>
      </c>
      <c r="B161" t="s">
        <v>156</v>
      </c>
      <c r="D161">
        <v>2779</v>
      </c>
      <c r="E161" t="s">
        <v>289</v>
      </c>
      <c r="F161" t="s">
        <v>142</v>
      </c>
      <c r="H161" t="s">
        <v>204</v>
      </c>
    </row>
    <row r="162" spans="1:8" hidden="1" x14ac:dyDescent="0.25">
      <c r="A162" t="s">
        <v>105</v>
      </c>
      <c r="B162" t="s">
        <v>157</v>
      </c>
      <c r="D162">
        <v>2779</v>
      </c>
      <c r="E162" t="s">
        <v>289</v>
      </c>
      <c r="F162" t="s">
        <v>142</v>
      </c>
      <c r="H162" t="s">
        <v>204</v>
      </c>
    </row>
    <row r="163" spans="1:8" hidden="1" x14ac:dyDescent="0.25">
      <c r="A163" t="s">
        <v>105</v>
      </c>
      <c r="B163" t="s">
        <v>159</v>
      </c>
      <c r="D163">
        <v>2001022</v>
      </c>
      <c r="E163" t="s">
        <v>280</v>
      </c>
      <c r="F163" t="s">
        <v>149</v>
      </c>
      <c r="H163" t="s">
        <v>204</v>
      </c>
    </row>
    <row r="164" spans="1:8" hidden="1" x14ac:dyDescent="0.25">
      <c r="A164" t="s">
        <v>105</v>
      </c>
      <c r="B164" t="s">
        <v>160</v>
      </c>
      <c r="D164">
        <v>2001022</v>
      </c>
      <c r="E164" t="s">
        <v>280</v>
      </c>
      <c r="F164" t="s">
        <v>149</v>
      </c>
      <c r="H164" t="s">
        <v>204</v>
      </c>
    </row>
    <row r="165" spans="1:8" hidden="1" x14ac:dyDescent="0.25">
      <c r="A165" t="s">
        <v>105</v>
      </c>
      <c r="B165" t="s">
        <v>161</v>
      </c>
      <c r="D165">
        <v>2001022</v>
      </c>
      <c r="E165" t="s">
        <v>280</v>
      </c>
      <c r="F165" t="s">
        <v>149</v>
      </c>
      <c r="H165" t="s">
        <v>204</v>
      </c>
    </row>
    <row r="166" spans="1:8" hidden="1" x14ac:dyDescent="0.25">
      <c r="A166" t="s">
        <v>105</v>
      </c>
      <c r="B166" t="s">
        <v>162</v>
      </c>
      <c r="D166">
        <v>2001022</v>
      </c>
      <c r="E166" t="s">
        <v>280</v>
      </c>
      <c r="F166" t="s">
        <v>149</v>
      </c>
      <c r="H166" t="s">
        <v>204</v>
      </c>
    </row>
    <row r="167" spans="1:8" hidden="1" x14ac:dyDescent="0.25">
      <c r="A167" t="s">
        <v>105</v>
      </c>
      <c r="B167" s="101">
        <v>1037090</v>
      </c>
      <c r="D167" t="s">
        <v>303</v>
      </c>
      <c r="E167" t="s">
        <v>309</v>
      </c>
      <c r="F167" t="s">
        <v>309</v>
      </c>
      <c r="H167" t="s">
        <v>204</v>
      </c>
    </row>
    <row r="168" spans="1:8" hidden="1" x14ac:dyDescent="0.25">
      <c r="A168" t="s">
        <v>105</v>
      </c>
      <c r="B168" s="101">
        <v>65501902345</v>
      </c>
      <c r="D168" t="s">
        <v>304</v>
      </c>
      <c r="E168" t="s">
        <v>310</v>
      </c>
      <c r="F168" t="s">
        <v>310</v>
      </c>
      <c r="H168" t="s">
        <v>204</v>
      </c>
    </row>
    <row r="169" spans="1:8" hidden="1" x14ac:dyDescent="0.25">
      <c r="A169" t="s">
        <v>105</v>
      </c>
      <c r="B169" s="101">
        <v>1037087</v>
      </c>
      <c r="D169" t="s">
        <v>305</v>
      </c>
      <c r="E169" t="s">
        <v>308</v>
      </c>
      <c r="F169" t="s">
        <v>308</v>
      </c>
      <c r="H169" t="s">
        <v>204</v>
      </c>
    </row>
    <row r="170" spans="1:8" hidden="1" x14ac:dyDescent="0.25">
      <c r="A170" t="s">
        <v>105</v>
      </c>
      <c r="B170" s="101">
        <v>1036723</v>
      </c>
      <c r="D170" t="s">
        <v>312</v>
      </c>
      <c r="E170" t="s">
        <v>314</v>
      </c>
      <c r="F170" t="s">
        <v>314</v>
      </c>
      <c r="H170" t="s">
        <v>165</v>
      </c>
    </row>
    <row r="171" spans="1:8" hidden="1" x14ac:dyDescent="0.25">
      <c r="A171" t="s">
        <v>105</v>
      </c>
      <c r="B171" s="101">
        <v>1036724</v>
      </c>
      <c r="D171" t="s">
        <v>313</v>
      </c>
      <c r="E171" t="s">
        <v>315</v>
      </c>
      <c r="F171" t="s">
        <v>315</v>
      </c>
      <c r="H171" t="s">
        <v>165</v>
      </c>
    </row>
    <row r="172" spans="1:8" hidden="1" x14ac:dyDescent="0.25">
      <c r="A172" t="s">
        <v>105</v>
      </c>
      <c r="B172" s="101">
        <v>65502397418</v>
      </c>
      <c r="D172" t="s">
        <v>344</v>
      </c>
      <c r="E172" t="s">
        <v>346</v>
      </c>
      <c r="F172" t="s">
        <v>348</v>
      </c>
      <c r="H172" t="s">
        <v>197</v>
      </c>
    </row>
    <row r="173" spans="1:8" hidden="1" x14ac:dyDescent="0.25">
      <c r="A173" t="s">
        <v>105</v>
      </c>
      <c r="B173" s="101">
        <v>65501285111</v>
      </c>
      <c r="D173" t="s">
        <v>345</v>
      </c>
      <c r="E173" t="s">
        <v>347</v>
      </c>
      <c r="F173" t="s">
        <v>348</v>
      </c>
      <c r="H173" t="s">
        <v>197</v>
      </c>
    </row>
    <row r="174" spans="1:8" hidden="1" x14ac:dyDescent="0.25">
      <c r="A174" t="s">
        <v>105</v>
      </c>
      <c r="B174" s="101">
        <v>2000469</v>
      </c>
      <c r="D174" t="s">
        <v>90</v>
      </c>
      <c r="E174" t="s">
        <v>266</v>
      </c>
      <c r="F174" t="s">
        <v>348</v>
      </c>
      <c r="H174" t="s">
        <v>197</v>
      </c>
    </row>
    <row r="175" spans="1:8" hidden="1" x14ac:dyDescent="0.25">
      <c r="A175" t="s">
        <v>105</v>
      </c>
      <c r="B175" s="101">
        <v>2000466</v>
      </c>
      <c r="D175" t="s">
        <v>91</v>
      </c>
      <c r="E175" t="s">
        <v>268</v>
      </c>
      <c r="F175" t="s">
        <v>348</v>
      </c>
      <c r="H175" t="s">
        <v>197</v>
      </c>
    </row>
    <row r="176" spans="1:8" hidden="1" x14ac:dyDescent="0.25">
      <c r="A176" t="s">
        <v>105</v>
      </c>
      <c r="B176" s="101"/>
    </row>
    <row r="177" spans="1:8" hidden="1" x14ac:dyDescent="0.25">
      <c r="A177" t="s">
        <v>105</v>
      </c>
      <c r="B177" s="101"/>
    </row>
    <row r="178" spans="1:8" hidden="1" x14ac:dyDescent="0.25">
      <c r="A178" t="s">
        <v>105</v>
      </c>
      <c r="B178" s="101"/>
    </row>
    <row r="179" spans="1:8" x14ac:dyDescent="0.25">
      <c r="A179" t="s">
        <v>196</v>
      </c>
      <c r="B179" s="101">
        <v>1000003633</v>
      </c>
      <c r="C179" s="101"/>
      <c r="D179" s="101">
        <v>1000003633</v>
      </c>
      <c r="E179" t="s">
        <v>883</v>
      </c>
      <c r="F179" t="s">
        <v>883</v>
      </c>
      <c r="H179" t="s">
        <v>204</v>
      </c>
    </row>
    <row r="180" spans="1:8" x14ac:dyDescent="0.25">
      <c r="A180" t="s">
        <v>196</v>
      </c>
      <c r="B180" s="101">
        <v>1000002677</v>
      </c>
      <c r="C180" s="101"/>
      <c r="D180" s="101">
        <v>1000002677</v>
      </c>
      <c r="E180" t="s">
        <v>884</v>
      </c>
      <c r="F180" t="s">
        <v>884</v>
      </c>
      <c r="H180" t="s">
        <v>204</v>
      </c>
    </row>
    <row r="181" spans="1:8" x14ac:dyDescent="0.25">
      <c r="A181" t="s">
        <v>196</v>
      </c>
      <c r="B181" s="101">
        <v>10000001249</v>
      </c>
      <c r="C181" s="101"/>
      <c r="D181" s="101">
        <v>10000001249</v>
      </c>
      <c r="E181" t="s">
        <v>885</v>
      </c>
      <c r="F181" t="s">
        <v>885</v>
      </c>
      <c r="H181" t="s">
        <v>204</v>
      </c>
    </row>
    <row r="182" spans="1:8" x14ac:dyDescent="0.25">
      <c r="A182" t="s">
        <v>196</v>
      </c>
      <c r="B182" s="101">
        <v>65507895505</v>
      </c>
      <c r="C182" s="101"/>
      <c r="D182" s="101">
        <v>65507895505</v>
      </c>
      <c r="E182" t="s">
        <v>886</v>
      </c>
      <c r="F182" t="s">
        <v>886</v>
      </c>
      <c r="H182" t="s">
        <v>204</v>
      </c>
    </row>
    <row r="183" spans="1:8" x14ac:dyDescent="0.25">
      <c r="A183" t="s">
        <v>196</v>
      </c>
      <c r="B183" s="101">
        <v>65506131264</v>
      </c>
      <c r="C183" s="101"/>
      <c r="D183" s="101">
        <v>65506131264</v>
      </c>
      <c r="E183" t="s">
        <v>887</v>
      </c>
      <c r="F183" t="s">
        <v>887</v>
      </c>
      <c r="H183" t="s">
        <v>204</v>
      </c>
    </row>
  </sheetData>
  <autoFilter ref="A1:H183" xr:uid="{00000000-0001-0000-0300-000000000000}">
    <filterColumn colId="0">
      <filters>
        <filter val="MANUAL"/>
      </filters>
    </filterColumn>
  </autoFilter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86E58-E527-4E73-9275-1A29C5706FE2}">
  <sheetPr codeName="Hoja9"/>
  <dimension ref="A1:B6"/>
  <sheetViews>
    <sheetView workbookViewId="0">
      <selection activeCell="D11" sqref="D11"/>
    </sheetView>
  </sheetViews>
  <sheetFormatPr baseColWidth="10" defaultRowHeight="15" x14ac:dyDescent="0.25"/>
  <cols>
    <col min="1" max="2" width="12" style="6" bestFit="1" customWidth="1"/>
  </cols>
  <sheetData>
    <row r="1" spans="1:2" x14ac:dyDescent="0.25">
      <c r="A1" s="96" t="s">
        <v>279</v>
      </c>
      <c r="B1" s="96" t="s">
        <v>23</v>
      </c>
    </row>
    <row r="2" spans="1:2" x14ac:dyDescent="0.25">
      <c r="A2" s="97" t="s">
        <v>892</v>
      </c>
      <c r="B2" s="97" t="s">
        <v>892</v>
      </c>
    </row>
    <row r="3" spans="1:2" x14ac:dyDescent="0.25">
      <c r="A3" s="97" t="s">
        <v>888</v>
      </c>
      <c r="B3" s="97" t="s">
        <v>888</v>
      </c>
    </row>
    <row r="4" spans="1:2" x14ac:dyDescent="0.25">
      <c r="A4" s="97" t="s">
        <v>889</v>
      </c>
      <c r="B4" s="97" t="s">
        <v>889</v>
      </c>
    </row>
    <row r="5" spans="1:2" x14ac:dyDescent="0.25">
      <c r="A5" s="98">
        <v>65507895505</v>
      </c>
      <c r="B5" s="98">
        <v>65507895505</v>
      </c>
    </row>
    <row r="6" spans="1:2" ht="15.75" customHeight="1" x14ac:dyDescent="0.25">
      <c r="A6" s="98">
        <v>65506131264</v>
      </c>
      <c r="B6" s="98">
        <v>65506131264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4"/>
  <dimension ref="A2:V84"/>
  <sheetViews>
    <sheetView tabSelected="1" zoomScale="70" zoomScaleNormal="70" workbookViewId="0">
      <selection activeCell="A3" sqref="A3"/>
    </sheetView>
  </sheetViews>
  <sheetFormatPr baseColWidth="10" defaultRowHeight="15" x14ac:dyDescent="0.25"/>
  <cols>
    <col min="1" max="1" width="14.85546875" bestFit="1" customWidth="1"/>
    <col min="2" max="2" width="16.140625" bestFit="1" customWidth="1"/>
    <col min="3" max="3" width="25" customWidth="1"/>
    <col min="4" max="4" width="43.85546875" customWidth="1"/>
    <col min="5" max="5" width="17.140625" customWidth="1"/>
    <col min="8" max="8" width="12.85546875" bestFit="1" customWidth="1"/>
    <col min="9" max="9" width="12.140625" bestFit="1" customWidth="1"/>
    <col min="10" max="10" width="13.42578125" bestFit="1" customWidth="1"/>
    <col min="11" max="11" width="12.5703125" bestFit="1" customWidth="1"/>
    <col min="12" max="12" width="12.85546875" bestFit="1" customWidth="1"/>
    <col min="13" max="13" width="15.140625" customWidth="1"/>
    <col min="15" max="15" width="14.140625" bestFit="1" customWidth="1"/>
    <col min="17" max="17" width="15.140625" customWidth="1"/>
    <col min="18" max="18" width="16.85546875" bestFit="1" customWidth="1"/>
    <col min="19" max="19" width="14.140625" customWidth="1"/>
    <col min="20" max="20" width="31.140625" customWidth="1"/>
    <col min="21" max="21" width="20.5703125" customWidth="1"/>
  </cols>
  <sheetData>
    <row r="2" spans="1:22" x14ac:dyDescent="0.25">
      <c r="A2" s="107" t="s">
        <v>88</v>
      </c>
      <c r="B2" s="107"/>
      <c r="C2" s="107"/>
      <c r="D2" s="107"/>
      <c r="E2" s="107"/>
      <c r="I2" s="107" t="s">
        <v>87</v>
      </c>
      <c r="J2" s="107"/>
      <c r="K2" s="107"/>
      <c r="L2" s="107"/>
      <c r="M2" s="107"/>
      <c r="Q2" s="107" t="s">
        <v>105</v>
      </c>
      <c r="R2" s="107"/>
      <c r="S2" s="107"/>
      <c r="T2" s="107"/>
      <c r="U2" s="107"/>
    </row>
    <row r="3" spans="1:22" x14ac:dyDescent="0.25">
      <c r="A3" s="1" t="s">
        <v>23</v>
      </c>
      <c r="B3" s="7" t="s">
        <v>106</v>
      </c>
      <c r="C3" s="1" t="s">
        <v>107</v>
      </c>
      <c r="D3" s="1" t="s">
        <v>108</v>
      </c>
      <c r="E3" s="1" t="s">
        <v>109</v>
      </c>
      <c r="F3" s="8" t="s">
        <v>145</v>
      </c>
      <c r="I3" s="1" t="s">
        <v>23</v>
      </c>
      <c r="J3" s="7" t="s">
        <v>106</v>
      </c>
      <c r="K3" s="1" t="s">
        <v>107</v>
      </c>
      <c r="L3" s="1" t="s">
        <v>108</v>
      </c>
      <c r="M3" s="1" t="s">
        <v>109</v>
      </c>
      <c r="N3" s="8" t="s">
        <v>145</v>
      </c>
      <c r="Q3" s="1" t="s">
        <v>23</v>
      </c>
      <c r="R3" s="7" t="s">
        <v>106</v>
      </c>
      <c r="S3" s="1" t="s">
        <v>107</v>
      </c>
      <c r="T3" s="1" t="s">
        <v>108</v>
      </c>
      <c r="U3" s="1" t="s">
        <v>109</v>
      </c>
      <c r="V3" s="8" t="s">
        <v>145</v>
      </c>
    </row>
    <row r="4" spans="1:22" x14ac:dyDescent="0.25">
      <c r="A4">
        <v>156622</v>
      </c>
      <c r="B4">
        <v>203705476.38309199</v>
      </c>
      <c r="C4">
        <v>58</v>
      </c>
      <c r="D4" t="s">
        <v>39</v>
      </c>
      <c r="E4" t="s">
        <v>39</v>
      </c>
      <c r="F4">
        <v>0</v>
      </c>
      <c r="I4">
        <v>147492</v>
      </c>
      <c r="J4">
        <v>42426821.603606999</v>
      </c>
      <c r="K4" t="s">
        <v>297</v>
      </c>
      <c r="L4" t="s">
        <v>302</v>
      </c>
      <c r="M4" t="s">
        <v>299</v>
      </c>
      <c r="N4">
        <v>0</v>
      </c>
      <c r="Q4">
        <v>2000467</v>
      </c>
      <c r="R4">
        <v>22901377.689304002</v>
      </c>
      <c r="S4" t="s">
        <v>92</v>
      </c>
      <c r="T4" t="s">
        <v>269</v>
      </c>
      <c r="U4" t="s">
        <v>265</v>
      </c>
      <c r="V4">
        <v>0</v>
      </c>
    </row>
    <row r="5" spans="1:22" x14ac:dyDescent="0.25">
      <c r="A5">
        <v>1036691</v>
      </c>
      <c r="B5">
        <v>981466.69845200004</v>
      </c>
      <c r="C5" t="s">
        <v>311</v>
      </c>
      <c r="D5" t="s">
        <v>311</v>
      </c>
      <c r="E5" t="s">
        <v>311</v>
      </c>
      <c r="F5">
        <v>0</v>
      </c>
      <c r="I5">
        <v>147491</v>
      </c>
      <c r="J5">
        <v>1600297.8591159999</v>
      </c>
      <c r="K5" t="s">
        <v>297</v>
      </c>
      <c r="L5" t="s">
        <v>302</v>
      </c>
      <c r="M5" t="s">
        <v>299</v>
      </c>
      <c r="N5">
        <v>0</v>
      </c>
      <c r="Q5">
        <v>1018867</v>
      </c>
      <c r="R5">
        <v>29175276.964768</v>
      </c>
      <c r="S5" t="s">
        <v>93</v>
      </c>
      <c r="T5" t="s">
        <v>249</v>
      </c>
      <c r="U5" t="s">
        <v>250</v>
      </c>
      <c r="V5">
        <v>0</v>
      </c>
    </row>
    <row r="6" spans="1:22" x14ac:dyDescent="0.25">
      <c r="A6">
        <v>2000206</v>
      </c>
      <c r="B6">
        <v>0</v>
      </c>
      <c r="C6">
        <v>116</v>
      </c>
      <c r="D6" t="s">
        <v>220</v>
      </c>
      <c r="E6" t="s">
        <v>221</v>
      </c>
      <c r="F6">
        <v>0</v>
      </c>
      <c r="I6">
        <v>159246</v>
      </c>
      <c r="J6">
        <v>13674935.246929999</v>
      </c>
      <c r="K6" t="s">
        <v>297</v>
      </c>
      <c r="L6" t="s">
        <v>302</v>
      </c>
      <c r="M6" t="s">
        <v>299</v>
      </c>
      <c r="N6">
        <v>0</v>
      </c>
      <c r="Q6">
        <v>65501372909</v>
      </c>
      <c r="R6">
        <v>30554888.754117001</v>
      </c>
      <c r="S6" t="s">
        <v>94</v>
      </c>
      <c r="T6" t="s">
        <v>95</v>
      </c>
      <c r="U6" t="s">
        <v>254</v>
      </c>
      <c r="V6">
        <v>0</v>
      </c>
    </row>
    <row r="7" spans="1:22" x14ac:dyDescent="0.25">
      <c r="A7">
        <v>2000205</v>
      </c>
      <c r="B7">
        <v>0</v>
      </c>
      <c r="C7">
        <v>117</v>
      </c>
      <c r="D7" t="s">
        <v>222</v>
      </c>
      <c r="E7" t="s">
        <v>221</v>
      </c>
      <c r="F7">
        <v>0</v>
      </c>
      <c r="I7">
        <v>1010401</v>
      </c>
      <c r="J7">
        <v>52831071.346625999</v>
      </c>
      <c r="K7" t="s">
        <v>297</v>
      </c>
      <c r="L7" t="s">
        <v>302</v>
      </c>
      <c r="M7" t="s">
        <v>299</v>
      </c>
      <c r="N7">
        <v>0</v>
      </c>
      <c r="Q7">
        <v>65505285253</v>
      </c>
      <c r="R7">
        <v>257628.98404800001</v>
      </c>
      <c r="S7" t="s">
        <v>99</v>
      </c>
      <c r="T7" t="s">
        <v>99</v>
      </c>
      <c r="U7" t="s">
        <v>247</v>
      </c>
      <c r="V7">
        <v>0</v>
      </c>
    </row>
    <row r="8" spans="1:22" x14ac:dyDescent="0.25">
      <c r="A8">
        <v>1013187</v>
      </c>
      <c r="B8">
        <v>93135769.234126002</v>
      </c>
      <c r="C8">
        <v>127</v>
      </c>
      <c r="D8" t="s">
        <v>43</v>
      </c>
      <c r="E8" t="s">
        <v>236</v>
      </c>
      <c r="F8">
        <v>0</v>
      </c>
      <c r="Q8">
        <v>1031340</v>
      </c>
      <c r="R8">
        <v>32195624.158808</v>
      </c>
      <c r="S8" t="s">
        <v>100</v>
      </c>
      <c r="T8" t="s">
        <v>101</v>
      </c>
      <c r="U8" t="s">
        <v>101</v>
      </c>
      <c r="V8">
        <v>0</v>
      </c>
    </row>
    <row r="9" spans="1:22" x14ac:dyDescent="0.25">
      <c r="A9">
        <v>2000863</v>
      </c>
      <c r="B9">
        <v>0</v>
      </c>
      <c r="C9">
        <v>2000863</v>
      </c>
      <c r="D9" t="s">
        <v>44</v>
      </c>
      <c r="E9" t="s">
        <v>221</v>
      </c>
      <c r="F9">
        <v>0</v>
      </c>
      <c r="Q9">
        <v>2000926</v>
      </c>
      <c r="R9">
        <v>36862014.311584003</v>
      </c>
      <c r="S9" t="s">
        <v>256</v>
      </c>
      <c r="T9" t="s">
        <v>257</v>
      </c>
      <c r="U9" t="s">
        <v>258</v>
      </c>
      <c r="V9">
        <v>0</v>
      </c>
    </row>
    <row r="10" spans="1:22" x14ac:dyDescent="0.25">
      <c r="A10">
        <v>2000905</v>
      </c>
      <c r="B10">
        <v>570670743.00125206</v>
      </c>
      <c r="C10">
        <v>2000905</v>
      </c>
      <c r="D10" t="s">
        <v>45</v>
      </c>
      <c r="E10" t="s">
        <v>45</v>
      </c>
      <c r="F10">
        <v>0</v>
      </c>
      <c r="J10" s="10"/>
      <c r="Q10">
        <v>1031341</v>
      </c>
      <c r="R10">
        <v>26358687.108624</v>
      </c>
      <c r="S10" t="s">
        <v>175</v>
      </c>
      <c r="T10" t="s">
        <v>148</v>
      </c>
      <c r="U10" t="s">
        <v>148</v>
      </c>
      <c r="V10">
        <v>0</v>
      </c>
    </row>
    <row r="11" spans="1:22" x14ac:dyDescent="0.25">
      <c r="A11" s="12">
        <v>2000574</v>
      </c>
      <c r="B11" s="12">
        <v>6247804.5492439996</v>
      </c>
      <c r="C11" t="s">
        <v>172</v>
      </c>
      <c r="D11" t="s">
        <v>255</v>
      </c>
      <c r="E11" t="s">
        <v>172</v>
      </c>
      <c r="F11">
        <v>0</v>
      </c>
      <c r="J11" s="10"/>
      <c r="Q11">
        <v>65501902345</v>
      </c>
      <c r="R11">
        <v>29211516.135896001</v>
      </c>
      <c r="S11" t="s">
        <v>304</v>
      </c>
      <c r="T11" t="s">
        <v>310</v>
      </c>
      <c r="U11" t="s">
        <v>310</v>
      </c>
      <c r="V11">
        <v>0</v>
      </c>
    </row>
    <row r="12" spans="1:22" x14ac:dyDescent="0.25">
      <c r="A12">
        <v>2000575</v>
      </c>
      <c r="B12">
        <v>27603079.142901</v>
      </c>
      <c r="C12" t="s">
        <v>172</v>
      </c>
      <c r="D12" t="s">
        <v>255</v>
      </c>
      <c r="E12" t="s">
        <v>172</v>
      </c>
      <c r="F12">
        <v>0</v>
      </c>
      <c r="J12" s="10"/>
      <c r="Q12">
        <v>1037087</v>
      </c>
      <c r="R12">
        <v>18359.321096</v>
      </c>
      <c r="S12" t="s">
        <v>305</v>
      </c>
      <c r="T12" t="s">
        <v>308</v>
      </c>
      <c r="U12" t="s">
        <v>308</v>
      </c>
      <c r="V12">
        <v>0</v>
      </c>
    </row>
    <row r="13" spans="1:22" x14ac:dyDescent="0.25">
      <c r="A13">
        <v>2000576</v>
      </c>
      <c r="B13">
        <v>7847433.3837179998</v>
      </c>
      <c r="C13" t="s">
        <v>172</v>
      </c>
      <c r="D13" t="s">
        <v>255</v>
      </c>
      <c r="E13" t="s">
        <v>172</v>
      </c>
      <c r="F13">
        <v>0</v>
      </c>
      <c r="J13" s="10"/>
      <c r="Q13">
        <v>65502397418</v>
      </c>
      <c r="R13">
        <v>21732632.524448</v>
      </c>
      <c r="S13" t="s">
        <v>344</v>
      </c>
      <c r="T13" t="s">
        <v>346</v>
      </c>
      <c r="U13" t="s">
        <v>346</v>
      </c>
      <c r="V13">
        <v>0</v>
      </c>
    </row>
    <row r="14" spans="1:22" x14ac:dyDescent="0.25">
      <c r="A14">
        <v>2000577</v>
      </c>
      <c r="B14">
        <v>61534022.634461001</v>
      </c>
      <c r="C14" t="s">
        <v>172</v>
      </c>
      <c r="D14" t="s">
        <v>255</v>
      </c>
      <c r="E14" t="s">
        <v>172</v>
      </c>
      <c r="F14">
        <v>0</v>
      </c>
      <c r="J14" s="10"/>
      <c r="Q14">
        <v>65501285111</v>
      </c>
      <c r="R14">
        <v>32732470.33326</v>
      </c>
      <c r="S14" t="s">
        <v>345</v>
      </c>
      <c r="T14" t="s">
        <v>347</v>
      </c>
      <c r="U14" t="s">
        <v>347</v>
      </c>
      <c r="V14">
        <v>0</v>
      </c>
    </row>
    <row r="15" spans="1:22" x14ac:dyDescent="0.25">
      <c r="A15">
        <v>65503691935</v>
      </c>
      <c r="B15">
        <v>14666173.122264</v>
      </c>
      <c r="C15" t="s">
        <v>49</v>
      </c>
      <c r="D15" t="s">
        <v>49</v>
      </c>
      <c r="E15" t="s">
        <v>49</v>
      </c>
      <c r="F15">
        <v>0</v>
      </c>
      <c r="Q15">
        <v>2000466</v>
      </c>
      <c r="R15">
        <v>0</v>
      </c>
      <c r="S15" t="s">
        <v>91</v>
      </c>
      <c r="T15" t="s">
        <v>268</v>
      </c>
      <c r="U15" t="s">
        <v>268</v>
      </c>
      <c r="V15">
        <v>0</v>
      </c>
    </row>
    <row r="16" spans="1:22" x14ac:dyDescent="0.25">
      <c r="A16">
        <v>2000534</v>
      </c>
      <c r="B16">
        <v>437.32162499999998</v>
      </c>
      <c r="C16" t="s">
        <v>50</v>
      </c>
      <c r="D16" t="s">
        <v>51</v>
      </c>
      <c r="E16" t="s">
        <v>51</v>
      </c>
      <c r="F16">
        <v>0</v>
      </c>
      <c r="Q16">
        <v>1033795</v>
      </c>
      <c r="R16">
        <v>11634623.918634001</v>
      </c>
      <c r="S16">
        <v>1033795</v>
      </c>
      <c r="T16" t="s">
        <v>510</v>
      </c>
      <c r="U16" t="s">
        <v>510</v>
      </c>
      <c r="V16">
        <v>0</v>
      </c>
    </row>
    <row r="17" spans="1:22" x14ac:dyDescent="0.25">
      <c r="A17">
        <v>65507430562</v>
      </c>
      <c r="B17">
        <v>219370869.39074799</v>
      </c>
      <c r="C17" t="s">
        <v>242</v>
      </c>
      <c r="D17" t="s">
        <v>243</v>
      </c>
      <c r="E17" t="s">
        <v>243</v>
      </c>
      <c r="F17">
        <v>0</v>
      </c>
      <c r="Q17">
        <v>65508881201</v>
      </c>
      <c r="R17">
        <v>1529145.231872</v>
      </c>
      <c r="S17" t="s">
        <v>619</v>
      </c>
      <c r="T17" t="s">
        <v>614</v>
      </c>
      <c r="U17" t="s">
        <v>614</v>
      </c>
      <c r="V17">
        <v>0</v>
      </c>
    </row>
    <row r="18" spans="1:22" x14ac:dyDescent="0.25">
      <c r="A18">
        <v>2000597</v>
      </c>
      <c r="B18">
        <v>23370.467639999999</v>
      </c>
      <c r="C18" t="s">
        <v>306</v>
      </c>
      <c r="F18">
        <v>0</v>
      </c>
      <c r="Q18">
        <v>65508886089</v>
      </c>
      <c r="R18">
        <v>96488725.812631994</v>
      </c>
      <c r="S18" t="s">
        <v>512</v>
      </c>
      <c r="T18" t="s">
        <v>511</v>
      </c>
      <c r="U18" t="s">
        <v>511</v>
      </c>
      <c r="V18">
        <v>0</v>
      </c>
    </row>
    <row r="19" spans="1:22" x14ac:dyDescent="0.25">
      <c r="A19">
        <v>2000730</v>
      </c>
      <c r="B19">
        <v>4910789.4843149995</v>
      </c>
      <c r="C19" t="s">
        <v>54</v>
      </c>
      <c r="D19" t="s">
        <v>267</v>
      </c>
      <c r="E19" t="s">
        <v>55</v>
      </c>
      <c r="F19">
        <v>0</v>
      </c>
      <c r="Q19">
        <v>1000003294</v>
      </c>
      <c r="R19">
        <v>2752363.5903360001</v>
      </c>
      <c r="S19">
        <v>1528</v>
      </c>
      <c r="T19" t="s">
        <v>529</v>
      </c>
      <c r="U19" t="s">
        <v>529</v>
      </c>
      <c r="V19">
        <v>0</v>
      </c>
    </row>
    <row r="20" spans="1:22" x14ac:dyDescent="0.25">
      <c r="A20">
        <v>2000927</v>
      </c>
      <c r="B20">
        <v>43142832.562044002</v>
      </c>
      <c r="C20" t="s">
        <v>56</v>
      </c>
      <c r="D20" t="s">
        <v>262</v>
      </c>
      <c r="E20" t="s">
        <v>263</v>
      </c>
      <c r="F20">
        <v>0</v>
      </c>
      <c r="Q20">
        <v>1000003296</v>
      </c>
      <c r="R20">
        <v>29963625.547031999</v>
      </c>
      <c r="S20" t="s">
        <v>519</v>
      </c>
      <c r="T20" t="s">
        <v>531</v>
      </c>
      <c r="U20" t="s">
        <v>531</v>
      </c>
      <c r="V20">
        <v>0</v>
      </c>
    </row>
    <row r="21" spans="1:22" x14ac:dyDescent="0.25">
      <c r="A21">
        <v>2000928</v>
      </c>
      <c r="B21">
        <v>37093456.768576004</v>
      </c>
      <c r="C21" t="s">
        <v>57</v>
      </c>
      <c r="D21" t="s">
        <v>260</v>
      </c>
      <c r="E21" t="s">
        <v>261</v>
      </c>
      <c r="F21">
        <v>0</v>
      </c>
      <c r="Q21">
        <v>1000003300</v>
      </c>
      <c r="R21">
        <v>10765009.061136</v>
      </c>
      <c r="S21" t="s">
        <v>522</v>
      </c>
      <c r="T21" t="s">
        <v>535</v>
      </c>
      <c r="U21" t="s">
        <v>535</v>
      </c>
      <c r="V21">
        <v>0</v>
      </c>
    </row>
    <row r="22" spans="1:22" x14ac:dyDescent="0.25">
      <c r="A22">
        <v>65507408917</v>
      </c>
      <c r="B22" s="16">
        <v>0</v>
      </c>
      <c r="C22">
        <v>37</v>
      </c>
      <c r="D22" t="s">
        <v>18</v>
      </c>
      <c r="E22" t="s">
        <v>209</v>
      </c>
      <c r="F22">
        <v>0</v>
      </c>
      <c r="Q22">
        <v>1000003301</v>
      </c>
      <c r="R22">
        <v>21470183.983491998</v>
      </c>
      <c r="S22" t="s">
        <v>523</v>
      </c>
      <c r="T22" t="s">
        <v>536</v>
      </c>
      <c r="U22" t="s">
        <v>536</v>
      </c>
      <c r="V22">
        <v>0</v>
      </c>
    </row>
    <row r="23" spans="1:22" x14ac:dyDescent="0.25">
      <c r="A23">
        <v>1033811</v>
      </c>
      <c r="B23">
        <v>3248841.5216000001</v>
      </c>
      <c r="C23">
        <v>76</v>
      </c>
      <c r="D23" t="s">
        <v>64</v>
      </c>
      <c r="E23" t="s">
        <v>212</v>
      </c>
      <c r="F23">
        <v>0</v>
      </c>
      <c r="Q23">
        <v>1000003305</v>
      </c>
      <c r="R23">
        <v>10526385.828136001</v>
      </c>
      <c r="S23" t="s">
        <v>525</v>
      </c>
      <c r="T23" t="s">
        <v>538</v>
      </c>
      <c r="U23" t="s">
        <v>538</v>
      </c>
      <c r="V23">
        <v>0</v>
      </c>
    </row>
    <row r="24" spans="1:22" x14ac:dyDescent="0.25">
      <c r="A24">
        <v>65502425394</v>
      </c>
      <c r="B24" s="4">
        <v>104963120.889327</v>
      </c>
      <c r="C24">
        <v>93</v>
      </c>
      <c r="D24" t="s">
        <v>66</v>
      </c>
      <c r="E24" t="s">
        <v>215</v>
      </c>
      <c r="F24">
        <v>0</v>
      </c>
      <c r="Q24">
        <v>1000003307</v>
      </c>
      <c r="R24">
        <v>7177.3792359999998</v>
      </c>
      <c r="S24" t="s">
        <v>547</v>
      </c>
      <c r="T24" t="s">
        <v>548</v>
      </c>
      <c r="U24" t="s">
        <v>548</v>
      </c>
      <c r="V24">
        <v>0</v>
      </c>
    </row>
    <row r="25" spans="1:22" x14ac:dyDescent="0.25">
      <c r="A25">
        <v>1002455</v>
      </c>
      <c r="B25">
        <v>8938949.8599999994</v>
      </c>
      <c r="C25">
        <v>94</v>
      </c>
      <c r="D25" t="s">
        <v>67</v>
      </c>
      <c r="E25" t="s">
        <v>216</v>
      </c>
      <c r="F25">
        <v>0</v>
      </c>
      <c r="Q25">
        <v>1000003968</v>
      </c>
      <c r="R25">
        <v>0</v>
      </c>
      <c r="S25" t="s">
        <v>549</v>
      </c>
      <c r="T25" t="s">
        <v>550</v>
      </c>
      <c r="U25" t="s">
        <v>550</v>
      </c>
      <c r="V25">
        <v>0</v>
      </c>
    </row>
    <row r="26" spans="1:22" x14ac:dyDescent="0.25">
      <c r="A26">
        <v>152965</v>
      </c>
      <c r="B26">
        <v>21394557.376568999</v>
      </c>
      <c r="C26">
        <v>105</v>
      </c>
      <c r="D26" t="s">
        <v>68</v>
      </c>
      <c r="E26" t="s">
        <v>217</v>
      </c>
      <c r="F26">
        <v>0</v>
      </c>
      <c r="Q26">
        <v>1000003306</v>
      </c>
      <c r="R26">
        <v>0</v>
      </c>
      <c r="S26" t="s">
        <v>620</v>
      </c>
      <c r="T26" t="s">
        <v>621</v>
      </c>
      <c r="U26" t="s">
        <v>621</v>
      </c>
      <c r="V26">
        <v>0</v>
      </c>
    </row>
    <row r="27" spans="1:22" ht="18.75" x14ac:dyDescent="0.3">
      <c r="A27">
        <v>1005849</v>
      </c>
      <c r="B27">
        <v>26196890.727880001</v>
      </c>
      <c r="C27">
        <v>114</v>
      </c>
      <c r="D27" t="s">
        <v>218</v>
      </c>
      <c r="E27" t="s">
        <v>219</v>
      </c>
      <c r="F27">
        <v>0</v>
      </c>
      <c r="H27" s="11"/>
      <c r="Q27">
        <v>2000469</v>
      </c>
      <c r="R27">
        <v>0</v>
      </c>
      <c r="S27" t="s">
        <v>90</v>
      </c>
      <c r="T27" t="s">
        <v>266</v>
      </c>
      <c r="U27" t="s">
        <v>265</v>
      </c>
      <c r="V27">
        <v>1</v>
      </c>
    </row>
    <row r="28" spans="1:22" x14ac:dyDescent="0.25">
      <c r="A28">
        <v>142481</v>
      </c>
      <c r="B28">
        <v>1058388.8999999999</v>
      </c>
      <c r="C28">
        <v>1081</v>
      </c>
      <c r="D28" t="s">
        <v>73</v>
      </c>
      <c r="E28" t="s">
        <v>216</v>
      </c>
      <c r="F28">
        <v>0</v>
      </c>
      <c r="H28" s="10"/>
      <c r="Q28">
        <v>2001050</v>
      </c>
      <c r="R28">
        <v>3958037.0935169999</v>
      </c>
      <c r="S28" t="s">
        <v>177</v>
      </c>
      <c r="T28" t="s">
        <v>270</v>
      </c>
      <c r="U28" t="s">
        <v>271</v>
      </c>
      <c r="V28">
        <v>1</v>
      </c>
    </row>
    <row r="29" spans="1:22" x14ac:dyDescent="0.25">
      <c r="A29">
        <v>142482</v>
      </c>
      <c r="B29">
        <v>208796.14</v>
      </c>
      <c r="C29">
        <v>1082</v>
      </c>
      <c r="D29" t="s">
        <v>74</v>
      </c>
      <c r="E29" t="s">
        <v>216</v>
      </c>
      <c r="F29">
        <v>0</v>
      </c>
      <c r="Q29">
        <v>1037090</v>
      </c>
      <c r="R29">
        <v>16704197.451416001</v>
      </c>
      <c r="S29" t="s">
        <v>303</v>
      </c>
      <c r="T29" t="s">
        <v>309</v>
      </c>
      <c r="U29" t="s">
        <v>309</v>
      </c>
      <c r="V29">
        <v>1</v>
      </c>
    </row>
    <row r="30" spans="1:22" x14ac:dyDescent="0.25">
      <c r="A30">
        <v>65507665273</v>
      </c>
      <c r="B30">
        <v>0</v>
      </c>
      <c r="C30">
        <v>1094</v>
      </c>
      <c r="D30" t="s">
        <v>75</v>
      </c>
      <c r="E30" t="s">
        <v>209</v>
      </c>
      <c r="F30">
        <v>0</v>
      </c>
      <c r="Q30">
        <v>1037118</v>
      </c>
      <c r="R30">
        <v>14737348.621164</v>
      </c>
      <c r="S30" t="s">
        <v>334</v>
      </c>
      <c r="T30" t="s">
        <v>335</v>
      </c>
      <c r="U30" t="s">
        <v>335</v>
      </c>
      <c r="V30">
        <v>1</v>
      </c>
    </row>
    <row r="31" spans="1:22" x14ac:dyDescent="0.25">
      <c r="A31">
        <v>1018014</v>
      </c>
      <c r="B31">
        <v>4309.26</v>
      </c>
      <c r="C31">
        <v>1018014</v>
      </c>
      <c r="D31" t="s">
        <v>79</v>
      </c>
      <c r="E31" t="s">
        <v>79</v>
      </c>
      <c r="F31">
        <v>0</v>
      </c>
      <c r="Q31">
        <v>1037086</v>
      </c>
      <c r="R31">
        <v>55433047.280056</v>
      </c>
      <c r="S31" t="s">
        <v>336</v>
      </c>
      <c r="T31" t="s">
        <v>337</v>
      </c>
      <c r="U31" t="s">
        <v>337</v>
      </c>
      <c r="V31">
        <v>1</v>
      </c>
    </row>
    <row r="32" spans="1:22" x14ac:dyDescent="0.25">
      <c r="A32">
        <v>1018122</v>
      </c>
      <c r="B32">
        <v>59838.68</v>
      </c>
      <c r="C32">
        <v>1018122</v>
      </c>
      <c r="D32" t="s">
        <v>80</v>
      </c>
      <c r="E32" t="s">
        <v>216</v>
      </c>
      <c r="F32">
        <v>0</v>
      </c>
      <c r="Q32">
        <v>1037113</v>
      </c>
      <c r="R32">
        <v>7989275.5879040007</v>
      </c>
      <c r="S32" t="s">
        <v>338</v>
      </c>
      <c r="T32" t="s">
        <v>339</v>
      </c>
      <c r="U32" t="s">
        <v>339</v>
      </c>
      <c r="V32">
        <v>1</v>
      </c>
    </row>
    <row r="33" spans="1:22" x14ac:dyDescent="0.25">
      <c r="A33">
        <v>1018302</v>
      </c>
      <c r="B33">
        <v>2957355.92</v>
      </c>
      <c r="C33">
        <v>1018302</v>
      </c>
      <c r="D33" t="s">
        <v>81</v>
      </c>
      <c r="E33" t="s">
        <v>216</v>
      </c>
      <c r="F33">
        <v>0</v>
      </c>
      <c r="Q33">
        <v>1037117</v>
      </c>
      <c r="R33">
        <v>8890963.5312760007</v>
      </c>
      <c r="S33" t="s">
        <v>340</v>
      </c>
      <c r="T33" t="s">
        <v>341</v>
      </c>
      <c r="U33" t="s">
        <v>341</v>
      </c>
      <c r="V33">
        <v>1</v>
      </c>
    </row>
    <row r="34" spans="1:22" x14ac:dyDescent="0.25">
      <c r="A34">
        <v>65502313952</v>
      </c>
      <c r="B34">
        <v>1667338100.6397631</v>
      </c>
      <c r="C34">
        <v>92</v>
      </c>
      <c r="D34" t="s">
        <v>213</v>
      </c>
      <c r="E34" t="s">
        <v>214</v>
      </c>
      <c r="F34">
        <v>0</v>
      </c>
      <c r="Q34">
        <v>1037085</v>
      </c>
      <c r="R34">
        <v>40351701.630644001</v>
      </c>
      <c r="S34" t="s">
        <v>342</v>
      </c>
      <c r="T34" t="s">
        <v>343</v>
      </c>
      <c r="U34" t="s">
        <v>343</v>
      </c>
      <c r="V34">
        <v>1</v>
      </c>
    </row>
    <row r="35" spans="1:22" x14ac:dyDescent="0.25">
      <c r="A35">
        <v>1036724</v>
      </c>
      <c r="B35">
        <v>9398474.0984480008</v>
      </c>
      <c r="C35" t="s">
        <v>313</v>
      </c>
      <c r="D35" t="s">
        <v>315</v>
      </c>
      <c r="E35" t="s">
        <v>315</v>
      </c>
      <c r="F35">
        <v>0</v>
      </c>
      <c r="Q35">
        <v>2000469</v>
      </c>
      <c r="R35">
        <v>0</v>
      </c>
      <c r="S35" t="s">
        <v>90</v>
      </c>
      <c r="T35" t="s">
        <v>266</v>
      </c>
      <c r="U35" t="s">
        <v>266</v>
      </c>
      <c r="V35">
        <v>1</v>
      </c>
    </row>
    <row r="36" spans="1:22" x14ac:dyDescent="0.25">
      <c r="A36">
        <v>65508989338</v>
      </c>
      <c r="B36">
        <v>57461140.273712002</v>
      </c>
      <c r="C36" t="s">
        <v>318</v>
      </c>
      <c r="D36" t="s">
        <v>316</v>
      </c>
      <c r="E36" t="s">
        <v>316</v>
      </c>
      <c r="F36">
        <v>0</v>
      </c>
      <c r="Q36">
        <v>1000002861</v>
      </c>
      <c r="R36">
        <v>13097239.509880001</v>
      </c>
      <c r="S36" t="s">
        <v>513</v>
      </c>
      <c r="T36" t="s">
        <v>514</v>
      </c>
      <c r="U36" t="s">
        <v>514</v>
      </c>
      <c r="V36">
        <v>1</v>
      </c>
    </row>
    <row r="37" spans="1:22" x14ac:dyDescent="0.25">
      <c r="A37">
        <v>65507143699</v>
      </c>
      <c r="B37">
        <v>469565.06172900001</v>
      </c>
      <c r="C37" t="s">
        <v>327</v>
      </c>
      <c r="D37" t="s">
        <v>327</v>
      </c>
      <c r="E37" t="s">
        <v>327</v>
      </c>
      <c r="F37">
        <v>0</v>
      </c>
      <c r="Q37">
        <v>1000003291</v>
      </c>
      <c r="R37">
        <v>60779327.953492001</v>
      </c>
      <c r="S37" t="s">
        <v>515</v>
      </c>
      <c r="T37" t="s">
        <v>526</v>
      </c>
      <c r="U37" t="s">
        <v>526</v>
      </c>
      <c r="V37">
        <v>1</v>
      </c>
    </row>
    <row r="38" spans="1:22" x14ac:dyDescent="0.25">
      <c r="A38">
        <v>65507143745</v>
      </c>
      <c r="B38">
        <v>296669.94669900002</v>
      </c>
      <c r="C38" t="s">
        <v>328</v>
      </c>
      <c r="D38" t="s">
        <v>328</v>
      </c>
      <c r="E38" t="s">
        <v>328</v>
      </c>
      <c r="F38">
        <v>0</v>
      </c>
      <c r="Q38">
        <v>1000003292</v>
      </c>
      <c r="R38">
        <v>8581992.0128080007</v>
      </c>
      <c r="S38" t="s">
        <v>516</v>
      </c>
      <c r="T38" t="s">
        <v>527</v>
      </c>
      <c r="U38" t="s">
        <v>527</v>
      </c>
      <c r="V38">
        <v>1</v>
      </c>
    </row>
    <row r="39" spans="1:22" x14ac:dyDescent="0.25">
      <c r="A39">
        <v>65507142173</v>
      </c>
      <c r="B39">
        <v>739470.93246499996</v>
      </c>
      <c r="C39" t="s">
        <v>329</v>
      </c>
      <c r="D39" t="s">
        <v>329</v>
      </c>
      <c r="E39" t="s">
        <v>329</v>
      </c>
      <c r="F39">
        <v>0</v>
      </c>
      <c r="Q39">
        <v>1000003293</v>
      </c>
      <c r="R39">
        <v>31340123.241996001</v>
      </c>
      <c r="S39" t="s">
        <v>517</v>
      </c>
      <c r="T39" t="s">
        <v>528</v>
      </c>
      <c r="U39" t="s">
        <v>528</v>
      </c>
      <c r="V39">
        <v>1</v>
      </c>
    </row>
    <row r="40" spans="1:22" x14ac:dyDescent="0.25">
      <c r="A40">
        <v>65507052215</v>
      </c>
      <c r="B40">
        <v>7911653.4124480002</v>
      </c>
      <c r="C40" t="s">
        <v>330</v>
      </c>
      <c r="D40" t="s">
        <v>331</v>
      </c>
      <c r="E40" t="s">
        <v>331</v>
      </c>
      <c r="F40">
        <v>0</v>
      </c>
      <c r="Q40">
        <v>1000003295</v>
      </c>
      <c r="R40">
        <v>82669240.862708002</v>
      </c>
      <c r="S40" t="s">
        <v>518</v>
      </c>
      <c r="T40" t="s">
        <v>530</v>
      </c>
      <c r="U40" t="s">
        <v>530</v>
      </c>
      <c r="V40">
        <v>1</v>
      </c>
    </row>
    <row r="41" spans="1:22" x14ac:dyDescent="0.25">
      <c r="A41">
        <v>65507052277</v>
      </c>
      <c r="B41">
        <v>5074705.3529690001</v>
      </c>
      <c r="C41" t="s">
        <v>332</v>
      </c>
      <c r="D41" t="s">
        <v>331</v>
      </c>
      <c r="E41" t="s">
        <v>331</v>
      </c>
      <c r="F41">
        <v>0</v>
      </c>
      <c r="Q41">
        <v>1000003297</v>
      </c>
      <c r="R41" s="4">
        <v>10801619.469752001</v>
      </c>
      <c r="S41" t="s">
        <v>520</v>
      </c>
      <c r="T41" t="s">
        <v>532</v>
      </c>
      <c r="U41" t="s">
        <v>532</v>
      </c>
      <c r="V41">
        <v>1</v>
      </c>
    </row>
    <row r="42" spans="1:22" x14ac:dyDescent="0.25">
      <c r="A42">
        <v>65507052294</v>
      </c>
      <c r="B42">
        <v>7726026.700096</v>
      </c>
      <c r="C42" t="s">
        <v>333</v>
      </c>
      <c r="D42" t="s">
        <v>331</v>
      </c>
      <c r="E42" t="s">
        <v>331</v>
      </c>
      <c r="F42">
        <v>0</v>
      </c>
      <c r="Q42">
        <v>1000003298</v>
      </c>
      <c r="R42">
        <v>26481530.031164002</v>
      </c>
      <c r="S42" t="s">
        <v>521</v>
      </c>
      <c r="T42" t="s">
        <v>533</v>
      </c>
      <c r="U42" t="s">
        <v>533</v>
      </c>
      <c r="V42">
        <v>1</v>
      </c>
    </row>
    <row r="43" spans="1:22" x14ac:dyDescent="0.25">
      <c r="A43">
        <v>1037923</v>
      </c>
      <c r="B43" s="4">
        <v>1499134.751252</v>
      </c>
      <c r="C43" t="s">
        <v>320</v>
      </c>
      <c r="D43" t="s">
        <v>320</v>
      </c>
      <c r="E43" t="s">
        <v>320</v>
      </c>
      <c r="F43">
        <v>0</v>
      </c>
      <c r="Q43">
        <v>1000003299</v>
      </c>
      <c r="R43">
        <v>96704930.350431994</v>
      </c>
      <c r="S43">
        <v>6981</v>
      </c>
      <c r="T43" t="s">
        <v>534</v>
      </c>
      <c r="U43" t="s">
        <v>534</v>
      </c>
      <c r="V43">
        <v>1</v>
      </c>
    </row>
    <row r="44" spans="1:22" x14ac:dyDescent="0.25">
      <c r="A44">
        <v>1037924</v>
      </c>
      <c r="B44">
        <v>0</v>
      </c>
      <c r="C44" t="s">
        <v>322</v>
      </c>
      <c r="D44" t="s">
        <v>322</v>
      </c>
      <c r="E44" t="s">
        <v>322</v>
      </c>
      <c r="F44">
        <v>0</v>
      </c>
      <c r="Q44">
        <v>1000003302</v>
      </c>
      <c r="R44">
        <v>13975865.53926</v>
      </c>
      <c r="S44" t="s">
        <v>524</v>
      </c>
      <c r="T44" t="s">
        <v>537</v>
      </c>
      <c r="U44" t="s">
        <v>537</v>
      </c>
      <c r="V44">
        <v>1</v>
      </c>
    </row>
    <row r="45" spans="1:22" x14ac:dyDescent="0.25">
      <c r="A45">
        <v>1037925</v>
      </c>
      <c r="B45">
        <v>1531784.5237159999</v>
      </c>
      <c r="C45" t="s">
        <v>321</v>
      </c>
      <c r="D45" t="s">
        <v>321</v>
      </c>
      <c r="E45" t="s">
        <v>321</v>
      </c>
      <c r="F45">
        <v>0</v>
      </c>
      <c r="Q45">
        <v>2001049</v>
      </c>
      <c r="R45">
        <v>10750642.521645</v>
      </c>
      <c r="S45" t="s">
        <v>176</v>
      </c>
      <c r="T45" t="s">
        <v>272</v>
      </c>
      <c r="U45" t="s">
        <v>271</v>
      </c>
      <c r="V45">
        <v>6</v>
      </c>
    </row>
    <row r="46" spans="1:22" x14ac:dyDescent="0.25">
      <c r="A46">
        <v>65509560409</v>
      </c>
      <c r="B46">
        <v>57344512.107092001</v>
      </c>
      <c r="C46" t="s">
        <v>353</v>
      </c>
      <c r="D46" t="s">
        <v>349</v>
      </c>
      <c r="E46" t="s">
        <v>349</v>
      </c>
      <c r="F46">
        <v>0</v>
      </c>
      <c r="Q46">
        <v>2001049</v>
      </c>
      <c r="R46">
        <v>7587642.8867290001</v>
      </c>
      <c r="S46" t="s">
        <v>176</v>
      </c>
      <c r="T46" t="s">
        <v>272</v>
      </c>
      <c r="U46" t="s">
        <v>271</v>
      </c>
      <c r="V46">
        <v>15</v>
      </c>
    </row>
    <row r="47" spans="1:22" x14ac:dyDescent="0.25">
      <c r="A47">
        <v>65509560426</v>
      </c>
      <c r="B47">
        <v>217913.11411600001</v>
      </c>
      <c r="C47" t="s">
        <v>354</v>
      </c>
      <c r="D47" t="s">
        <v>350</v>
      </c>
      <c r="E47" t="s">
        <v>350</v>
      </c>
      <c r="F47">
        <v>0</v>
      </c>
      <c r="Q47">
        <v>2001049</v>
      </c>
      <c r="R47">
        <v>7587642.8867290001</v>
      </c>
      <c r="S47" t="s">
        <v>176</v>
      </c>
      <c r="T47" t="s">
        <v>272</v>
      </c>
      <c r="U47" t="s">
        <v>271</v>
      </c>
      <c r="V47">
        <v>15</v>
      </c>
    </row>
    <row r="48" spans="1:22" x14ac:dyDescent="0.25">
      <c r="A48">
        <v>65509560457</v>
      </c>
      <c r="B48">
        <v>1277403.6654079999</v>
      </c>
      <c r="C48" t="s">
        <v>355</v>
      </c>
      <c r="D48" t="s">
        <v>351</v>
      </c>
      <c r="E48" t="s">
        <v>351</v>
      </c>
      <c r="F48">
        <v>0</v>
      </c>
    </row>
    <row r="49" spans="1:18" x14ac:dyDescent="0.25">
      <c r="A49">
        <v>65509560443</v>
      </c>
      <c r="B49">
        <v>594835.91909600003</v>
      </c>
      <c r="C49" t="s">
        <v>356</v>
      </c>
      <c r="D49" t="s">
        <v>352</v>
      </c>
      <c r="E49" t="s">
        <v>352</v>
      </c>
      <c r="F49">
        <v>0</v>
      </c>
    </row>
    <row r="50" spans="1:18" x14ac:dyDescent="0.25">
      <c r="A50">
        <v>1036723</v>
      </c>
      <c r="B50">
        <v>4302568.8086080002</v>
      </c>
      <c r="C50" t="s">
        <v>312</v>
      </c>
      <c r="D50" t="s">
        <v>314</v>
      </c>
      <c r="E50" t="s">
        <v>314</v>
      </c>
      <c r="F50">
        <v>0</v>
      </c>
    </row>
    <row r="51" spans="1:18" x14ac:dyDescent="0.25">
      <c r="A51">
        <v>154702</v>
      </c>
      <c r="B51">
        <v>0</v>
      </c>
      <c r="C51">
        <v>60</v>
      </c>
      <c r="D51" t="s">
        <v>40</v>
      </c>
      <c r="E51" t="s">
        <v>210</v>
      </c>
      <c r="F51">
        <v>1</v>
      </c>
    </row>
    <row r="52" spans="1:18" x14ac:dyDescent="0.25">
      <c r="A52">
        <v>80820</v>
      </c>
      <c r="B52">
        <v>0</v>
      </c>
      <c r="C52">
        <v>63</v>
      </c>
      <c r="D52" t="s">
        <v>211</v>
      </c>
      <c r="E52" t="s">
        <v>210</v>
      </c>
      <c r="F52">
        <v>1</v>
      </c>
    </row>
    <row r="53" spans="1:18" x14ac:dyDescent="0.25">
      <c r="A53">
        <v>1037124</v>
      </c>
      <c r="B53">
        <v>2875696.5890790001</v>
      </c>
      <c r="C53">
        <v>75</v>
      </c>
      <c r="D53" t="s">
        <v>63</v>
      </c>
      <c r="E53" t="s">
        <v>212</v>
      </c>
      <c r="F53">
        <v>1</v>
      </c>
    </row>
    <row r="57" spans="1:18" x14ac:dyDescent="0.25">
      <c r="B57" s="25"/>
      <c r="O57" s="4"/>
      <c r="R57" s="4"/>
    </row>
    <row r="58" spans="1:18" x14ac:dyDescent="0.25">
      <c r="R58" s="4"/>
    </row>
    <row r="64" spans="1:18" ht="19.5" customHeight="1" x14ac:dyDescent="0.25"/>
    <row r="66" spans="2:22" x14ac:dyDescent="0.25">
      <c r="S66">
        <v>2300</v>
      </c>
      <c r="T66" t="s">
        <v>104</v>
      </c>
      <c r="U66" t="s">
        <v>103</v>
      </c>
      <c r="V66">
        <v>0</v>
      </c>
    </row>
    <row r="67" spans="2:22" x14ac:dyDescent="0.25">
      <c r="S67" t="s">
        <v>175</v>
      </c>
      <c r="T67" t="s">
        <v>148</v>
      </c>
      <c r="U67" t="s">
        <v>148</v>
      </c>
      <c r="V67">
        <v>0</v>
      </c>
    </row>
    <row r="68" spans="2:22" x14ac:dyDescent="0.25">
      <c r="S68" t="s">
        <v>176</v>
      </c>
      <c r="T68" t="s">
        <v>272</v>
      </c>
      <c r="U68" t="s">
        <v>271</v>
      </c>
      <c r="V68">
        <v>0</v>
      </c>
    </row>
    <row r="69" spans="2:22" x14ac:dyDescent="0.25">
      <c r="S69" t="s">
        <v>177</v>
      </c>
      <c r="T69" t="s">
        <v>270</v>
      </c>
      <c r="U69" t="s">
        <v>271</v>
      </c>
      <c r="V69">
        <v>0</v>
      </c>
    </row>
    <row r="70" spans="2:22" x14ac:dyDescent="0.25">
      <c r="S70">
        <v>2779</v>
      </c>
      <c r="T70" t="s">
        <v>289</v>
      </c>
      <c r="U70" t="s">
        <v>142</v>
      </c>
      <c r="V70">
        <v>0</v>
      </c>
    </row>
    <row r="71" spans="2:22" x14ac:dyDescent="0.25">
      <c r="S71">
        <v>2779</v>
      </c>
      <c r="T71" t="s">
        <v>289</v>
      </c>
      <c r="U71" t="s">
        <v>142</v>
      </c>
      <c r="V71">
        <v>0</v>
      </c>
    </row>
    <row r="72" spans="2:22" x14ac:dyDescent="0.25">
      <c r="S72">
        <v>2779</v>
      </c>
      <c r="T72" t="s">
        <v>289</v>
      </c>
      <c r="U72" t="s">
        <v>142</v>
      </c>
      <c r="V72">
        <v>0</v>
      </c>
    </row>
    <row r="73" spans="2:22" x14ac:dyDescent="0.25">
      <c r="S73">
        <v>2779</v>
      </c>
      <c r="T73" t="s">
        <v>289</v>
      </c>
      <c r="U73" t="s">
        <v>142</v>
      </c>
      <c r="V73">
        <v>0</v>
      </c>
    </row>
    <row r="74" spans="2:22" x14ac:dyDescent="0.25">
      <c r="S74">
        <v>2779</v>
      </c>
      <c r="T74" t="s">
        <v>289</v>
      </c>
      <c r="U74" t="s">
        <v>142</v>
      </c>
      <c r="V74">
        <v>0</v>
      </c>
    </row>
    <row r="75" spans="2:22" x14ac:dyDescent="0.25">
      <c r="S75">
        <v>2779</v>
      </c>
      <c r="T75" t="s">
        <v>289</v>
      </c>
      <c r="U75" t="s">
        <v>142</v>
      </c>
      <c r="V75">
        <v>0</v>
      </c>
    </row>
    <row r="76" spans="2:22" x14ac:dyDescent="0.25">
      <c r="S76">
        <v>2779</v>
      </c>
      <c r="T76" t="s">
        <v>289</v>
      </c>
      <c r="U76" t="s">
        <v>142</v>
      </c>
      <c r="V76">
        <v>0</v>
      </c>
    </row>
    <row r="77" spans="2:22" x14ac:dyDescent="0.25">
      <c r="S77">
        <v>2779</v>
      </c>
      <c r="T77" t="s">
        <v>289</v>
      </c>
      <c r="U77" t="s">
        <v>142</v>
      </c>
      <c r="V77">
        <v>0</v>
      </c>
    </row>
    <row r="78" spans="2:22" x14ac:dyDescent="0.25">
      <c r="S78">
        <v>2001022</v>
      </c>
      <c r="T78" t="s">
        <v>280</v>
      </c>
      <c r="U78" t="s">
        <v>149</v>
      </c>
      <c r="V78">
        <v>0</v>
      </c>
    </row>
    <row r="79" spans="2:22" x14ac:dyDescent="0.25">
      <c r="B79" s="24"/>
      <c r="S79">
        <v>2001022</v>
      </c>
      <c r="T79" t="s">
        <v>280</v>
      </c>
      <c r="U79" t="s">
        <v>149</v>
      </c>
      <c r="V79">
        <v>0</v>
      </c>
    </row>
    <row r="80" spans="2:22" x14ac:dyDescent="0.25">
      <c r="J80" s="15"/>
      <c r="L80" s="13"/>
      <c r="R80" s="25"/>
      <c r="S80">
        <v>2001022</v>
      </c>
      <c r="T80" t="s">
        <v>280</v>
      </c>
      <c r="U80" t="s">
        <v>149</v>
      </c>
      <c r="V80">
        <v>0</v>
      </c>
    </row>
    <row r="81" spans="10:22" x14ac:dyDescent="0.25">
      <c r="J81" s="14"/>
      <c r="L81" s="9"/>
      <c r="R81" s="25"/>
      <c r="S81">
        <v>2001022</v>
      </c>
      <c r="T81" t="s">
        <v>280</v>
      </c>
      <c r="U81" t="s">
        <v>149</v>
      </c>
      <c r="V81">
        <v>0</v>
      </c>
    </row>
    <row r="82" spans="10:22" x14ac:dyDescent="0.25">
      <c r="J82" s="10"/>
      <c r="L82" s="10"/>
      <c r="R82" s="25"/>
      <c r="S82" t="s">
        <v>303</v>
      </c>
      <c r="T82" t="s">
        <v>309</v>
      </c>
      <c r="U82" t="s">
        <v>309</v>
      </c>
      <c r="V82">
        <v>2</v>
      </c>
    </row>
    <row r="83" spans="10:22" x14ac:dyDescent="0.25">
      <c r="S83" t="s">
        <v>304</v>
      </c>
      <c r="T83" t="s">
        <v>310</v>
      </c>
      <c r="U83" t="s">
        <v>310</v>
      </c>
      <c r="V83">
        <v>1</v>
      </c>
    </row>
    <row r="84" spans="10:22" x14ac:dyDescent="0.25">
      <c r="S84" t="s">
        <v>305</v>
      </c>
      <c r="T84" t="s">
        <v>308</v>
      </c>
      <c r="U84" t="s">
        <v>308</v>
      </c>
      <c r="V84">
        <v>3</v>
      </c>
    </row>
  </sheetData>
  <sortState xmlns:xlrd2="http://schemas.microsoft.com/office/spreadsheetml/2017/richdata2" ref="Q4:V65">
    <sortCondition ref="V4:V65"/>
  </sortState>
  <mergeCells count="3">
    <mergeCell ref="A2:E2"/>
    <mergeCell ref="I2:M2"/>
    <mergeCell ref="Q2:U2"/>
  </mergeCells>
  <conditionalFormatting sqref="F1:F3 F54:F1048576">
    <cfRule type="cellIs" dxfId="3" priority="5" operator="greaterThan">
      <formula>0</formula>
    </cfRule>
  </conditionalFormatting>
  <conditionalFormatting sqref="N1:N1048576">
    <cfRule type="cellIs" dxfId="2" priority="4" operator="greaterThan">
      <formula>0</formula>
    </cfRule>
  </conditionalFormatting>
  <conditionalFormatting sqref="V1:V1048576">
    <cfRule type="cellIs" dxfId="1" priority="3" operator="greaterThan">
      <formula>0</formula>
    </cfRule>
  </conditionalFormatting>
  <conditionalFormatting sqref="F4:F53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C07BE-E058-4194-8D57-385FAF562D1A}">
  <sheetPr codeName="Hoja14"/>
  <dimension ref="B2:F19"/>
  <sheetViews>
    <sheetView workbookViewId="0">
      <selection activeCell="A2" sqref="A2"/>
    </sheetView>
  </sheetViews>
  <sheetFormatPr baseColWidth="10" defaultRowHeight="15" x14ac:dyDescent="0.25"/>
  <sheetData>
    <row r="2" spans="2:6" x14ac:dyDescent="0.25">
      <c r="B2" s="95" t="s">
        <v>196</v>
      </c>
    </row>
    <row r="3" spans="2:6" x14ac:dyDescent="0.25">
      <c r="B3">
        <v>1000003633</v>
      </c>
      <c r="C3">
        <v>1000003633</v>
      </c>
      <c r="D3" t="s">
        <v>883</v>
      </c>
      <c r="E3" t="s">
        <v>389</v>
      </c>
      <c r="F3">
        <v>22704027.444772001</v>
      </c>
    </row>
    <row r="4" spans="2:6" x14ac:dyDescent="0.25">
      <c r="B4">
        <v>1000003633</v>
      </c>
      <c r="C4">
        <v>1000003633</v>
      </c>
      <c r="D4" t="s">
        <v>883</v>
      </c>
      <c r="E4" t="s">
        <v>407</v>
      </c>
      <c r="F4">
        <v>4550267.4924539998</v>
      </c>
    </row>
    <row r="5" spans="2:6" x14ac:dyDescent="0.25">
      <c r="B5">
        <v>1000003633</v>
      </c>
      <c r="C5">
        <v>1000003633</v>
      </c>
      <c r="D5" t="s">
        <v>883</v>
      </c>
      <c r="E5" t="s">
        <v>406</v>
      </c>
      <c r="F5">
        <v>69181403.535607994</v>
      </c>
    </row>
    <row r="6" spans="2:6" x14ac:dyDescent="0.25">
      <c r="B6">
        <v>1000003633</v>
      </c>
      <c r="C6">
        <v>1000003633</v>
      </c>
      <c r="D6" t="s">
        <v>883</v>
      </c>
      <c r="E6" t="s">
        <v>404</v>
      </c>
      <c r="F6">
        <v>77244812.848480001</v>
      </c>
    </row>
    <row r="7" spans="2:6" x14ac:dyDescent="0.25">
      <c r="B7">
        <v>1000003633</v>
      </c>
      <c r="C7">
        <v>1000003633</v>
      </c>
      <c r="D7" t="s">
        <v>883</v>
      </c>
      <c r="E7" t="s">
        <v>405</v>
      </c>
      <c r="F7">
        <v>243663010.213608</v>
      </c>
    </row>
    <row r="8" spans="2:6" x14ac:dyDescent="0.25">
      <c r="B8">
        <v>1000002677</v>
      </c>
      <c r="C8">
        <v>1000002677</v>
      </c>
      <c r="D8" t="s">
        <v>884</v>
      </c>
      <c r="E8" t="s">
        <v>389</v>
      </c>
      <c r="F8">
        <v>1511.5635400000001</v>
      </c>
    </row>
    <row r="9" spans="2:6" x14ac:dyDescent="0.25">
      <c r="B9">
        <v>1000002677</v>
      </c>
      <c r="C9">
        <v>1000002677</v>
      </c>
      <c r="D9" t="s">
        <v>884</v>
      </c>
      <c r="E9" t="s">
        <v>406</v>
      </c>
      <c r="F9">
        <v>699922.94494199997</v>
      </c>
    </row>
    <row r="10" spans="2:6" x14ac:dyDescent="0.25">
      <c r="B10">
        <v>1000002677</v>
      </c>
      <c r="C10">
        <v>1000002677</v>
      </c>
      <c r="D10" t="s">
        <v>884</v>
      </c>
      <c r="E10" t="s">
        <v>405</v>
      </c>
      <c r="F10">
        <v>335704.74483600003</v>
      </c>
    </row>
    <row r="11" spans="2:6" x14ac:dyDescent="0.25">
      <c r="B11">
        <v>10000001249</v>
      </c>
      <c r="C11">
        <v>10000001249</v>
      </c>
      <c r="D11" t="s">
        <v>885</v>
      </c>
      <c r="E11" t="s">
        <v>389</v>
      </c>
      <c r="F11">
        <v>1511.5635400000001</v>
      </c>
    </row>
    <row r="12" spans="2:6" x14ac:dyDescent="0.25">
      <c r="B12">
        <v>10000001249</v>
      </c>
      <c r="C12">
        <v>10000001249</v>
      </c>
      <c r="D12" t="s">
        <v>885</v>
      </c>
      <c r="E12" t="s">
        <v>406</v>
      </c>
      <c r="F12">
        <v>699922.94494199997</v>
      </c>
    </row>
    <row r="13" spans="2:6" x14ac:dyDescent="0.25">
      <c r="B13">
        <v>10000001249</v>
      </c>
      <c r="C13">
        <v>10000001249</v>
      </c>
      <c r="D13" t="s">
        <v>885</v>
      </c>
      <c r="E13" t="s">
        <v>405</v>
      </c>
      <c r="F13">
        <v>335704.74483600003</v>
      </c>
    </row>
    <row r="14" spans="2:6" x14ac:dyDescent="0.25">
      <c r="B14">
        <v>65507895505</v>
      </c>
      <c r="C14">
        <v>65507895505</v>
      </c>
      <c r="D14" t="s">
        <v>886</v>
      </c>
      <c r="E14" t="s">
        <v>389</v>
      </c>
      <c r="F14">
        <v>1511.5635400000001</v>
      </c>
    </row>
    <row r="15" spans="2:6" x14ac:dyDescent="0.25">
      <c r="B15">
        <v>65507895505</v>
      </c>
      <c r="C15">
        <v>65507895505</v>
      </c>
      <c r="D15" t="s">
        <v>886</v>
      </c>
      <c r="E15" t="s">
        <v>406</v>
      </c>
      <c r="F15">
        <v>699922.94494199997</v>
      </c>
    </row>
    <row r="16" spans="2:6" x14ac:dyDescent="0.25">
      <c r="B16">
        <v>65507895505</v>
      </c>
      <c r="C16">
        <v>65507895505</v>
      </c>
      <c r="D16" t="s">
        <v>886</v>
      </c>
      <c r="E16" t="s">
        <v>405</v>
      </c>
      <c r="F16">
        <v>335704.74483600003</v>
      </c>
    </row>
    <row r="17" spans="2:6" x14ac:dyDescent="0.25">
      <c r="B17">
        <v>65506131264</v>
      </c>
      <c r="C17">
        <v>65506131264</v>
      </c>
      <c r="D17" t="s">
        <v>887</v>
      </c>
      <c r="E17" t="s">
        <v>389</v>
      </c>
      <c r="F17">
        <v>1511.5635400000001</v>
      </c>
    </row>
    <row r="18" spans="2:6" x14ac:dyDescent="0.25">
      <c r="B18">
        <v>65506131264</v>
      </c>
      <c r="C18">
        <v>65506131264</v>
      </c>
      <c r="D18" t="s">
        <v>887</v>
      </c>
      <c r="E18" t="s">
        <v>406</v>
      </c>
      <c r="F18">
        <v>699922.94494199997</v>
      </c>
    </row>
    <row r="19" spans="2:6" x14ac:dyDescent="0.25">
      <c r="B19">
        <v>65506131264</v>
      </c>
      <c r="C19">
        <v>65506131264</v>
      </c>
      <c r="D19" t="s">
        <v>887</v>
      </c>
      <c r="E19" t="s">
        <v>405</v>
      </c>
      <c r="F19">
        <v>335704.74483600003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2"/>
  <dimension ref="A1:E172"/>
  <sheetViews>
    <sheetView workbookViewId="0">
      <pane ySplit="1" topLeftCell="A2" activePane="bottomLeft" state="frozen"/>
      <selection pane="bottomLeft" activeCell="A171" sqref="A171"/>
    </sheetView>
  </sheetViews>
  <sheetFormatPr baseColWidth="10" defaultRowHeight="15" x14ac:dyDescent="0.25"/>
  <cols>
    <col min="1" max="1" width="24.140625" bestFit="1" customWidth="1"/>
    <col min="2" max="2" width="14.42578125" customWidth="1"/>
    <col min="3" max="5" width="11.42578125" style="34"/>
  </cols>
  <sheetData>
    <row r="1" spans="1:5" x14ac:dyDescent="0.25">
      <c r="A1" s="8" t="s">
        <v>279</v>
      </c>
      <c r="B1" s="8" t="s">
        <v>23</v>
      </c>
      <c r="C1" s="35" t="s">
        <v>180</v>
      </c>
      <c r="D1" s="33" t="s">
        <v>182</v>
      </c>
      <c r="E1" s="33" t="s">
        <v>181</v>
      </c>
    </row>
    <row r="2" spans="1:5" x14ac:dyDescent="0.25">
      <c r="A2">
        <v>58</v>
      </c>
      <c r="B2">
        <v>156622</v>
      </c>
      <c r="C2" s="34" t="s">
        <v>183</v>
      </c>
    </row>
    <row r="3" spans="1:5" x14ac:dyDescent="0.25">
      <c r="A3">
        <v>60</v>
      </c>
      <c r="B3">
        <v>154702</v>
      </c>
      <c r="C3" s="34" t="s">
        <v>183</v>
      </c>
    </row>
    <row r="4" spans="1:5" x14ac:dyDescent="0.25">
      <c r="A4">
        <v>63</v>
      </c>
      <c r="B4">
        <v>80820</v>
      </c>
      <c r="C4" s="34" t="s">
        <v>183</v>
      </c>
    </row>
    <row r="5" spans="1:5" x14ac:dyDescent="0.25">
      <c r="A5">
        <v>86</v>
      </c>
      <c r="B5">
        <v>64972</v>
      </c>
      <c r="C5" s="34" t="s">
        <v>183</v>
      </c>
    </row>
    <row r="6" spans="1:5" x14ac:dyDescent="0.25">
      <c r="A6" t="s">
        <v>311</v>
      </c>
      <c r="B6">
        <v>1036691</v>
      </c>
      <c r="C6" s="34" t="s">
        <v>183</v>
      </c>
    </row>
    <row r="7" spans="1:5" x14ac:dyDescent="0.25">
      <c r="A7">
        <v>120</v>
      </c>
      <c r="B7">
        <v>2000241</v>
      </c>
      <c r="C7" s="34" t="s">
        <v>183</v>
      </c>
    </row>
    <row r="8" spans="1:5" x14ac:dyDescent="0.25">
      <c r="A8">
        <v>120</v>
      </c>
      <c r="B8">
        <v>2000240</v>
      </c>
      <c r="C8" s="34" t="s">
        <v>183</v>
      </c>
    </row>
    <row r="9" spans="1:5" x14ac:dyDescent="0.25">
      <c r="A9">
        <v>121</v>
      </c>
      <c r="B9">
        <v>2000239</v>
      </c>
      <c r="C9" s="34" t="s">
        <v>183</v>
      </c>
    </row>
    <row r="10" spans="1:5" x14ac:dyDescent="0.25">
      <c r="A10">
        <v>121</v>
      </c>
      <c r="B10">
        <v>2000238</v>
      </c>
      <c r="C10" s="34" t="s">
        <v>183</v>
      </c>
    </row>
    <row r="11" spans="1:5" x14ac:dyDescent="0.25">
      <c r="A11">
        <v>122</v>
      </c>
      <c r="B11">
        <v>65501387259</v>
      </c>
      <c r="C11" s="34" t="s">
        <v>183</v>
      </c>
    </row>
    <row r="12" spans="1:5" x14ac:dyDescent="0.25">
      <c r="A12">
        <v>1071</v>
      </c>
      <c r="B12">
        <v>71532</v>
      </c>
      <c r="C12" s="34" t="s">
        <v>183</v>
      </c>
    </row>
    <row r="13" spans="1:5" x14ac:dyDescent="0.25">
      <c r="A13">
        <v>1071</v>
      </c>
      <c r="B13">
        <v>71535</v>
      </c>
      <c r="C13" s="34" t="s">
        <v>183</v>
      </c>
    </row>
    <row r="14" spans="1:5" x14ac:dyDescent="0.25">
      <c r="A14">
        <v>127</v>
      </c>
      <c r="B14">
        <v>1013187</v>
      </c>
      <c r="C14" s="34" t="s">
        <v>183</v>
      </c>
    </row>
    <row r="15" spans="1:5" x14ac:dyDescent="0.25">
      <c r="A15">
        <v>128</v>
      </c>
      <c r="B15">
        <v>2000486</v>
      </c>
      <c r="C15" s="34" t="s">
        <v>183</v>
      </c>
    </row>
    <row r="16" spans="1:5" x14ac:dyDescent="0.25">
      <c r="A16">
        <v>2000905</v>
      </c>
      <c r="B16">
        <v>2000905</v>
      </c>
      <c r="C16" s="34" t="s">
        <v>183</v>
      </c>
    </row>
    <row r="17" spans="1:3" x14ac:dyDescent="0.25">
      <c r="A17" t="s">
        <v>46</v>
      </c>
      <c r="B17">
        <v>2000570</v>
      </c>
      <c r="C17" s="34" t="s">
        <v>183</v>
      </c>
    </row>
    <row r="18" spans="1:3" x14ac:dyDescent="0.25">
      <c r="A18" t="s">
        <v>46</v>
      </c>
      <c r="B18">
        <v>2000571</v>
      </c>
      <c r="C18" s="34" t="s">
        <v>183</v>
      </c>
    </row>
    <row r="19" spans="1:3" x14ac:dyDescent="0.25">
      <c r="A19" t="s">
        <v>46</v>
      </c>
      <c r="B19">
        <v>2000572</v>
      </c>
      <c r="C19" s="34" t="s">
        <v>183</v>
      </c>
    </row>
    <row r="20" spans="1:3" x14ac:dyDescent="0.25">
      <c r="A20" t="s">
        <v>46</v>
      </c>
      <c r="B20">
        <v>2000573</v>
      </c>
      <c r="C20" s="34" t="s">
        <v>183</v>
      </c>
    </row>
    <row r="21" spans="1:3" x14ac:dyDescent="0.25">
      <c r="A21" t="s">
        <v>172</v>
      </c>
      <c r="B21">
        <v>2000574</v>
      </c>
      <c r="C21" s="34" t="s">
        <v>183</v>
      </c>
    </row>
    <row r="22" spans="1:3" x14ac:dyDescent="0.25">
      <c r="A22" t="s">
        <v>172</v>
      </c>
      <c r="B22">
        <v>2000575</v>
      </c>
      <c r="C22" s="34" t="s">
        <v>183</v>
      </c>
    </row>
    <row r="23" spans="1:3" x14ac:dyDescent="0.25">
      <c r="A23" t="s">
        <v>172</v>
      </c>
      <c r="B23">
        <v>2000576</v>
      </c>
      <c r="C23" s="34" t="s">
        <v>183</v>
      </c>
    </row>
    <row r="24" spans="1:3" x14ac:dyDescent="0.25">
      <c r="A24" t="s">
        <v>172</v>
      </c>
      <c r="B24">
        <v>2000577</v>
      </c>
      <c r="C24" s="34" t="s">
        <v>183</v>
      </c>
    </row>
    <row r="25" spans="1:3" x14ac:dyDescent="0.25">
      <c r="A25" t="s">
        <v>47</v>
      </c>
      <c r="B25">
        <v>2000522</v>
      </c>
      <c r="C25" s="34" t="s">
        <v>183</v>
      </c>
    </row>
    <row r="26" spans="1:3" x14ac:dyDescent="0.25">
      <c r="A26" t="s">
        <v>49</v>
      </c>
      <c r="B26">
        <v>65503691935</v>
      </c>
      <c r="C26" s="34" t="s">
        <v>183</v>
      </c>
    </row>
    <row r="27" spans="1:3" x14ac:dyDescent="0.25">
      <c r="A27" t="s">
        <v>50</v>
      </c>
      <c r="B27">
        <v>2000534</v>
      </c>
      <c r="C27" s="34" t="s">
        <v>183</v>
      </c>
    </row>
    <row r="28" spans="1:3" x14ac:dyDescent="0.25">
      <c r="A28" t="s">
        <v>52</v>
      </c>
      <c r="B28">
        <v>65504667724</v>
      </c>
      <c r="C28" s="34" t="s">
        <v>183</v>
      </c>
    </row>
    <row r="29" spans="1:3" x14ac:dyDescent="0.25">
      <c r="A29">
        <v>2001012</v>
      </c>
      <c r="B29">
        <v>2001012</v>
      </c>
      <c r="C29" s="34" t="s">
        <v>183</v>
      </c>
    </row>
    <row r="30" spans="1:3" x14ac:dyDescent="0.25">
      <c r="A30" t="s">
        <v>146</v>
      </c>
      <c r="B30">
        <v>65505569851</v>
      </c>
      <c r="C30" s="34" t="s">
        <v>183</v>
      </c>
    </row>
    <row r="31" spans="1:3" x14ac:dyDescent="0.25">
      <c r="A31" t="s">
        <v>242</v>
      </c>
      <c r="B31" s="51">
        <v>65507430562</v>
      </c>
      <c r="C31" s="34" t="s">
        <v>183</v>
      </c>
    </row>
    <row r="32" spans="1:3" x14ac:dyDescent="0.25">
      <c r="A32" t="s">
        <v>53</v>
      </c>
      <c r="B32">
        <v>65503863638</v>
      </c>
      <c r="C32" s="34" t="s">
        <v>183</v>
      </c>
    </row>
    <row r="33" spans="1:3" x14ac:dyDescent="0.25">
      <c r="A33">
        <v>1032382</v>
      </c>
      <c r="B33">
        <v>1032382</v>
      </c>
      <c r="C33" s="34" t="s">
        <v>183</v>
      </c>
    </row>
    <row r="34" spans="1:3" x14ac:dyDescent="0.25">
      <c r="A34" s="51" t="s">
        <v>306</v>
      </c>
      <c r="B34">
        <v>2000597</v>
      </c>
      <c r="C34" s="34" t="s">
        <v>183</v>
      </c>
    </row>
    <row r="35" spans="1:3" x14ac:dyDescent="0.25">
      <c r="A35" t="s">
        <v>54</v>
      </c>
      <c r="B35">
        <v>2000730</v>
      </c>
      <c r="C35" s="34" t="s">
        <v>183</v>
      </c>
    </row>
    <row r="36" spans="1:3" x14ac:dyDescent="0.25">
      <c r="A36" t="s">
        <v>56</v>
      </c>
      <c r="B36">
        <v>2000927</v>
      </c>
      <c r="C36" s="34" t="s">
        <v>183</v>
      </c>
    </row>
    <row r="37" spans="1:3" x14ac:dyDescent="0.25">
      <c r="A37" t="s">
        <v>57</v>
      </c>
      <c r="B37">
        <v>2000928</v>
      </c>
      <c r="C37" s="34" t="s">
        <v>183</v>
      </c>
    </row>
    <row r="38" spans="1:3" x14ac:dyDescent="0.25">
      <c r="A38" t="s">
        <v>58</v>
      </c>
      <c r="B38">
        <v>65503562246</v>
      </c>
      <c r="C38" s="34" t="s">
        <v>183</v>
      </c>
    </row>
    <row r="39" spans="1:3" x14ac:dyDescent="0.25">
      <c r="A39">
        <v>115</v>
      </c>
      <c r="B39">
        <v>2000204</v>
      </c>
      <c r="C39" s="34" t="s">
        <v>183</v>
      </c>
    </row>
    <row r="40" spans="1:3" x14ac:dyDescent="0.25">
      <c r="A40">
        <v>19</v>
      </c>
      <c r="B40">
        <v>77703</v>
      </c>
      <c r="C40" s="34" t="s">
        <v>183</v>
      </c>
    </row>
    <row r="41" spans="1:3" x14ac:dyDescent="0.25">
      <c r="A41">
        <v>37</v>
      </c>
      <c r="B41">
        <v>65507408917</v>
      </c>
      <c r="C41" s="34" t="s">
        <v>183</v>
      </c>
    </row>
    <row r="42" spans="1:3" x14ac:dyDescent="0.25">
      <c r="A42">
        <v>71</v>
      </c>
      <c r="B42">
        <v>156331</v>
      </c>
      <c r="C42" s="34" t="s">
        <v>183</v>
      </c>
    </row>
    <row r="43" spans="1:3" x14ac:dyDescent="0.25">
      <c r="A43">
        <v>74</v>
      </c>
      <c r="B43">
        <v>65502222299</v>
      </c>
      <c r="C43" s="34" t="s">
        <v>183</v>
      </c>
    </row>
    <row r="44" spans="1:3" x14ac:dyDescent="0.25">
      <c r="A44">
        <v>75</v>
      </c>
      <c r="B44">
        <v>1037124</v>
      </c>
      <c r="C44" s="34" t="s">
        <v>183</v>
      </c>
    </row>
    <row r="45" spans="1:3" x14ac:dyDescent="0.25">
      <c r="A45">
        <v>76</v>
      </c>
      <c r="B45">
        <v>1033811</v>
      </c>
      <c r="C45" s="34" t="s">
        <v>183</v>
      </c>
    </row>
    <row r="46" spans="1:3" x14ac:dyDescent="0.25">
      <c r="A46">
        <v>78</v>
      </c>
      <c r="B46">
        <v>69902</v>
      </c>
      <c r="C46" s="34" t="s">
        <v>183</v>
      </c>
    </row>
    <row r="47" spans="1:3" x14ac:dyDescent="0.25">
      <c r="A47">
        <v>93</v>
      </c>
      <c r="B47">
        <v>65502425394</v>
      </c>
      <c r="C47" s="34" t="s">
        <v>183</v>
      </c>
    </row>
    <row r="48" spans="1:3" x14ac:dyDescent="0.25">
      <c r="A48">
        <v>94</v>
      </c>
      <c r="B48">
        <v>1002455</v>
      </c>
      <c r="C48" s="34" t="s">
        <v>183</v>
      </c>
    </row>
    <row r="49" spans="1:3" x14ac:dyDescent="0.25">
      <c r="A49">
        <v>100</v>
      </c>
      <c r="B49">
        <v>2000135</v>
      </c>
      <c r="C49" s="34" t="s">
        <v>183</v>
      </c>
    </row>
    <row r="50" spans="1:3" x14ac:dyDescent="0.25">
      <c r="A50">
        <v>105</v>
      </c>
      <c r="B50">
        <v>152965</v>
      </c>
      <c r="C50" s="34" t="s">
        <v>183</v>
      </c>
    </row>
    <row r="51" spans="1:3" x14ac:dyDescent="0.25">
      <c r="A51">
        <v>114</v>
      </c>
      <c r="B51">
        <v>1005849</v>
      </c>
      <c r="C51" s="34" t="s">
        <v>183</v>
      </c>
    </row>
    <row r="52" spans="1:3" x14ac:dyDescent="0.25">
      <c r="A52">
        <v>119</v>
      </c>
      <c r="B52">
        <v>1008496</v>
      </c>
      <c r="C52" s="34" t="s">
        <v>183</v>
      </c>
    </row>
    <row r="53" spans="1:3" x14ac:dyDescent="0.25">
      <c r="A53">
        <v>1032128</v>
      </c>
      <c r="B53">
        <v>1032128</v>
      </c>
      <c r="C53" s="34" t="s">
        <v>183</v>
      </c>
    </row>
    <row r="54" spans="1:3" x14ac:dyDescent="0.25">
      <c r="A54">
        <v>1068</v>
      </c>
      <c r="B54">
        <v>67715</v>
      </c>
      <c r="C54" s="34" t="s">
        <v>183</v>
      </c>
    </row>
    <row r="55" spans="1:3" x14ac:dyDescent="0.25">
      <c r="A55">
        <v>1074</v>
      </c>
      <c r="B55">
        <v>1031629</v>
      </c>
      <c r="C55" s="34" t="s">
        <v>183</v>
      </c>
    </row>
    <row r="56" spans="1:3" x14ac:dyDescent="0.25">
      <c r="A56">
        <v>1074</v>
      </c>
      <c r="B56">
        <v>1031627</v>
      </c>
      <c r="C56" s="34" t="s">
        <v>183</v>
      </c>
    </row>
    <row r="57" spans="1:3" x14ac:dyDescent="0.25">
      <c r="A57">
        <v>1081</v>
      </c>
      <c r="B57">
        <v>142481</v>
      </c>
      <c r="C57" s="34" t="s">
        <v>183</v>
      </c>
    </row>
    <row r="58" spans="1:3" x14ac:dyDescent="0.25">
      <c r="A58">
        <v>1082</v>
      </c>
      <c r="B58">
        <v>142482</v>
      </c>
      <c r="C58" s="34" t="s">
        <v>183</v>
      </c>
    </row>
    <row r="59" spans="1:3" x14ac:dyDescent="0.25">
      <c r="A59">
        <v>1094</v>
      </c>
      <c r="B59">
        <v>65507665273</v>
      </c>
      <c r="C59" s="34" t="s">
        <v>183</v>
      </c>
    </row>
    <row r="60" spans="1:3" x14ac:dyDescent="0.25">
      <c r="A60">
        <v>1097</v>
      </c>
      <c r="B60">
        <v>75655</v>
      </c>
      <c r="C60" s="34" t="s">
        <v>183</v>
      </c>
    </row>
    <row r="61" spans="1:3" x14ac:dyDescent="0.25">
      <c r="A61">
        <v>1800</v>
      </c>
      <c r="B61">
        <v>75145</v>
      </c>
      <c r="C61" s="34" t="s">
        <v>183</v>
      </c>
    </row>
    <row r="62" spans="1:3" x14ac:dyDescent="0.25">
      <c r="A62">
        <v>1800</v>
      </c>
      <c r="B62">
        <v>75146</v>
      </c>
      <c r="C62" s="34" t="s">
        <v>183</v>
      </c>
    </row>
    <row r="63" spans="1:3" x14ac:dyDescent="0.25">
      <c r="A63">
        <v>1018014</v>
      </c>
      <c r="B63">
        <v>1018014</v>
      </c>
      <c r="C63" s="34" t="s">
        <v>183</v>
      </c>
    </row>
    <row r="64" spans="1:3" x14ac:dyDescent="0.25">
      <c r="A64">
        <v>1018122</v>
      </c>
      <c r="B64">
        <v>1018122</v>
      </c>
      <c r="C64" s="34" t="s">
        <v>183</v>
      </c>
    </row>
    <row r="65" spans="1:5" x14ac:dyDescent="0.25">
      <c r="A65">
        <v>1018302</v>
      </c>
      <c r="B65">
        <v>1018302</v>
      </c>
      <c r="C65" s="34" t="s">
        <v>183</v>
      </c>
    </row>
    <row r="66" spans="1:5" x14ac:dyDescent="0.25">
      <c r="A66">
        <v>1018811</v>
      </c>
      <c r="B66">
        <v>1018811</v>
      </c>
      <c r="C66" s="34" t="s">
        <v>183</v>
      </c>
    </row>
    <row r="67" spans="1:5" x14ac:dyDescent="0.25">
      <c r="A67">
        <v>4031</v>
      </c>
      <c r="B67">
        <v>4031</v>
      </c>
      <c r="C67" s="34" t="s">
        <v>183</v>
      </c>
    </row>
    <row r="68" spans="1:5" x14ac:dyDescent="0.25">
      <c r="A68">
        <v>2000698</v>
      </c>
      <c r="B68">
        <v>2000698</v>
      </c>
      <c r="C68" s="34" t="s">
        <v>183</v>
      </c>
    </row>
    <row r="69" spans="1:5" x14ac:dyDescent="0.25">
      <c r="A69">
        <v>2000732</v>
      </c>
      <c r="B69">
        <v>2000732</v>
      </c>
      <c r="C69" s="34" t="s">
        <v>183</v>
      </c>
    </row>
    <row r="70" spans="1:5" x14ac:dyDescent="0.25">
      <c r="A70">
        <v>2000733</v>
      </c>
      <c r="B70">
        <v>2000733</v>
      </c>
      <c r="C70" s="34" t="s">
        <v>183</v>
      </c>
    </row>
    <row r="71" spans="1:5" x14ac:dyDescent="0.25">
      <c r="A71">
        <v>2000736</v>
      </c>
      <c r="B71">
        <v>2000736</v>
      </c>
      <c r="C71" s="34" t="s">
        <v>183</v>
      </c>
    </row>
    <row r="72" spans="1:5" x14ac:dyDescent="0.25">
      <c r="A72">
        <v>92</v>
      </c>
      <c r="B72">
        <v>65502313952</v>
      </c>
      <c r="C72" s="34" t="s">
        <v>183</v>
      </c>
    </row>
    <row r="73" spans="1:5" x14ac:dyDescent="0.25">
      <c r="A73">
        <v>1032873</v>
      </c>
      <c r="B73">
        <v>1032873</v>
      </c>
      <c r="C73" s="34" t="s">
        <v>183</v>
      </c>
    </row>
    <row r="74" spans="1:5" x14ac:dyDescent="0.25">
      <c r="A74" s="51" t="s">
        <v>297</v>
      </c>
      <c r="B74">
        <v>147492</v>
      </c>
      <c r="D74" s="34" t="s">
        <v>183</v>
      </c>
    </row>
    <row r="75" spans="1:5" x14ac:dyDescent="0.25">
      <c r="A75" s="51" t="s">
        <v>297</v>
      </c>
      <c r="B75">
        <v>147491</v>
      </c>
      <c r="D75" s="34" t="s">
        <v>183</v>
      </c>
    </row>
    <row r="76" spans="1:5" x14ac:dyDescent="0.25">
      <c r="A76" s="51" t="s">
        <v>297</v>
      </c>
      <c r="B76">
        <v>159246</v>
      </c>
      <c r="D76" s="34" t="s">
        <v>183</v>
      </c>
    </row>
    <row r="77" spans="1:5" x14ac:dyDescent="0.25">
      <c r="A77" s="51" t="s">
        <v>297</v>
      </c>
      <c r="B77">
        <v>1010401</v>
      </c>
      <c r="D77" s="34" t="s">
        <v>183</v>
      </c>
    </row>
    <row r="78" spans="1:5" x14ac:dyDescent="0.25">
      <c r="A78" t="s">
        <v>89</v>
      </c>
      <c r="B78">
        <v>2000470</v>
      </c>
      <c r="E78" s="34" t="s">
        <v>183</v>
      </c>
    </row>
    <row r="79" spans="1:5" x14ac:dyDescent="0.25">
      <c r="A79" t="s">
        <v>90</v>
      </c>
      <c r="B79">
        <v>2000469</v>
      </c>
      <c r="E79" s="34" t="s">
        <v>183</v>
      </c>
    </row>
    <row r="80" spans="1:5" x14ac:dyDescent="0.25">
      <c r="A80" t="s">
        <v>91</v>
      </c>
      <c r="B80">
        <v>2000466</v>
      </c>
      <c r="E80" s="34" t="s">
        <v>183</v>
      </c>
    </row>
    <row r="81" spans="1:5" x14ac:dyDescent="0.25">
      <c r="A81" t="s">
        <v>92</v>
      </c>
      <c r="B81">
        <v>2000467</v>
      </c>
      <c r="E81" s="34" t="s">
        <v>183</v>
      </c>
    </row>
    <row r="82" spans="1:5" x14ac:dyDescent="0.25">
      <c r="A82" t="s">
        <v>93</v>
      </c>
      <c r="B82">
        <v>1018867</v>
      </c>
      <c r="E82" s="34" t="s">
        <v>183</v>
      </c>
    </row>
    <row r="83" spans="1:5" x14ac:dyDescent="0.25">
      <c r="A83" t="s">
        <v>94</v>
      </c>
      <c r="B83">
        <v>65501372909</v>
      </c>
      <c r="E83" s="34" t="s">
        <v>183</v>
      </c>
    </row>
    <row r="84" spans="1:5" x14ac:dyDescent="0.25">
      <c r="A84" t="s">
        <v>96</v>
      </c>
      <c r="B84">
        <v>65505283448</v>
      </c>
      <c r="E84" s="34" t="s">
        <v>183</v>
      </c>
    </row>
    <row r="85" spans="1:5" x14ac:dyDescent="0.25">
      <c r="A85" t="s">
        <v>97</v>
      </c>
      <c r="B85">
        <v>65505283360</v>
      </c>
      <c r="E85" s="34" t="s">
        <v>183</v>
      </c>
    </row>
    <row r="86" spans="1:5" x14ac:dyDescent="0.25">
      <c r="A86" t="s">
        <v>98</v>
      </c>
      <c r="B86">
        <v>65505283309</v>
      </c>
      <c r="E86" s="34" t="s">
        <v>183</v>
      </c>
    </row>
    <row r="87" spans="1:5" x14ac:dyDescent="0.25">
      <c r="A87" t="s">
        <v>99</v>
      </c>
      <c r="B87">
        <v>65505285253</v>
      </c>
      <c r="E87" s="34" t="s">
        <v>183</v>
      </c>
    </row>
    <row r="88" spans="1:5" x14ac:dyDescent="0.25">
      <c r="A88" t="s">
        <v>100</v>
      </c>
      <c r="B88">
        <v>1031340</v>
      </c>
      <c r="E88" s="34" t="s">
        <v>183</v>
      </c>
    </row>
    <row r="89" spans="1:5" x14ac:dyDescent="0.25">
      <c r="A89" t="s">
        <v>173</v>
      </c>
      <c r="B89">
        <v>2000848</v>
      </c>
      <c r="E89" s="34" t="s">
        <v>183</v>
      </c>
    </row>
    <row r="90" spans="1:5" x14ac:dyDescent="0.25">
      <c r="A90" t="s">
        <v>174</v>
      </c>
      <c r="B90">
        <v>2000849</v>
      </c>
      <c r="E90" s="34" t="s">
        <v>183</v>
      </c>
    </row>
    <row r="91" spans="1:5" x14ac:dyDescent="0.25">
      <c r="A91" s="51" t="s">
        <v>256</v>
      </c>
      <c r="B91">
        <v>2000926</v>
      </c>
      <c r="E91" s="34" t="s">
        <v>183</v>
      </c>
    </row>
    <row r="92" spans="1:5" x14ac:dyDescent="0.25">
      <c r="A92">
        <v>1031547</v>
      </c>
      <c r="B92">
        <v>1031547</v>
      </c>
      <c r="E92" s="34" t="s">
        <v>183</v>
      </c>
    </row>
    <row r="93" spans="1:5" x14ac:dyDescent="0.25">
      <c r="A93">
        <v>1031548</v>
      </c>
      <c r="B93">
        <v>1031548</v>
      </c>
      <c r="E93" s="34" t="s">
        <v>183</v>
      </c>
    </row>
    <row r="94" spans="1:5" x14ac:dyDescent="0.25">
      <c r="A94">
        <v>1031549</v>
      </c>
      <c r="B94">
        <v>1031549</v>
      </c>
      <c r="E94" s="34" t="s">
        <v>183</v>
      </c>
    </row>
    <row r="95" spans="1:5" x14ac:dyDescent="0.25">
      <c r="A95">
        <v>1031550</v>
      </c>
      <c r="B95">
        <v>1031550</v>
      </c>
      <c r="E95" s="34" t="s">
        <v>183</v>
      </c>
    </row>
    <row r="96" spans="1:5" x14ac:dyDescent="0.25">
      <c r="A96">
        <v>1031551</v>
      </c>
      <c r="B96">
        <v>1031551</v>
      </c>
      <c r="E96" s="34" t="s">
        <v>183</v>
      </c>
    </row>
    <row r="97" spans="1:5" x14ac:dyDescent="0.25">
      <c r="A97">
        <v>118</v>
      </c>
      <c r="B97">
        <v>78666</v>
      </c>
      <c r="E97" s="34" t="s">
        <v>183</v>
      </c>
    </row>
    <row r="98" spans="1:5" x14ac:dyDescent="0.25">
      <c r="A98">
        <v>118</v>
      </c>
      <c r="B98">
        <v>2000219</v>
      </c>
      <c r="E98" s="34" t="s">
        <v>183</v>
      </c>
    </row>
    <row r="99" spans="1:5" x14ac:dyDescent="0.25">
      <c r="A99">
        <v>118</v>
      </c>
      <c r="B99">
        <v>2000220</v>
      </c>
      <c r="E99" s="34" t="s">
        <v>183</v>
      </c>
    </row>
    <row r="100" spans="1:5" x14ac:dyDescent="0.25">
      <c r="A100">
        <v>118</v>
      </c>
      <c r="B100">
        <v>2000221</v>
      </c>
      <c r="E100" s="34" t="s">
        <v>183</v>
      </c>
    </row>
    <row r="101" spans="1:5" x14ac:dyDescent="0.25">
      <c r="A101">
        <v>118</v>
      </c>
      <c r="B101">
        <v>78665</v>
      </c>
      <c r="E101" s="34" t="s">
        <v>183</v>
      </c>
    </row>
    <row r="102" spans="1:5" x14ac:dyDescent="0.25">
      <c r="A102">
        <v>118</v>
      </c>
      <c r="B102">
        <v>2000216</v>
      </c>
      <c r="E102" s="34" t="s">
        <v>183</v>
      </c>
    </row>
    <row r="103" spans="1:5" x14ac:dyDescent="0.25">
      <c r="A103">
        <v>118</v>
      </c>
      <c r="B103">
        <v>2000217</v>
      </c>
      <c r="E103" s="34" t="s">
        <v>183</v>
      </c>
    </row>
    <row r="104" spans="1:5" x14ac:dyDescent="0.25">
      <c r="A104">
        <v>118</v>
      </c>
      <c r="B104">
        <v>2000218</v>
      </c>
      <c r="E104" s="34" t="s">
        <v>183</v>
      </c>
    </row>
    <row r="105" spans="1:5" x14ac:dyDescent="0.25">
      <c r="A105">
        <v>2500</v>
      </c>
      <c r="B105">
        <v>2000183</v>
      </c>
      <c r="E105" s="34" t="s">
        <v>183</v>
      </c>
    </row>
    <row r="106" spans="1:5" x14ac:dyDescent="0.25">
      <c r="A106">
        <v>2500</v>
      </c>
      <c r="B106" t="s">
        <v>111</v>
      </c>
      <c r="E106" s="34" t="s">
        <v>183</v>
      </c>
    </row>
    <row r="107" spans="1:5" x14ac:dyDescent="0.25">
      <c r="A107">
        <v>2500</v>
      </c>
      <c r="B107" t="s">
        <v>112</v>
      </c>
      <c r="E107" s="34" t="s">
        <v>183</v>
      </c>
    </row>
    <row r="108" spans="1:5" x14ac:dyDescent="0.25">
      <c r="A108">
        <v>2500</v>
      </c>
      <c r="B108" t="s">
        <v>113</v>
      </c>
      <c r="E108" s="34" t="s">
        <v>183</v>
      </c>
    </row>
    <row r="109" spans="1:5" x14ac:dyDescent="0.25">
      <c r="A109">
        <v>2500</v>
      </c>
      <c r="B109">
        <v>2000182</v>
      </c>
      <c r="E109" s="34" t="s">
        <v>183</v>
      </c>
    </row>
    <row r="110" spans="1:5" x14ac:dyDescent="0.25">
      <c r="A110">
        <v>2500</v>
      </c>
      <c r="B110" t="s">
        <v>114</v>
      </c>
      <c r="E110" s="34" t="s">
        <v>183</v>
      </c>
    </row>
    <row r="111" spans="1:5" x14ac:dyDescent="0.25">
      <c r="A111">
        <v>2500</v>
      </c>
      <c r="B111" t="s">
        <v>115</v>
      </c>
      <c r="E111" s="34" t="s">
        <v>183</v>
      </c>
    </row>
    <row r="112" spans="1:5" x14ac:dyDescent="0.25">
      <c r="A112">
        <v>2500</v>
      </c>
      <c r="B112" t="s">
        <v>116</v>
      </c>
      <c r="E112" s="34" t="s">
        <v>183</v>
      </c>
    </row>
    <row r="113" spans="1:5" x14ac:dyDescent="0.25">
      <c r="A113">
        <v>2600</v>
      </c>
      <c r="B113" t="s">
        <v>117</v>
      </c>
      <c r="E113" s="34" t="s">
        <v>183</v>
      </c>
    </row>
    <row r="114" spans="1:5" x14ac:dyDescent="0.25">
      <c r="A114">
        <v>2600</v>
      </c>
      <c r="B114" t="s">
        <v>118</v>
      </c>
      <c r="E114" s="34" t="s">
        <v>183</v>
      </c>
    </row>
    <row r="115" spans="1:5" x14ac:dyDescent="0.25">
      <c r="A115">
        <v>2600</v>
      </c>
      <c r="B115" t="s">
        <v>119</v>
      </c>
      <c r="E115" s="34" t="s">
        <v>183</v>
      </c>
    </row>
    <row r="116" spans="1:5" x14ac:dyDescent="0.25">
      <c r="A116">
        <v>2600</v>
      </c>
      <c r="B116" t="s">
        <v>120</v>
      </c>
      <c r="E116" s="34" t="s">
        <v>183</v>
      </c>
    </row>
    <row r="117" spans="1:5" x14ac:dyDescent="0.25">
      <c r="A117">
        <v>2600</v>
      </c>
      <c r="B117" t="s">
        <v>121</v>
      </c>
      <c r="E117" s="34" t="s">
        <v>183</v>
      </c>
    </row>
    <row r="118" spans="1:5" x14ac:dyDescent="0.25">
      <c r="A118">
        <v>2600</v>
      </c>
      <c r="B118" t="s">
        <v>122</v>
      </c>
      <c r="E118" s="34" t="s">
        <v>183</v>
      </c>
    </row>
    <row r="119" spans="1:5" x14ac:dyDescent="0.25">
      <c r="A119">
        <v>2600</v>
      </c>
      <c r="B119" t="s">
        <v>123</v>
      </c>
      <c r="E119" s="34" t="s">
        <v>183</v>
      </c>
    </row>
    <row r="120" spans="1:5" x14ac:dyDescent="0.25">
      <c r="A120">
        <v>2600</v>
      </c>
      <c r="B120" t="s">
        <v>124</v>
      </c>
      <c r="E120" s="34" t="s">
        <v>183</v>
      </c>
    </row>
    <row r="121" spans="1:5" x14ac:dyDescent="0.25">
      <c r="A121">
        <v>2777</v>
      </c>
      <c r="B121" t="s">
        <v>125</v>
      </c>
      <c r="E121" s="34" t="s">
        <v>183</v>
      </c>
    </row>
    <row r="122" spans="1:5" x14ac:dyDescent="0.25">
      <c r="A122">
        <v>2777</v>
      </c>
      <c r="B122" t="s">
        <v>126</v>
      </c>
      <c r="E122" s="34" t="s">
        <v>183</v>
      </c>
    </row>
    <row r="123" spans="1:5" x14ac:dyDescent="0.25">
      <c r="A123">
        <v>2777</v>
      </c>
      <c r="B123" t="s">
        <v>127</v>
      </c>
      <c r="E123" s="34" t="s">
        <v>183</v>
      </c>
    </row>
    <row r="124" spans="1:5" x14ac:dyDescent="0.25">
      <c r="A124">
        <v>2777</v>
      </c>
      <c r="B124" t="s">
        <v>128</v>
      </c>
      <c r="E124" s="34" t="s">
        <v>183</v>
      </c>
    </row>
    <row r="125" spans="1:5" x14ac:dyDescent="0.25">
      <c r="A125">
        <v>2777</v>
      </c>
      <c r="B125" t="s">
        <v>129</v>
      </c>
      <c r="E125" s="34" t="s">
        <v>183</v>
      </c>
    </row>
    <row r="126" spans="1:5" x14ac:dyDescent="0.25">
      <c r="A126">
        <v>2777</v>
      </c>
      <c r="B126" t="s">
        <v>130</v>
      </c>
      <c r="E126" s="34" t="s">
        <v>183</v>
      </c>
    </row>
    <row r="127" spans="1:5" x14ac:dyDescent="0.25">
      <c r="A127">
        <v>2777</v>
      </c>
      <c r="B127" t="s">
        <v>131</v>
      </c>
      <c r="E127" s="34" t="s">
        <v>183</v>
      </c>
    </row>
    <row r="128" spans="1:5" x14ac:dyDescent="0.25">
      <c r="A128">
        <v>2777</v>
      </c>
      <c r="B128" t="s">
        <v>132</v>
      </c>
      <c r="E128" s="34" t="s">
        <v>183</v>
      </c>
    </row>
    <row r="129" spans="1:5" x14ac:dyDescent="0.25">
      <c r="A129">
        <v>2700</v>
      </c>
      <c r="B129" t="s">
        <v>133</v>
      </c>
      <c r="E129" s="34" t="s">
        <v>183</v>
      </c>
    </row>
    <row r="130" spans="1:5" x14ac:dyDescent="0.25">
      <c r="A130">
        <v>2700</v>
      </c>
      <c r="B130" t="s">
        <v>134</v>
      </c>
      <c r="E130" s="34" t="s">
        <v>183</v>
      </c>
    </row>
    <row r="131" spans="1:5" x14ac:dyDescent="0.25">
      <c r="A131">
        <v>2700</v>
      </c>
      <c r="B131" t="s">
        <v>135</v>
      </c>
      <c r="E131" s="34" t="s">
        <v>183</v>
      </c>
    </row>
    <row r="132" spans="1:5" x14ac:dyDescent="0.25">
      <c r="A132">
        <v>2700</v>
      </c>
      <c r="B132" t="s">
        <v>136</v>
      </c>
      <c r="E132" s="34" t="s">
        <v>183</v>
      </c>
    </row>
    <row r="133" spans="1:5" x14ac:dyDescent="0.25">
      <c r="A133">
        <v>2700</v>
      </c>
      <c r="B133" t="s">
        <v>137</v>
      </c>
      <c r="E133" s="34" t="s">
        <v>183</v>
      </c>
    </row>
    <row r="134" spans="1:5" x14ac:dyDescent="0.25">
      <c r="A134">
        <v>2700</v>
      </c>
      <c r="B134" t="s">
        <v>138</v>
      </c>
      <c r="E134" s="34" t="s">
        <v>183</v>
      </c>
    </row>
    <row r="135" spans="1:5" x14ac:dyDescent="0.25">
      <c r="A135">
        <v>2700</v>
      </c>
      <c r="B135" t="s">
        <v>139</v>
      </c>
      <c r="E135" s="34" t="s">
        <v>183</v>
      </c>
    </row>
    <row r="136" spans="1:5" x14ac:dyDescent="0.25">
      <c r="A136">
        <v>2700</v>
      </c>
      <c r="B136" t="s">
        <v>140</v>
      </c>
      <c r="E136" s="34" t="s">
        <v>183</v>
      </c>
    </row>
    <row r="137" spans="1:5" x14ac:dyDescent="0.25">
      <c r="A137">
        <v>2100</v>
      </c>
      <c r="B137">
        <v>2000385</v>
      </c>
      <c r="E137" s="34" t="s">
        <v>183</v>
      </c>
    </row>
    <row r="138" spans="1:5" x14ac:dyDescent="0.25">
      <c r="A138">
        <v>2200</v>
      </c>
      <c r="B138">
        <v>566810</v>
      </c>
      <c r="E138" s="34" t="s">
        <v>183</v>
      </c>
    </row>
    <row r="139" spans="1:5" x14ac:dyDescent="0.25">
      <c r="A139">
        <v>2300</v>
      </c>
      <c r="B139">
        <v>142518</v>
      </c>
      <c r="E139" s="34" t="s">
        <v>183</v>
      </c>
    </row>
    <row r="140" spans="1:5" x14ac:dyDescent="0.25">
      <c r="A140" t="s">
        <v>175</v>
      </c>
      <c r="B140">
        <v>1031341</v>
      </c>
      <c r="E140" s="34" t="s">
        <v>183</v>
      </c>
    </row>
    <row r="141" spans="1:5" x14ac:dyDescent="0.25">
      <c r="A141" t="s">
        <v>176</v>
      </c>
      <c r="B141">
        <v>2001049</v>
      </c>
      <c r="E141" s="34" t="s">
        <v>183</v>
      </c>
    </row>
    <row r="142" spans="1:5" x14ac:dyDescent="0.25">
      <c r="A142" t="s">
        <v>177</v>
      </c>
      <c r="B142">
        <v>2001050</v>
      </c>
      <c r="E142" s="34" t="s">
        <v>183</v>
      </c>
    </row>
    <row r="143" spans="1:5" x14ac:dyDescent="0.25">
      <c r="A143">
        <v>2779</v>
      </c>
      <c r="B143" t="s">
        <v>150</v>
      </c>
      <c r="E143" s="34" t="s">
        <v>183</v>
      </c>
    </row>
    <row r="144" spans="1:5" x14ac:dyDescent="0.25">
      <c r="A144">
        <v>2779</v>
      </c>
      <c r="B144" t="s">
        <v>151</v>
      </c>
      <c r="E144" s="34" t="s">
        <v>183</v>
      </c>
    </row>
    <row r="145" spans="1:5" x14ac:dyDescent="0.25">
      <c r="A145">
        <v>2779</v>
      </c>
      <c r="B145" t="s">
        <v>152</v>
      </c>
      <c r="E145" s="34" t="s">
        <v>183</v>
      </c>
    </row>
    <row r="146" spans="1:5" x14ac:dyDescent="0.25">
      <c r="A146">
        <v>2779</v>
      </c>
      <c r="B146" t="s">
        <v>153</v>
      </c>
      <c r="E146" s="34" t="s">
        <v>183</v>
      </c>
    </row>
    <row r="147" spans="1:5" x14ac:dyDescent="0.25">
      <c r="A147">
        <v>2779</v>
      </c>
      <c r="B147" t="s">
        <v>154</v>
      </c>
      <c r="E147" s="34" t="s">
        <v>183</v>
      </c>
    </row>
    <row r="148" spans="1:5" x14ac:dyDescent="0.25">
      <c r="A148">
        <v>2779</v>
      </c>
      <c r="B148" t="s">
        <v>155</v>
      </c>
      <c r="E148" s="34" t="s">
        <v>183</v>
      </c>
    </row>
    <row r="149" spans="1:5" x14ac:dyDescent="0.25">
      <c r="A149">
        <v>2779</v>
      </c>
      <c r="B149" t="s">
        <v>156</v>
      </c>
      <c r="E149" s="34" t="s">
        <v>183</v>
      </c>
    </row>
    <row r="150" spans="1:5" x14ac:dyDescent="0.25">
      <c r="A150">
        <v>2779</v>
      </c>
      <c r="B150" t="s">
        <v>157</v>
      </c>
      <c r="E150" s="34" t="s">
        <v>183</v>
      </c>
    </row>
    <row r="151" spans="1:5" x14ac:dyDescent="0.25">
      <c r="A151">
        <v>2001022</v>
      </c>
      <c r="B151" t="s">
        <v>159</v>
      </c>
      <c r="E151" s="34" t="s">
        <v>183</v>
      </c>
    </row>
    <row r="152" spans="1:5" x14ac:dyDescent="0.25">
      <c r="A152">
        <v>2001022</v>
      </c>
      <c r="B152" t="s">
        <v>160</v>
      </c>
      <c r="E152" s="34" t="s">
        <v>183</v>
      </c>
    </row>
    <row r="153" spans="1:5" x14ac:dyDescent="0.25">
      <c r="A153">
        <v>2001022</v>
      </c>
      <c r="B153" t="s">
        <v>161</v>
      </c>
      <c r="E153" s="34" t="s">
        <v>183</v>
      </c>
    </row>
    <row r="154" spans="1:5" x14ac:dyDescent="0.25">
      <c r="A154">
        <v>2001022</v>
      </c>
      <c r="B154" t="s">
        <v>162</v>
      </c>
      <c r="E154" s="34" t="s">
        <v>183</v>
      </c>
    </row>
    <row r="155" spans="1:5" x14ac:dyDescent="0.25">
      <c r="A155" t="s">
        <v>303</v>
      </c>
      <c r="B155">
        <v>1037090</v>
      </c>
      <c r="E155" s="34" t="s">
        <v>183</v>
      </c>
    </row>
    <row r="156" spans="1:5" x14ac:dyDescent="0.25">
      <c r="A156" t="s">
        <v>304</v>
      </c>
      <c r="B156" s="38">
        <v>65501902345</v>
      </c>
      <c r="E156" s="34" t="s">
        <v>183</v>
      </c>
    </row>
    <row r="157" spans="1:5" x14ac:dyDescent="0.25">
      <c r="A157" t="s">
        <v>305</v>
      </c>
      <c r="B157" s="38">
        <v>1037087</v>
      </c>
      <c r="E157" s="34" t="s">
        <v>183</v>
      </c>
    </row>
    <row r="158" spans="1:5" x14ac:dyDescent="0.25">
      <c r="A158" t="s">
        <v>312</v>
      </c>
      <c r="B158" s="38">
        <v>1036723</v>
      </c>
      <c r="C158" s="34" t="s">
        <v>183</v>
      </c>
    </row>
    <row r="159" spans="1:5" x14ac:dyDescent="0.25">
      <c r="A159" t="s">
        <v>313</v>
      </c>
      <c r="B159" s="38">
        <v>1036724</v>
      </c>
      <c r="C159" s="34" t="s">
        <v>183</v>
      </c>
    </row>
    <row r="160" spans="1:5" x14ac:dyDescent="0.25">
      <c r="A160" t="s">
        <v>318</v>
      </c>
      <c r="B160">
        <v>65508989338</v>
      </c>
      <c r="C160" s="34" t="s">
        <v>183</v>
      </c>
    </row>
    <row r="161" spans="1:5" x14ac:dyDescent="0.25">
      <c r="A161" t="s">
        <v>320</v>
      </c>
      <c r="B161">
        <v>1037923</v>
      </c>
      <c r="C161" s="34" t="s">
        <v>183</v>
      </c>
    </row>
    <row r="162" spans="1:5" x14ac:dyDescent="0.25">
      <c r="A162" t="s">
        <v>321</v>
      </c>
      <c r="B162">
        <v>1037925</v>
      </c>
      <c r="C162" s="34" t="s">
        <v>183</v>
      </c>
    </row>
    <row r="163" spans="1:5" x14ac:dyDescent="0.25">
      <c r="A163" t="s">
        <v>322</v>
      </c>
      <c r="B163">
        <v>1037924</v>
      </c>
      <c r="C163" s="34" t="s">
        <v>183</v>
      </c>
    </row>
    <row r="164" spans="1:5" x14ac:dyDescent="0.25">
      <c r="A164" t="s">
        <v>344</v>
      </c>
      <c r="B164">
        <v>65502397418</v>
      </c>
      <c r="E164" s="34" t="s">
        <v>183</v>
      </c>
    </row>
    <row r="165" spans="1:5" x14ac:dyDescent="0.25">
      <c r="A165" t="s">
        <v>345</v>
      </c>
      <c r="B165">
        <v>65501285111</v>
      </c>
      <c r="E165" s="34" t="s">
        <v>183</v>
      </c>
    </row>
    <row r="166" spans="1:5" x14ac:dyDescent="0.25">
      <c r="A166" t="s">
        <v>90</v>
      </c>
      <c r="B166">
        <v>2000469</v>
      </c>
      <c r="E166" s="34" t="s">
        <v>183</v>
      </c>
    </row>
    <row r="167" spans="1:5" x14ac:dyDescent="0.25">
      <c r="A167" t="s">
        <v>91</v>
      </c>
      <c r="B167">
        <v>2000466</v>
      </c>
      <c r="E167" s="34" t="s">
        <v>183</v>
      </c>
    </row>
    <row r="168" spans="1:5" x14ac:dyDescent="0.25">
      <c r="A168" s="34" t="s">
        <v>349</v>
      </c>
      <c r="B168">
        <v>65509560409</v>
      </c>
      <c r="C168" s="34" t="s">
        <v>183</v>
      </c>
    </row>
    <row r="169" spans="1:5" x14ac:dyDescent="0.25">
      <c r="A169" s="34" t="s">
        <v>350</v>
      </c>
      <c r="B169">
        <v>65509560426</v>
      </c>
      <c r="C169" s="34" t="s">
        <v>183</v>
      </c>
    </row>
    <row r="170" spans="1:5" x14ac:dyDescent="0.25">
      <c r="A170" s="34" t="s">
        <v>351</v>
      </c>
      <c r="B170">
        <v>65509560457</v>
      </c>
      <c r="C170" s="34" t="s">
        <v>183</v>
      </c>
    </row>
    <row r="171" spans="1:5" x14ac:dyDescent="0.25">
      <c r="A171" s="34" t="s">
        <v>352</v>
      </c>
      <c r="B171">
        <v>65509560443</v>
      </c>
      <c r="C171" s="34" t="s">
        <v>183</v>
      </c>
    </row>
    <row r="172" spans="1:5" x14ac:dyDescent="0.25">
      <c r="A172" s="34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0"/>
  <dimension ref="A2:H134"/>
  <sheetViews>
    <sheetView workbookViewId="0">
      <selection activeCell="E9" sqref="E9"/>
    </sheetView>
  </sheetViews>
  <sheetFormatPr baseColWidth="10" defaultRowHeight="15" x14ac:dyDescent="0.25"/>
  <cols>
    <col min="1" max="1" width="14.7109375" bestFit="1" customWidth="1"/>
    <col min="2" max="2" width="43.42578125" bestFit="1" customWidth="1"/>
    <col min="4" max="4" width="24.5703125" customWidth="1"/>
    <col min="5" max="5" width="43.42578125" bestFit="1" customWidth="1"/>
    <col min="6" max="6" width="16.85546875" bestFit="1" customWidth="1"/>
  </cols>
  <sheetData>
    <row r="2" spans="1:8" x14ac:dyDescent="0.25">
      <c r="A2" s="109" t="s">
        <v>189</v>
      </c>
      <c r="B2" s="109" t="s">
        <v>190</v>
      </c>
      <c r="C2" s="109" t="s">
        <v>188</v>
      </c>
      <c r="D2" s="109" t="s">
        <v>191</v>
      </c>
      <c r="E2" s="109" t="s">
        <v>192</v>
      </c>
      <c r="F2" s="109" t="s">
        <v>193</v>
      </c>
      <c r="G2" s="108" t="s">
        <v>194</v>
      </c>
      <c r="H2" s="108"/>
    </row>
    <row r="3" spans="1:8" x14ac:dyDescent="0.25">
      <c r="A3" s="110"/>
      <c r="B3" s="110"/>
      <c r="C3" s="110"/>
      <c r="D3" s="110"/>
      <c r="E3" s="110"/>
      <c r="F3" s="110"/>
      <c r="G3" s="50" t="s">
        <v>195</v>
      </c>
      <c r="H3" s="50" t="s">
        <v>196</v>
      </c>
    </row>
    <row r="4" spans="1:8" x14ac:dyDescent="0.25">
      <c r="A4" s="29">
        <v>156331</v>
      </c>
      <c r="B4" s="29">
        <v>71</v>
      </c>
      <c r="C4" s="28" t="s">
        <v>197</v>
      </c>
      <c r="D4" s="28" t="s">
        <v>60</v>
      </c>
      <c r="E4" s="28" t="s">
        <v>61</v>
      </c>
      <c r="F4" s="28" t="s">
        <v>198</v>
      </c>
      <c r="G4" s="29" t="s">
        <v>183</v>
      </c>
      <c r="H4" s="29"/>
    </row>
    <row r="5" spans="1:8" x14ac:dyDescent="0.25">
      <c r="A5" s="29">
        <v>65502222299</v>
      </c>
      <c r="B5" s="29">
        <v>74</v>
      </c>
      <c r="C5" s="28" t="s">
        <v>197</v>
      </c>
      <c r="D5" s="28" t="s">
        <v>62</v>
      </c>
      <c r="E5" s="28" t="s">
        <v>62</v>
      </c>
      <c r="F5" s="28" t="s">
        <v>198</v>
      </c>
      <c r="G5" s="29" t="s">
        <v>183</v>
      </c>
      <c r="H5" s="29"/>
    </row>
    <row r="6" spans="1:8" x14ac:dyDescent="0.25">
      <c r="A6" s="29">
        <v>2000135</v>
      </c>
      <c r="B6" s="29">
        <v>100</v>
      </c>
      <c r="C6" s="28" t="s">
        <v>197</v>
      </c>
      <c r="D6" s="28" t="s">
        <v>199</v>
      </c>
      <c r="E6" s="28" t="s">
        <v>33</v>
      </c>
      <c r="F6" s="28" t="s">
        <v>198</v>
      </c>
      <c r="G6" s="29" t="s">
        <v>183</v>
      </c>
      <c r="H6" s="29"/>
    </row>
    <row r="7" spans="1:8" ht="30" x14ac:dyDescent="0.25">
      <c r="A7" s="29">
        <v>2000204</v>
      </c>
      <c r="B7" s="29">
        <v>115</v>
      </c>
      <c r="C7" s="28" t="s">
        <v>197</v>
      </c>
      <c r="D7" s="28" t="s">
        <v>158</v>
      </c>
      <c r="E7" s="28" t="s">
        <v>33</v>
      </c>
      <c r="F7" s="28" t="s">
        <v>198</v>
      </c>
      <c r="G7" s="29" t="s">
        <v>183</v>
      </c>
      <c r="H7" s="29"/>
    </row>
    <row r="8" spans="1:8" ht="60" x14ac:dyDescent="0.25">
      <c r="A8" s="39">
        <v>1008496</v>
      </c>
      <c r="B8" s="39">
        <v>119</v>
      </c>
      <c r="C8" s="40" t="s">
        <v>197</v>
      </c>
      <c r="D8" s="40" t="s">
        <v>69</v>
      </c>
      <c r="E8" s="40" t="s">
        <v>200</v>
      </c>
      <c r="F8" s="40" t="s">
        <v>166</v>
      </c>
      <c r="G8" s="39" t="s">
        <v>183</v>
      </c>
      <c r="H8" s="39"/>
    </row>
    <row r="9" spans="1:8" ht="30" x14ac:dyDescent="0.25">
      <c r="A9" s="29">
        <v>67715</v>
      </c>
      <c r="B9" s="29">
        <v>1068</v>
      </c>
      <c r="C9" s="28" t="s">
        <v>197</v>
      </c>
      <c r="D9" s="28" t="s">
        <v>70</v>
      </c>
      <c r="E9" s="28" t="s">
        <v>201</v>
      </c>
      <c r="F9" s="28" t="s">
        <v>166</v>
      </c>
      <c r="G9" s="29" t="s">
        <v>183</v>
      </c>
      <c r="H9" s="29"/>
    </row>
    <row r="10" spans="1:8" x14ac:dyDescent="0.25">
      <c r="A10" s="29">
        <v>2000385</v>
      </c>
      <c r="B10" s="29">
        <v>2100</v>
      </c>
      <c r="C10" s="28" t="s">
        <v>197</v>
      </c>
      <c r="D10" s="28" t="s">
        <v>102</v>
      </c>
      <c r="E10" s="28" t="s">
        <v>103</v>
      </c>
      <c r="F10" s="28" t="s">
        <v>202</v>
      </c>
      <c r="G10" s="29"/>
      <c r="H10" s="29" t="s">
        <v>183</v>
      </c>
    </row>
    <row r="11" spans="1:8" x14ac:dyDescent="0.25">
      <c r="A11" s="29">
        <v>566810</v>
      </c>
      <c r="B11" s="29">
        <v>2200</v>
      </c>
      <c r="C11" s="28" t="s">
        <v>197</v>
      </c>
      <c r="D11" s="28" t="s">
        <v>103</v>
      </c>
      <c r="E11" s="28" t="s">
        <v>103</v>
      </c>
      <c r="F11" s="28" t="s">
        <v>202</v>
      </c>
      <c r="G11" s="29"/>
      <c r="H11" s="29" t="s">
        <v>183</v>
      </c>
    </row>
    <row r="12" spans="1:8" x14ac:dyDescent="0.25">
      <c r="A12" s="29">
        <v>142518</v>
      </c>
      <c r="B12" s="29">
        <v>2300</v>
      </c>
      <c r="C12" s="28" t="s">
        <v>197</v>
      </c>
      <c r="D12" s="28" t="s">
        <v>104</v>
      </c>
      <c r="E12" s="28" t="s">
        <v>103</v>
      </c>
      <c r="F12" s="28" t="s">
        <v>202</v>
      </c>
      <c r="G12" s="29"/>
      <c r="H12" s="29" t="s">
        <v>183</v>
      </c>
    </row>
    <row r="13" spans="1:8" ht="30" x14ac:dyDescent="0.25">
      <c r="A13" s="29">
        <v>1018811</v>
      </c>
      <c r="B13" s="29">
        <v>1018811</v>
      </c>
      <c r="C13" s="28" t="s">
        <v>197</v>
      </c>
      <c r="D13" s="28" t="s">
        <v>82</v>
      </c>
      <c r="E13" s="28" t="s">
        <v>203</v>
      </c>
      <c r="F13" s="28" t="s">
        <v>198</v>
      </c>
      <c r="G13" s="29" t="s">
        <v>183</v>
      </c>
      <c r="H13" s="29"/>
    </row>
    <row r="14" spans="1:8" x14ac:dyDescent="0.25">
      <c r="A14" s="30">
        <v>1032382</v>
      </c>
      <c r="B14" s="30">
        <v>1032382</v>
      </c>
      <c r="C14" s="28" t="s">
        <v>197</v>
      </c>
      <c r="D14" s="28" t="s">
        <v>164</v>
      </c>
      <c r="E14" s="28" t="s">
        <v>164</v>
      </c>
      <c r="F14" s="28" t="s">
        <v>198</v>
      </c>
      <c r="G14" s="29" t="s">
        <v>183</v>
      </c>
      <c r="H14" s="29"/>
    </row>
    <row r="15" spans="1:8" ht="30" x14ac:dyDescent="0.25">
      <c r="A15" s="29">
        <v>2000698</v>
      </c>
      <c r="B15" s="29">
        <v>2000698</v>
      </c>
      <c r="C15" s="28" t="s">
        <v>197</v>
      </c>
      <c r="D15" s="28" t="s">
        <v>83</v>
      </c>
      <c r="E15" s="28" t="s">
        <v>33</v>
      </c>
      <c r="F15" s="28" t="s">
        <v>198</v>
      </c>
      <c r="G15" s="29" t="s">
        <v>183</v>
      </c>
      <c r="H15" s="29"/>
    </row>
    <row r="16" spans="1:8" ht="30" x14ac:dyDescent="0.25">
      <c r="A16" s="29">
        <v>2000732</v>
      </c>
      <c r="B16" s="29">
        <v>2000732</v>
      </c>
      <c r="C16" s="28" t="s">
        <v>197</v>
      </c>
      <c r="D16" s="28" t="s">
        <v>84</v>
      </c>
      <c r="E16" s="28" t="s">
        <v>33</v>
      </c>
      <c r="F16" s="28" t="s">
        <v>198</v>
      </c>
      <c r="G16" s="29" t="s">
        <v>183</v>
      </c>
      <c r="H16" s="29"/>
    </row>
    <row r="17" spans="1:8" x14ac:dyDescent="0.25">
      <c r="A17" s="29">
        <v>2000733</v>
      </c>
      <c r="B17" s="29">
        <v>2000733</v>
      </c>
      <c r="C17" s="28" t="s">
        <v>197</v>
      </c>
      <c r="D17" s="28" t="s">
        <v>85</v>
      </c>
      <c r="E17" s="28" t="s">
        <v>33</v>
      </c>
      <c r="F17" s="28" t="s">
        <v>198</v>
      </c>
      <c r="G17" s="29" t="s">
        <v>183</v>
      </c>
      <c r="H17" s="29"/>
    </row>
    <row r="18" spans="1:8" x14ac:dyDescent="0.25">
      <c r="A18" s="29">
        <v>2001012</v>
      </c>
      <c r="B18" s="29">
        <v>2001012</v>
      </c>
      <c r="C18" s="28" t="s">
        <v>204</v>
      </c>
      <c r="D18" s="28" t="s">
        <v>205</v>
      </c>
      <c r="E18" s="28" t="s">
        <v>149</v>
      </c>
      <c r="F18" s="28" t="s">
        <v>198</v>
      </c>
      <c r="G18" s="29" t="s">
        <v>183</v>
      </c>
      <c r="H18" s="29"/>
    </row>
    <row r="19" spans="1:8" x14ac:dyDescent="0.25">
      <c r="A19" s="29">
        <v>2001022</v>
      </c>
      <c r="B19" s="29">
        <v>2001022</v>
      </c>
      <c r="C19" s="28" t="s">
        <v>204</v>
      </c>
      <c r="D19" s="28" t="s">
        <v>280</v>
      </c>
      <c r="E19" s="28" t="s">
        <v>149</v>
      </c>
      <c r="F19" s="28" t="s">
        <v>166</v>
      </c>
      <c r="G19" s="29" t="s">
        <v>183</v>
      </c>
      <c r="H19" s="29"/>
    </row>
    <row r="20" spans="1:8" ht="30" x14ac:dyDescent="0.25">
      <c r="A20" s="29">
        <v>65504667724</v>
      </c>
      <c r="B20" s="29" t="s">
        <v>52</v>
      </c>
      <c r="C20" s="28" t="s">
        <v>204</v>
      </c>
      <c r="D20" s="28" t="s">
        <v>169</v>
      </c>
      <c r="E20" s="28" t="s">
        <v>169</v>
      </c>
      <c r="F20" s="28" t="s">
        <v>198</v>
      </c>
      <c r="G20" s="29" t="s">
        <v>206</v>
      </c>
      <c r="H20" s="29"/>
    </row>
    <row r="21" spans="1:8" ht="30" x14ac:dyDescent="0.25">
      <c r="A21" s="29">
        <v>65503851337</v>
      </c>
      <c r="B21" s="29" t="s">
        <v>53</v>
      </c>
      <c r="C21" s="28" t="s">
        <v>204</v>
      </c>
      <c r="D21" s="28" t="s">
        <v>281</v>
      </c>
      <c r="E21" s="28" t="s">
        <v>208</v>
      </c>
      <c r="F21" s="28" t="s">
        <v>166</v>
      </c>
      <c r="G21" s="29" t="s">
        <v>183</v>
      </c>
      <c r="H21" s="29"/>
    </row>
    <row r="22" spans="1:8" ht="30" x14ac:dyDescent="0.25">
      <c r="A22" s="29">
        <v>65503863610</v>
      </c>
      <c r="B22" s="29" t="s">
        <v>53</v>
      </c>
      <c r="C22" s="28" t="s">
        <v>204</v>
      </c>
      <c r="D22" s="28" t="s">
        <v>282</v>
      </c>
      <c r="E22" s="28" t="s">
        <v>208</v>
      </c>
      <c r="F22" s="28" t="s">
        <v>166</v>
      </c>
      <c r="G22" s="29" t="s">
        <v>183</v>
      </c>
      <c r="H22" s="29"/>
    </row>
    <row r="23" spans="1:8" ht="30" x14ac:dyDescent="0.25">
      <c r="A23" s="29">
        <v>65503863624</v>
      </c>
      <c r="B23" s="29" t="s">
        <v>53</v>
      </c>
      <c r="C23" s="28" t="s">
        <v>204</v>
      </c>
      <c r="D23" s="28" t="s">
        <v>283</v>
      </c>
      <c r="E23" s="28" t="s">
        <v>208</v>
      </c>
      <c r="F23" s="28" t="s">
        <v>166</v>
      </c>
      <c r="G23" s="29" t="s">
        <v>183</v>
      </c>
      <c r="H23" s="29"/>
    </row>
    <row r="24" spans="1:8" ht="30" x14ac:dyDescent="0.25">
      <c r="A24" s="29">
        <v>65503863638</v>
      </c>
      <c r="B24" s="29" t="s">
        <v>53</v>
      </c>
      <c r="C24" s="28" t="s">
        <v>204</v>
      </c>
      <c r="D24" s="28" t="s">
        <v>207</v>
      </c>
      <c r="E24" s="28" t="s">
        <v>208</v>
      </c>
      <c r="F24" s="28" t="s">
        <v>166</v>
      </c>
      <c r="G24" s="29" t="s">
        <v>183</v>
      </c>
      <c r="H24" s="29"/>
    </row>
    <row r="25" spans="1:8" ht="60" x14ac:dyDescent="0.25">
      <c r="A25" s="39">
        <v>65507408917</v>
      </c>
      <c r="B25" s="39">
        <v>37</v>
      </c>
      <c r="C25" s="40" t="s">
        <v>204</v>
      </c>
      <c r="D25" s="40" t="s">
        <v>18</v>
      </c>
      <c r="E25" s="40" t="s">
        <v>209</v>
      </c>
      <c r="F25" s="40" t="s">
        <v>198</v>
      </c>
      <c r="G25" s="39" t="s">
        <v>183</v>
      </c>
      <c r="H25" s="39"/>
    </row>
    <row r="26" spans="1:8" x14ac:dyDescent="0.25">
      <c r="A26" s="39">
        <v>156622</v>
      </c>
      <c r="B26" s="39">
        <v>58</v>
      </c>
      <c r="C26" s="40" t="s">
        <v>204</v>
      </c>
      <c r="D26" s="40" t="s">
        <v>39</v>
      </c>
      <c r="E26" s="40" t="s">
        <v>39</v>
      </c>
      <c r="F26" s="40" t="s">
        <v>198</v>
      </c>
      <c r="G26" s="39" t="s">
        <v>183</v>
      </c>
      <c r="H26" s="39"/>
    </row>
    <row r="27" spans="1:8" x14ac:dyDescent="0.25">
      <c r="A27" s="39">
        <v>154702</v>
      </c>
      <c r="B27" s="39">
        <v>60</v>
      </c>
      <c r="C27" s="40" t="s">
        <v>204</v>
      </c>
      <c r="D27" s="40" t="s">
        <v>40</v>
      </c>
      <c r="E27" s="40" t="s">
        <v>210</v>
      </c>
      <c r="F27" s="40" t="s">
        <v>166</v>
      </c>
      <c r="G27" s="39" t="s">
        <v>183</v>
      </c>
      <c r="H27" s="39"/>
    </row>
    <row r="28" spans="1:8" x14ac:dyDescent="0.25">
      <c r="A28" s="39">
        <v>80820</v>
      </c>
      <c r="B28" s="39">
        <v>63</v>
      </c>
      <c r="C28" s="40" t="s">
        <v>204</v>
      </c>
      <c r="D28" s="40" t="s">
        <v>211</v>
      </c>
      <c r="E28" s="40" t="s">
        <v>210</v>
      </c>
      <c r="F28" s="40" t="s">
        <v>166</v>
      </c>
      <c r="G28" s="39" t="s">
        <v>183</v>
      </c>
      <c r="H28" s="39"/>
    </row>
    <row r="29" spans="1:8" ht="30" x14ac:dyDescent="0.25">
      <c r="A29" s="39">
        <v>1037124</v>
      </c>
      <c r="B29" s="39">
        <v>75</v>
      </c>
      <c r="C29" s="40" t="s">
        <v>204</v>
      </c>
      <c r="D29" s="40" t="s">
        <v>63</v>
      </c>
      <c r="E29" s="40" t="s">
        <v>212</v>
      </c>
      <c r="F29" s="40" t="s">
        <v>198</v>
      </c>
      <c r="G29" s="39" t="s">
        <v>183</v>
      </c>
      <c r="H29" s="39"/>
    </row>
    <row r="30" spans="1:8" x14ac:dyDescent="0.25">
      <c r="A30" s="39">
        <v>1033811</v>
      </c>
      <c r="B30" s="39">
        <v>76</v>
      </c>
      <c r="C30" s="40" t="s">
        <v>204</v>
      </c>
      <c r="D30" s="40" t="s">
        <v>64</v>
      </c>
      <c r="E30" s="40" t="s">
        <v>212</v>
      </c>
      <c r="F30" s="40" t="s">
        <v>198</v>
      </c>
      <c r="G30" s="39" t="s">
        <v>183</v>
      </c>
      <c r="H30" s="39"/>
    </row>
    <row r="31" spans="1:8" x14ac:dyDescent="0.25">
      <c r="A31" s="39">
        <v>69902</v>
      </c>
      <c r="B31" s="39">
        <v>78</v>
      </c>
      <c r="C31" s="40" t="s">
        <v>204</v>
      </c>
      <c r="D31" s="40" t="s">
        <v>65</v>
      </c>
      <c r="E31" s="40" t="s">
        <v>212</v>
      </c>
      <c r="F31" s="40" t="s">
        <v>198</v>
      </c>
      <c r="G31" s="39" t="s">
        <v>183</v>
      </c>
      <c r="H31" s="39"/>
    </row>
    <row r="32" spans="1:8" x14ac:dyDescent="0.25">
      <c r="A32" s="39">
        <v>64972</v>
      </c>
      <c r="B32" s="39">
        <v>86</v>
      </c>
      <c r="C32" s="40" t="s">
        <v>204</v>
      </c>
      <c r="D32" s="40" t="s">
        <v>41</v>
      </c>
      <c r="E32" s="40" t="s">
        <v>41</v>
      </c>
      <c r="F32" s="40" t="s">
        <v>198</v>
      </c>
      <c r="G32" s="39" t="s">
        <v>183</v>
      </c>
      <c r="H32" s="39"/>
    </row>
    <row r="33" spans="1:8" ht="60" x14ac:dyDescent="0.25">
      <c r="A33" s="39">
        <v>65502313952</v>
      </c>
      <c r="B33" s="39">
        <v>92</v>
      </c>
      <c r="C33" s="40" t="s">
        <v>204</v>
      </c>
      <c r="D33" s="40" t="s">
        <v>213</v>
      </c>
      <c r="E33" s="40" t="s">
        <v>214</v>
      </c>
      <c r="F33" s="40" t="s">
        <v>166</v>
      </c>
      <c r="G33" s="39" t="s">
        <v>183</v>
      </c>
      <c r="H33" s="39"/>
    </row>
    <row r="34" spans="1:8" x14ac:dyDescent="0.25">
      <c r="A34" s="39">
        <v>65502425394</v>
      </c>
      <c r="B34" s="51">
        <v>93</v>
      </c>
      <c r="C34" s="40" t="s">
        <v>197</v>
      </c>
      <c r="D34" s="40" t="s">
        <v>66</v>
      </c>
      <c r="E34" s="40" t="s">
        <v>215</v>
      </c>
      <c r="F34" s="40" t="s">
        <v>166</v>
      </c>
      <c r="G34" s="39" t="s">
        <v>183</v>
      </c>
      <c r="H34" s="39"/>
    </row>
    <row r="35" spans="1:8" x14ac:dyDescent="0.25">
      <c r="A35" s="39">
        <v>1002455</v>
      </c>
      <c r="B35" s="39">
        <v>94</v>
      </c>
      <c r="C35" s="40" t="s">
        <v>204</v>
      </c>
      <c r="D35" s="40" t="s">
        <v>67</v>
      </c>
      <c r="E35" s="40" t="s">
        <v>216</v>
      </c>
      <c r="F35" s="40" t="s">
        <v>202</v>
      </c>
      <c r="G35" s="39" t="s">
        <v>183</v>
      </c>
      <c r="H35" s="39"/>
    </row>
    <row r="36" spans="1:8" ht="30" x14ac:dyDescent="0.25">
      <c r="A36" s="39">
        <v>152965</v>
      </c>
      <c r="B36" s="39">
        <v>105</v>
      </c>
      <c r="C36" s="40" t="s">
        <v>197</v>
      </c>
      <c r="D36" s="40" t="s">
        <v>68</v>
      </c>
      <c r="E36" s="40" t="s">
        <v>217</v>
      </c>
      <c r="F36" s="40" t="s">
        <v>198</v>
      </c>
      <c r="G36" s="39" t="s">
        <v>183</v>
      </c>
      <c r="H36" s="39"/>
    </row>
    <row r="37" spans="1:8" ht="60" x14ac:dyDescent="0.25">
      <c r="A37" s="39">
        <v>1005849</v>
      </c>
      <c r="B37" s="39">
        <v>114</v>
      </c>
      <c r="C37" s="40" t="s">
        <v>204</v>
      </c>
      <c r="D37" s="40" t="s">
        <v>218</v>
      </c>
      <c r="E37" s="40" t="s">
        <v>219</v>
      </c>
      <c r="F37" s="40" t="s">
        <v>167</v>
      </c>
      <c r="G37" s="39" t="s">
        <v>183</v>
      </c>
      <c r="H37" s="39"/>
    </row>
    <row r="38" spans="1:8" x14ac:dyDescent="0.25">
      <c r="A38" s="39">
        <v>78665</v>
      </c>
      <c r="B38" s="39">
        <v>118</v>
      </c>
      <c r="C38" s="40" t="s">
        <v>204</v>
      </c>
      <c r="D38" s="40" t="s">
        <v>223</v>
      </c>
      <c r="E38" s="40" t="s">
        <v>142</v>
      </c>
      <c r="F38" s="40" t="s">
        <v>166</v>
      </c>
      <c r="G38" s="39"/>
      <c r="H38" s="39" t="s">
        <v>183</v>
      </c>
    </row>
    <row r="39" spans="1:8" x14ac:dyDescent="0.25">
      <c r="A39" s="39">
        <v>78666</v>
      </c>
      <c r="B39" s="39">
        <v>118</v>
      </c>
      <c r="C39" s="40" t="s">
        <v>204</v>
      </c>
      <c r="D39" s="40" t="s">
        <v>224</v>
      </c>
      <c r="E39" s="40" t="s">
        <v>142</v>
      </c>
      <c r="F39" s="40" t="s">
        <v>166</v>
      </c>
      <c r="G39" s="39"/>
      <c r="H39" s="39" t="s">
        <v>183</v>
      </c>
    </row>
    <row r="40" spans="1:8" x14ac:dyDescent="0.25">
      <c r="A40" s="39">
        <v>2000216</v>
      </c>
      <c r="B40" s="39">
        <v>118</v>
      </c>
      <c r="C40" s="40" t="s">
        <v>204</v>
      </c>
      <c r="D40" s="40" t="s">
        <v>225</v>
      </c>
      <c r="E40" s="40" t="s">
        <v>142</v>
      </c>
      <c r="F40" s="40" t="s">
        <v>166</v>
      </c>
      <c r="G40" s="39"/>
      <c r="H40" s="39" t="s">
        <v>183</v>
      </c>
    </row>
    <row r="41" spans="1:8" x14ac:dyDescent="0.25">
      <c r="A41" s="39">
        <v>2000217</v>
      </c>
      <c r="B41" s="39">
        <v>118</v>
      </c>
      <c r="C41" s="40" t="s">
        <v>204</v>
      </c>
      <c r="D41" s="40" t="s">
        <v>226</v>
      </c>
      <c r="E41" s="40" t="s">
        <v>142</v>
      </c>
      <c r="F41" s="40" t="s">
        <v>166</v>
      </c>
      <c r="G41" s="39"/>
      <c r="H41" s="39" t="s">
        <v>183</v>
      </c>
    </row>
    <row r="42" spans="1:8" x14ac:dyDescent="0.25">
      <c r="A42" s="39">
        <v>2000218</v>
      </c>
      <c r="B42" s="39">
        <v>118</v>
      </c>
      <c r="C42" s="40" t="s">
        <v>204</v>
      </c>
      <c r="D42" s="40" t="s">
        <v>227</v>
      </c>
      <c r="E42" s="40" t="s">
        <v>142</v>
      </c>
      <c r="F42" s="40" t="s">
        <v>166</v>
      </c>
      <c r="G42" s="39"/>
      <c r="H42" s="39" t="s">
        <v>183</v>
      </c>
    </row>
    <row r="43" spans="1:8" x14ac:dyDescent="0.25">
      <c r="A43" s="39">
        <v>2000219</v>
      </c>
      <c r="B43" s="39">
        <v>118</v>
      </c>
      <c r="C43" s="40" t="s">
        <v>204</v>
      </c>
      <c r="D43" s="40" t="s">
        <v>228</v>
      </c>
      <c r="E43" s="40" t="s">
        <v>142</v>
      </c>
      <c r="F43" s="40" t="s">
        <v>166</v>
      </c>
      <c r="G43" s="39"/>
      <c r="H43" s="39" t="s">
        <v>183</v>
      </c>
    </row>
    <row r="44" spans="1:8" x14ac:dyDescent="0.25">
      <c r="A44" s="39">
        <v>2000220</v>
      </c>
      <c r="B44" s="39">
        <v>118</v>
      </c>
      <c r="C44" s="40" t="s">
        <v>204</v>
      </c>
      <c r="D44" s="40" t="s">
        <v>229</v>
      </c>
      <c r="E44" s="40" t="s">
        <v>142</v>
      </c>
      <c r="F44" s="40" t="s">
        <v>166</v>
      </c>
      <c r="G44" s="39"/>
      <c r="H44" s="39" t="s">
        <v>183</v>
      </c>
    </row>
    <row r="45" spans="1:8" x14ac:dyDescent="0.25">
      <c r="A45" s="39">
        <v>2000221</v>
      </c>
      <c r="B45" s="39">
        <v>118</v>
      </c>
      <c r="C45" s="40" t="s">
        <v>204</v>
      </c>
      <c r="D45" s="40" t="s">
        <v>230</v>
      </c>
      <c r="E45" s="40" t="s">
        <v>142</v>
      </c>
      <c r="F45" s="40" t="s">
        <v>166</v>
      </c>
      <c r="G45" s="39"/>
      <c r="H45" s="39" t="s">
        <v>183</v>
      </c>
    </row>
    <row r="46" spans="1:8" x14ac:dyDescent="0.25">
      <c r="A46" s="39">
        <v>2000240</v>
      </c>
      <c r="B46" s="39">
        <v>120</v>
      </c>
      <c r="C46" s="40" t="s">
        <v>204</v>
      </c>
      <c r="D46" s="40" t="s">
        <v>231</v>
      </c>
      <c r="E46" s="40" t="s">
        <v>232</v>
      </c>
      <c r="F46" s="40" t="s">
        <v>166</v>
      </c>
      <c r="G46" s="39" t="s">
        <v>183</v>
      </c>
      <c r="H46" s="39"/>
    </row>
    <row r="47" spans="1:8" x14ac:dyDescent="0.25">
      <c r="A47" s="39">
        <v>2000241</v>
      </c>
      <c r="B47" s="39">
        <v>120</v>
      </c>
      <c r="C47" s="40" t="s">
        <v>204</v>
      </c>
      <c r="D47" s="40" t="s">
        <v>233</v>
      </c>
      <c r="E47" s="40" t="s">
        <v>232</v>
      </c>
      <c r="F47" s="40" t="s">
        <v>166</v>
      </c>
      <c r="G47" s="39" t="s">
        <v>183</v>
      </c>
      <c r="H47" s="39"/>
    </row>
    <row r="48" spans="1:8" x14ac:dyDescent="0.25">
      <c r="A48" s="39">
        <v>2000238</v>
      </c>
      <c r="B48" s="39">
        <v>121</v>
      </c>
      <c r="C48" s="40" t="s">
        <v>204</v>
      </c>
      <c r="D48" s="40" t="s">
        <v>234</v>
      </c>
      <c r="E48" s="40" t="s">
        <v>232</v>
      </c>
      <c r="F48" s="40" t="s">
        <v>166</v>
      </c>
      <c r="G48" s="39" t="s">
        <v>183</v>
      </c>
      <c r="H48" s="39"/>
    </row>
    <row r="49" spans="1:8" x14ac:dyDescent="0.25">
      <c r="A49" s="39">
        <v>2000239</v>
      </c>
      <c r="B49" s="39">
        <v>121</v>
      </c>
      <c r="C49" s="40" t="s">
        <v>204</v>
      </c>
      <c r="D49" s="40" t="s">
        <v>235</v>
      </c>
      <c r="E49" s="40" t="s">
        <v>232</v>
      </c>
      <c r="F49" s="40" t="s">
        <v>166</v>
      </c>
      <c r="G49" s="39" t="s">
        <v>183</v>
      </c>
      <c r="H49" s="39"/>
    </row>
    <row r="50" spans="1:8" x14ac:dyDescent="0.25">
      <c r="A50" s="39">
        <v>65501387259</v>
      </c>
      <c r="B50" s="39">
        <v>122</v>
      </c>
      <c r="C50" s="40" t="s">
        <v>204</v>
      </c>
      <c r="D50" s="40" t="s">
        <v>42</v>
      </c>
      <c r="E50" s="40" t="s">
        <v>42</v>
      </c>
      <c r="F50" s="40" t="s">
        <v>166</v>
      </c>
      <c r="G50" s="39" t="s">
        <v>183</v>
      </c>
      <c r="H50" s="39"/>
    </row>
    <row r="51" spans="1:8" x14ac:dyDescent="0.25">
      <c r="A51" s="39">
        <v>1013187</v>
      </c>
      <c r="B51" s="39">
        <v>127</v>
      </c>
      <c r="C51" s="40" t="s">
        <v>204</v>
      </c>
      <c r="D51" s="40" t="s">
        <v>43</v>
      </c>
      <c r="E51" s="40" t="s">
        <v>236</v>
      </c>
      <c r="F51" s="40" t="s">
        <v>166</v>
      </c>
      <c r="G51" s="39" t="s">
        <v>183</v>
      </c>
      <c r="H51" s="39"/>
    </row>
    <row r="52" spans="1:8" x14ac:dyDescent="0.25">
      <c r="A52" s="39">
        <v>2000486</v>
      </c>
      <c r="B52" s="39">
        <v>128</v>
      </c>
      <c r="C52" s="40" t="s">
        <v>204</v>
      </c>
      <c r="D52" s="40" t="s">
        <v>171</v>
      </c>
      <c r="E52" s="40" t="s">
        <v>221</v>
      </c>
      <c r="F52" s="40" t="s">
        <v>198</v>
      </c>
      <c r="G52" s="39" t="s">
        <v>183</v>
      </c>
      <c r="H52" s="39"/>
    </row>
    <row r="53" spans="1:8" x14ac:dyDescent="0.25">
      <c r="A53" s="39">
        <v>71535</v>
      </c>
      <c r="B53" s="39">
        <v>1071</v>
      </c>
      <c r="C53" s="40" t="s">
        <v>197</v>
      </c>
      <c r="D53" s="40" t="s">
        <v>237</v>
      </c>
      <c r="E53" s="40" t="s">
        <v>238</v>
      </c>
      <c r="F53" s="40" t="s">
        <v>166</v>
      </c>
      <c r="G53" s="39"/>
      <c r="H53" s="39" t="s">
        <v>183</v>
      </c>
    </row>
    <row r="54" spans="1:8" x14ac:dyDescent="0.25">
      <c r="A54" s="39">
        <v>71532</v>
      </c>
      <c r="B54" s="39">
        <v>1071</v>
      </c>
      <c r="C54" s="40" t="s">
        <v>197</v>
      </c>
      <c r="D54" s="40" t="s">
        <v>239</v>
      </c>
      <c r="E54" s="40" t="s">
        <v>238</v>
      </c>
      <c r="F54" s="40" t="s">
        <v>166</v>
      </c>
      <c r="G54" s="39"/>
      <c r="H54" s="39" t="s">
        <v>183</v>
      </c>
    </row>
    <row r="55" spans="1:8" x14ac:dyDescent="0.25">
      <c r="A55" s="39">
        <v>1031629</v>
      </c>
      <c r="B55" s="39">
        <v>1074</v>
      </c>
      <c r="C55" s="40" t="s">
        <v>204</v>
      </c>
      <c r="D55" s="40" t="s">
        <v>71</v>
      </c>
      <c r="E55" s="40" t="s">
        <v>240</v>
      </c>
      <c r="F55" s="40" t="s">
        <v>166</v>
      </c>
      <c r="G55" s="39" t="s">
        <v>183</v>
      </c>
      <c r="H55" s="39"/>
    </row>
    <row r="56" spans="1:8" x14ac:dyDescent="0.25">
      <c r="A56" s="39">
        <v>1031627</v>
      </c>
      <c r="B56" s="39">
        <v>1074</v>
      </c>
      <c r="C56" s="40" t="s">
        <v>204</v>
      </c>
      <c r="D56" s="40" t="s">
        <v>72</v>
      </c>
      <c r="E56" s="40" t="s">
        <v>240</v>
      </c>
      <c r="F56" s="40" t="s">
        <v>166</v>
      </c>
      <c r="G56" s="39" t="s">
        <v>183</v>
      </c>
      <c r="H56" s="39"/>
    </row>
    <row r="57" spans="1:8" ht="30" x14ac:dyDescent="0.25">
      <c r="A57" s="39">
        <v>142481</v>
      </c>
      <c r="B57" s="39">
        <v>1081</v>
      </c>
      <c r="C57" s="40" t="s">
        <v>204</v>
      </c>
      <c r="D57" s="40" t="s">
        <v>73</v>
      </c>
      <c r="E57" s="44" t="s">
        <v>216</v>
      </c>
      <c r="F57" s="40" t="s">
        <v>202</v>
      </c>
      <c r="G57" s="39" t="s">
        <v>183</v>
      </c>
      <c r="H57" s="39"/>
    </row>
    <row r="58" spans="1:8" ht="30" x14ac:dyDescent="0.25">
      <c r="A58" s="39">
        <v>142482</v>
      </c>
      <c r="B58" s="39">
        <v>1082</v>
      </c>
      <c r="C58" s="40" t="s">
        <v>204</v>
      </c>
      <c r="D58" s="40" t="s">
        <v>74</v>
      </c>
      <c r="E58" s="44" t="s">
        <v>216</v>
      </c>
      <c r="F58" s="40" t="s">
        <v>202</v>
      </c>
      <c r="G58" s="39" t="s">
        <v>183</v>
      </c>
      <c r="H58" s="39"/>
    </row>
    <row r="59" spans="1:8" ht="45" x14ac:dyDescent="0.25">
      <c r="A59" s="39">
        <v>65507665273</v>
      </c>
      <c r="B59" s="39">
        <v>1094</v>
      </c>
      <c r="C59" s="40" t="s">
        <v>204</v>
      </c>
      <c r="D59" s="40" t="s">
        <v>75</v>
      </c>
      <c r="E59" s="40" t="s">
        <v>209</v>
      </c>
      <c r="F59" s="40" t="s">
        <v>166</v>
      </c>
      <c r="G59" s="39" t="s">
        <v>183</v>
      </c>
      <c r="H59" s="39"/>
    </row>
    <row r="60" spans="1:8" x14ac:dyDescent="0.25">
      <c r="A60" s="37">
        <v>75655</v>
      </c>
      <c r="B60" s="37">
        <v>1097</v>
      </c>
      <c r="C60" s="36" t="s">
        <v>204</v>
      </c>
      <c r="D60" s="36" t="s">
        <v>76</v>
      </c>
      <c r="E60" s="40" t="s">
        <v>76</v>
      </c>
      <c r="F60" s="40" t="s">
        <v>198</v>
      </c>
      <c r="G60" s="39" t="s">
        <v>183</v>
      </c>
      <c r="H60" s="39"/>
    </row>
    <row r="61" spans="1:8" x14ac:dyDescent="0.25">
      <c r="A61" s="39">
        <v>75145</v>
      </c>
      <c r="B61" s="39">
        <v>1800</v>
      </c>
      <c r="C61" s="40" t="s">
        <v>197</v>
      </c>
      <c r="D61" s="40" t="s">
        <v>77</v>
      </c>
      <c r="E61" s="40" t="s">
        <v>241</v>
      </c>
      <c r="F61" s="40" t="s">
        <v>166</v>
      </c>
      <c r="G61" s="39" t="s">
        <v>183</v>
      </c>
      <c r="H61" s="39"/>
    </row>
    <row r="62" spans="1:8" x14ac:dyDescent="0.25">
      <c r="A62" s="39">
        <v>75146</v>
      </c>
      <c r="B62" s="39">
        <v>1800</v>
      </c>
      <c r="C62" s="40" t="s">
        <v>197</v>
      </c>
      <c r="D62" s="40" t="s">
        <v>78</v>
      </c>
      <c r="E62" s="40" t="s">
        <v>241</v>
      </c>
      <c r="F62" s="40" t="s">
        <v>166</v>
      </c>
      <c r="G62" s="39" t="s">
        <v>183</v>
      </c>
      <c r="H62" s="39"/>
    </row>
    <row r="63" spans="1:8" x14ac:dyDescent="0.25">
      <c r="A63" s="39">
        <v>65507430562</v>
      </c>
      <c r="B63" s="39" t="s">
        <v>242</v>
      </c>
      <c r="C63" s="40" t="s">
        <v>165</v>
      </c>
      <c r="D63" s="40" t="s">
        <v>243</v>
      </c>
      <c r="E63" s="40" t="s">
        <v>243</v>
      </c>
      <c r="F63" s="40" t="s">
        <v>198</v>
      </c>
      <c r="G63" s="39" t="s">
        <v>183</v>
      </c>
      <c r="H63" s="39"/>
    </row>
    <row r="64" spans="1:8" x14ac:dyDescent="0.25">
      <c r="A64" s="39">
        <v>2000182</v>
      </c>
      <c r="B64" s="39">
        <v>2500</v>
      </c>
      <c r="C64" s="40" t="s">
        <v>204</v>
      </c>
      <c r="D64" s="40" t="s">
        <v>141</v>
      </c>
      <c r="E64" s="40" t="s">
        <v>142</v>
      </c>
      <c r="F64" s="40" t="s">
        <v>166</v>
      </c>
      <c r="G64" s="39"/>
      <c r="H64" s="39" t="s">
        <v>183</v>
      </c>
    </row>
    <row r="65" spans="1:8" x14ac:dyDescent="0.25">
      <c r="A65" s="39">
        <v>2000183</v>
      </c>
      <c r="B65" s="39">
        <v>2500</v>
      </c>
      <c r="C65" s="40" t="s">
        <v>204</v>
      </c>
      <c r="D65" s="40" t="s">
        <v>244</v>
      </c>
      <c r="E65" s="40" t="s">
        <v>142</v>
      </c>
      <c r="F65" s="40" t="s">
        <v>166</v>
      </c>
      <c r="G65" s="39"/>
      <c r="H65" s="39" t="s">
        <v>183</v>
      </c>
    </row>
    <row r="66" spans="1:8" x14ac:dyDescent="0.25">
      <c r="A66" s="39">
        <v>1012259</v>
      </c>
      <c r="B66" s="39">
        <v>2600</v>
      </c>
      <c r="C66" s="40" t="s">
        <v>204</v>
      </c>
      <c r="D66" s="40" t="s">
        <v>284</v>
      </c>
      <c r="E66" s="40" t="s">
        <v>142</v>
      </c>
      <c r="F66" s="40" t="s">
        <v>166</v>
      </c>
      <c r="G66" s="39"/>
      <c r="H66" s="39" t="s">
        <v>183</v>
      </c>
    </row>
    <row r="67" spans="1:8" x14ac:dyDescent="0.25">
      <c r="A67" s="39">
        <v>1012260</v>
      </c>
      <c r="B67" s="39">
        <v>2600</v>
      </c>
      <c r="C67" s="40" t="s">
        <v>204</v>
      </c>
      <c r="D67" s="40" t="s">
        <v>285</v>
      </c>
      <c r="E67" s="40" t="s">
        <v>142</v>
      </c>
      <c r="F67" s="40" t="s">
        <v>166</v>
      </c>
      <c r="G67" s="39"/>
      <c r="H67" s="39" t="s">
        <v>183</v>
      </c>
    </row>
    <row r="68" spans="1:8" x14ac:dyDescent="0.25">
      <c r="A68" s="39">
        <v>2000423</v>
      </c>
      <c r="B68" s="39">
        <v>2700</v>
      </c>
      <c r="C68" s="40" t="s">
        <v>204</v>
      </c>
      <c r="D68" s="40" t="s">
        <v>178</v>
      </c>
      <c r="E68" s="40" t="s">
        <v>142</v>
      </c>
      <c r="F68" s="40" t="s">
        <v>166</v>
      </c>
      <c r="G68" s="39"/>
      <c r="H68" s="39" t="s">
        <v>183</v>
      </c>
    </row>
    <row r="69" spans="1:8" x14ac:dyDescent="0.25">
      <c r="A69" s="39">
        <v>2000424</v>
      </c>
      <c r="B69" s="39">
        <v>2700</v>
      </c>
      <c r="C69" s="40" t="s">
        <v>204</v>
      </c>
      <c r="D69" s="40" t="s">
        <v>179</v>
      </c>
      <c r="E69" s="40" t="s">
        <v>142</v>
      </c>
      <c r="F69" s="40" t="s">
        <v>166</v>
      </c>
      <c r="G69" s="39"/>
      <c r="H69" s="39" t="s">
        <v>183</v>
      </c>
    </row>
    <row r="70" spans="1:8" x14ac:dyDescent="0.25">
      <c r="A70" s="39">
        <v>2000780</v>
      </c>
      <c r="B70" s="39">
        <v>2777</v>
      </c>
      <c r="C70" s="40" t="s">
        <v>204</v>
      </c>
      <c r="D70" s="40" t="s">
        <v>286</v>
      </c>
      <c r="E70" s="40" t="s">
        <v>142</v>
      </c>
      <c r="F70" s="40" t="s">
        <v>166</v>
      </c>
      <c r="G70" s="39"/>
      <c r="H70" s="39" t="s">
        <v>183</v>
      </c>
    </row>
    <row r="71" spans="1:8" x14ac:dyDescent="0.25">
      <c r="A71" s="39">
        <v>2000779</v>
      </c>
      <c r="B71" s="39">
        <v>2777</v>
      </c>
      <c r="C71" s="40" t="s">
        <v>204</v>
      </c>
      <c r="D71" s="40" t="s">
        <v>287</v>
      </c>
      <c r="E71" s="40" t="s">
        <v>142</v>
      </c>
      <c r="F71" s="40" t="s">
        <v>166</v>
      </c>
      <c r="G71" s="39"/>
      <c r="H71" s="39" t="s">
        <v>183</v>
      </c>
    </row>
    <row r="72" spans="1:8" x14ac:dyDescent="0.25">
      <c r="A72" s="39">
        <v>2001047</v>
      </c>
      <c r="B72" s="39">
        <v>2779</v>
      </c>
      <c r="C72" s="40" t="s">
        <v>204</v>
      </c>
      <c r="D72" s="40" t="s">
        <v>288</v>
      </c>
      <c r="E72" s="45" t="s">
        <v>142</v>
      </c>
      <c r="F72" s="40" t="s">
        <v>166</v>
      </c>
      <c r="G72" s="39"/>
      <c r="H72" s="39" t="s">
        <v>183</v>
      </c>
    </row>
    <row r="73" spans="1:8" x14ac:dyDescent="0.25">
      <c r="A73" s="39">
        <v>2001046</v>
      </c>
      <c r="B73" s="39">
        <v>2779</v>
      </c>
      <c r="C73" s="40" t="s">
        <v>204</v>
      </c>
      <c r="D73" s="40" t="s">
        <v>289</v>
      </c>
      <c r="E73" s="45" t="s">
        <v>142</v>
      </c>
      <c r="F73" s="40" t="s">
        <v>166</v>
      </c>
      <c r="G73" s="39"/>
      <c r="H73" s="39" t="s">
        <v>183</v>
      </c>
    </row>
    <row r="74" spans="1:8" x14ac:dyDescent="0.25">
      <c r="A74" s="46">
        <v>4031</v>
      </c>
      <c r="B74" s="39">
        <v>4031</v>
      </c>
      <c r="C74" s="40" t="s">
        <v>197</v>
      </c>
      <c r="D74" s="40" t="s">
        <v>163</v>
      </c>
      <c r="E74" s="45" t="s">
        <v>163</v>
      </c>
      <c r="F74" s="40" t="s">
        <v>198</v>
      </c>
      <c r="G74" s="39" t="s">
        <v>183</v>
      </c>
      <c r="H74" s="39"/>
    </row>
    <row r="75" spans="1:8" x14ac:dyDescent="0.25">
      <c r="A75" s="39">
        <v>1018014</v>
      </c>
      <c r="B75" s="39">
        <v>1018014</v>
      </c>
      <c r="C75" s="40" t="s">
        <v>204</v>
      </c>
      <c r="D75" s="40" t="s">
        <v>79</v>
      </c>
      <c r="E75" s="40" t="s">
        <v>79</v>
      </c>
      <c r="F75" s="40" t="s">
        <v>202</v>
      </c>
      <c r="G75" s="39" t="s">
        <v>183</v>
      </c>
      <c r="H75" s="39"/>
    </row>
    <row r="76" spans="1:8" ht="30" x14ac:dyDescent="0.25">
      <c r="A76" s="39">
        <v>1018122</v>
      </c>
      <c r="B76" s="39">
        <v>1018122</v>
      </c>
      <c r="C76" s="40" t="s">
        <v>204</v>
      </c>
      <c r="D76" s="40" t="s">
        <v>80</v>
      </c>
      <c r="E76" s="40" t="s">
        <v>216</v>
      </c>
      <c r="F76" s="40" t="s">
        <v>202</v>
      </c>
      <c r="G76" s="39" t="s">
        <v>183</v>
      </c>
      <c r="H76" s="39"/>
    </row>
    <row r="77" spans="1:8" x14ac:dyDescent="0.25">
      <c r="A77" s="39">
        <v>1018302</v>
      </c>
      <c r="B77" s="39">
        <v>1018302</v>
      </c>
      <c r="C77" s="40" t="s">
        <v>204</v>
      </c>
      <c r="D77" s="40" t="s">
        <v>81</v>
      </c>
      <c r="E77" s="40" t="s">
        <v>216</v>
      </c>
      <c r="F77" s="40" t="s">
        <v>202</v>
      </c>
      <c r="G77" s="39" t="s">
        <v>183</v>
      </c>
      <c r="H77" s="39"/>
    </row>
    <row r="78" spans="1:8" ht="30" x14ac:dyDescent="0.25">
      <c r="A78" s="39">
        <v>1031547</v>
      </c>
      <c r="B78" s="39">
        <v>1031547</v>
      </c>
      <c r="C78" s="40" t="s">
        <v>204</v>
      </c>
      <c r="D78" s="40" t="s">
        <v>34</v>
      </c>
      <c r="E78" s="40" t="s">
        <v>245</v>
      </c>
      <c r="F78" s="40" t="s">
        <v>198</v>
      </c>
      <c r="G78" s="39" t="s">
        <v>183</v>
      </c>
      <c r="H78" s="39"/>
    </row>
    <row r="79" spans="1:8" ht="30" x14ac:dyDescent="0.25">
      <c r="A79" s="39">
        <v>1031548</v>
      </c>
      <c r="B79" s="39">
        <v>1031548</v>
      </c>
      <c r="C79" s="40" t="s">
        <v>204</v>
      </c>
      <c r="D79" s="40" t="s">
        <v>35</v>
      </c>
      <c r="E79" s="40" t="s">
        <v>245</v>
      </c>
      <c r="F79" s="40" t="s">
        <v>198</v>
      </c>
      <c r="G79" s="39" t="s">
        <v>183</v>
      </c>
      <c r="H79" s="39"/>
    </row>
    <row r="80" spans="1:8" ht="30" x14ac:dyDescent="0.25">
      <c r="A80" s="39">
        <v>1031549</v>
      </c>
      <c r="B80" s="39">
        <v>1031549</v>
      </c>
      <c r="C80" s="40" t="s">
        <v>204</v>
      </c>
      <c r="D80" s="40" t="s">
        <v>36</v>
      </c>
      <c r="E80" s="40" t="s">
        <v>245</v>
      </c>
      <c r="F80" s="40" t="s">
        <v>198</v>
      </c>
      <c r="G80" s="39" t="s">
        <v>183</v>
      </c>
      <c r="H80" s="39"/>
    </row>
    <row r="81" spans="1:8" x14ac:dyDescent="0.25">
      <c r="A81" s="39">
        <v>1031550</v>
      </c>
      <c r="B81" s="39">
        <v>1031550</v>
      </c>
      <c r="C81" s="40" t="s">
        <v>204</v>
      </c>
      <c r="D81" s="40" t="s">
        <v>37</v>
      </c>
      <c r="E81" s="40" t="s">
        <v>245</v>
      </c>
      <c r="F81" s="40" t="s">
        <v>198</v>
      </c>
      <c r="G81" s="39" t="s">
        <v>183</v>
      </c>
      <c r="H81" s="39"/>
    </row>
    <row r="82" spans="1:8" ht="30" x14ac:dyDescent="0.25">
      <c r="A82" s="39">
        <v>1031551</v>
      </c>
      <c r="B82" s="39">
        <v>1031551</v>
      </c>
      <c r="C82" s="40" t="s">
        <v>204</v>
      </c>
      <c r="D82" s="40" t="s">
        <v>38</v>
      </c>
      <c r="E82" s="40" t="s">
        <v>245</v>
      </c>
      <c r="F82" s="43" t="s">
        <v>198</v>
      </c>
      <c r="G82" s="39" t="s">
        <v>183</v>
      </c>
      <c r="H82" s="39"/>
    </row>
    <row r="83" spans="1:8" x14ac:dyDescent="0.25">
      <c r="A83" s="37">
        <v>79971</v>
      </c>
      <c r="B83" s="37">
        <v>1032128</v>
      </c>
      <c r="C83" s="36" t="s">
        <v>197</v>
      </c>
      <c r="D83" s="36" t="s">
        <v>290</v>
      </c>
      <c r="E83" s="40" t="s">
        <v>290</v>
      </c>
      <c r="F83" s="40" t="s">
        <v>166</v>
      </c>
      <c r="G83" s="39" t="s">
        <v>183</v>
      </c>
      <c r="H83" s="39"/>
    </row>
    <row r="84" spans="1:8" ht="45" x14ac:dyDescent="0.25">
      <c r="A84" s="31">
        <v>1032873</v>
      </c>
      <c r="B84" s="39">
        <v>1032873</v>
      </c>
      <c r="C84" s="40" t="s">
        <v>165</v>
      </c>
      <c r="D84" s="40" t="s">
        <v>170</v>
      </c>
      <c r="E84" s="40" t="s">
        <v>170</v>
      </c>
      <c r="F84" s="40" t="s">
        <v>166</v>
      </c>
      <c r="G84" s="39" t="s">
        <v>183</v>
      </c>
      <c r="H84" s="39"/>
    </row>
    <row r="85" spans="1:8" x14ac:dyDescent="0.25">
      <c r="A85" s="37">
        <v>2000736</v>
      </c>
      <c r="B85" s="37">
        <v>2000736</v>
      </c>
      <c r="C85" s="36" t="s">
        <v>197</v>
      </c>
      <c r="D85" s="36" t="s">
        <v>86</v>
      </c>
      <c r="E85" s="40" t="s">
        <v>76</v>
      </c>
      <c r="F85" s="40" t="s">
        <v>198</v>
      </c>
      <c r="G85" s="39" t="s">
        <v>183</v>
      </c>
      <c r="H85" s="39"/>
    </row>
    <row r="86" spans="1:8" ht="30" x14ac:dyDescent="0.25">
      <c r="A86" s="39">
        <v>2000905</v>
      </c>
      <c r="B86" s="39">
        <v>2000905</v>
      </c>
      <c r="C86" s="40" t="s">
        <v>204</v>
      </c>
      <c r="D86" s="40" t="s">
        <v>45</v>
      </c>
      <c r="E86" s="40" t="s">
        <v>45</v>
      </c>
      <c r="F86" s="40" t="s">
        <v>166</v>
      </c>
      <c r="G86" s="39" t="s">
        <v>183</v>
      </c>
      <c r="H86" s="39"/>
    </row>
    <row r="87" spans="1:8" x14ac:dyDescent="0.25">
      <c r="A87" s="39">
        <v>65505283448</v>
      </c>
      <c r="B87" s="39" t="s">
        <v>96</v>
      </c>
      <c r="C87" s="40" t="s">
        <v>204</v>
      </c>
      <c r="D87" s="40" t="s">
        <v>246</v>
      </c>
      <c r="E87" s="40" t="s">
        <v>247</v>
      </c>
      <c r="F87" s="40" t="s">
        <v>198</v>
      </c>
      <c r="G87" s="39" t="s">
        <v>183</v>
      </c>
      <c r="H87" s="39"/>
    </row>
    <row r="88" spans="1:8" x14ac:dyDescent="0.25">
      <c r="A88" s="39">
        <v>65505283360</v>
      </c>
      <c r="B88" s="39" t="s">
        <v>97</v>
      </c>
      <c r="C88" s="40" t="s">
        <v>204</v>
      </c>
      <c r="D88" s="40" t="s">
        <v>248</v>
      </c>
      <c r="E88" s="40" t="s">
        <v>247</v>
      </c>
      <c r="F88" s="40" t="s">
        <v>198</v>
      </c>
      <c r="G88" s="39" t="s">
        <v>183</v>
      </c>
      <c r="H88" s="39"/>
    </row>
    <row r="89" spans="1:8" ht="45" x14ac:dyDescent="0.25">
      <c r="A89" s="39">
        <v>1018867</v>
      </c>
      <c r="B89" s="48" t="s">
        <v>93</v>
      </c>
      <c r="C89" s="47" t="s">
        <v>204</v>
      </c>
      <c r="D89" s="47" t="s">
        <v>249</v>
      </c>
      <c r="E89" s="32" t="s">
        <v>250</v>
      </c>
      <c r="F89" s="47" t="s">
        <v>198</v>
      </c>
      <c r="G89" s="48" t="s">
        <v>183</v>
      </c>
      <c r="H89" s="48"/>
    </row>
    <row r="90" spans="1:8" ht="30" x14ac:dyDescent="0.25">
      <c r="A90" s="39">
        <v>2000849</v>
      </c>
      <c r="B90" s="39" t="s">
        <v>174</v>
      </c>
      <c r="C90" s="40" t="s">
        <v>204</v>
      </c>
      <c r="D90" s="40" t="s">
        <v>251</v>
      </c>
      <c r="E90" s="40" t="s">
        <v>252</v>
      </c>
      <c r="F90" s="40" t="s">
        <v>198</v>
      </c>
      <c r="G90" s="39" t="s">
        <v>183</v>
      </c>
      <c r="H90" s="39"/>
    </row>
    <row r="91" spans="1:8" ht="30" x14ac:dyDescent="0.25">
      <c r="A91" s="39">
        <v>2000848</v>
      </c>
      <c r="B91" s="39" t="s">
        <v>173</v>
      </c>
      <c r="C91" s="40" t="s">
        <v>204</v>
      </c>
      <c r="D91" s="40" t="s">
        <v>253</v>
      </c>
      <c r="E91" s="40" t="s">
        <v>252</v>
      </c>
      <c r="F91" s="40" t="s">
        <v>198</v>
      </c>
      <c r="G91" s="39" t="s">
        <v>183</v>
      </c>
      <c r="H91" s="39"/>
    </row>
    <row r="92" spans="1:8" ht="30" x14ac:dyDescent="0.25">
      <c r="A92" s="39">
        <v>65501372909</v>
      </c>
      <c r="B92" s="39" t="s">
        <v>94</v>
      </c>
      <c r="C92" s="40" t="s">
        <v>204</v>
      </c>
      <c r="D92" s="40" t="s">
        <v>95</v>
      </c>
      <c r="E92" s="40" t="s">
        <v>254</v>
      </c>
      <c r="F92" s="40" t="s">
        <v>198</v>
      </c>
      <c r="G92" s="39" t="s">
        <v>183</v>
      </c>
      <c r="H92" s="39"/>
    </row>
    <row r="93" spans="1:8" x14ac:dyDescent="0.25">
      <c r="A93" s="39">
        <v>1031340</v>
      </c>
      <c r="B93" s="39" t="s">
        <v>100</v>
      </c>
      <c r="C93" s="40" t="s">
        <v>204</v>
      </c>
      <c r="D93" s="40" t="s">
        <v>101</v>
      </c>
      <c r="E93" s="40" t="s">
        <v>101</v>
      </c>
      <c r="F93" s="40" t="s">
        <v>198</v>
      </c>
      <c r="G93" s="39" t="s">
        <v>183</v>
      </c>
      <c r="H93" s="39"/>
    </row>
    <row r="94" spans="1:8" x14ac:dyDescent="0.25">
      <c r="A94" s="37">
        <v>2000522</v>
      </c>
      <c r="B94" s="37" t="s">
        <v>47</v>
      </c>
      <c r="C94" s="36" t="s">
        <v>204</v>
      </c>
      <c r="D94" s="36" t="s">
        <v>48</v>
      </c>
      <c r="E94" s="40" t="s">
        <v>48</v>
      </c>
      <c r="F94" s="40" t="s">
        <v>198</v>
      </c>
      <c r="G94" s="39" t="s">
        <v>183</v>
      </c>
      <c r="H94" s="39"/>
    </row>
    <row r="95" spans="1:8" x14ac:dyDescent="0.25">
      <c r="A95" s="39">
        <v>65505283309</v>
      </c>
      <c r="B95" s="39" t="s">
        <v>98</v>
      </c>
      <c r="C95" s="40" t="s">
        <v>204</v>
      </c>
      <c r="D95" s="40" t="s">
        <v>98</v>
      </c>
      <c r="E95" s="40" t="s">
        <v>247</v>
      </c>
      <c r="F95" s="40" t="s">
        <v>198</v>
      </c>
      <c r="G95" s="39" t="s">
        <v>183</v>
      </c>
      <c r="H95" s="39"/>
    </row>
    <row r="96" spans="1:8" x14ac:dyDescent="0.25">
      <c r="A96" s="39">
        <v>2000574</v>
      </c>
      <c r="B96" s="39" t="s">
        <v>172</v>
      </c>
      <c r="C96" s="40" t="s">
        <v>204</v>
      </c>
      <c r="D96" s="40" t="s">
        <v>255</v>
      </c>
      <c r="E96" s="40" t="s">
        <v>172</v>
      </c>
      <c r="F96" s="40" t="s">
        <v>166</v>
      </c>
      <c r="G96" s="39" t="s">
        <v>183</v>
      </c>
      <c r="H96" s="39"/>
    </row>
    <row r="97" spans="1:8" x14ac:dyDescent="0.25">
      <c r="A97" s="39">
        <v>2000577</v>
      </c>
      <c r="B97" s="39" t="s">
        <v>172</v>
      </c>
      <c r="C97" s="40" t="s">
        <v>204</v>
      </c>
      <c r="D97" s="40" t="s">
        <v>255</v>
      </c>
      <c r="E97" s="40" t="s">
        <v>172</v>
      </c>
      <c r="F97" s="40" t="s">
        <v>166</v>
      </c>
      <c r="G97" s="39" t="s">
        <v>183</v>
      </c>
      <c r="H97" s="39"/>
    </row>
    <row r="98" spans="1:8" x14ac:dyDescent="0.25">
      <c r="A98" s="39">
        <v>2000575</v>
      </c>
      <c r="B98" s="39" t="s">
        <v>172</v>
      </c>
      <c r="C98" s="40" t="s">
        <v>204</v>
      </c>
      <c r="D98" s="40" t="s">
        <v>255</v>
      </c>
      <c r="E98" s="40" t="s">
        <v>172</v>
      </c>
      <c r="F98" s="40" t="s">
        <v>166</v>
      </c>
      <c r="G98" s="39" t="s">
        <v>183</v>
      </c>
      <c r="H98" s="39"/>
    </row>
    <row r="99" spans="1:8" x14ac:dyDescent="0.25">
      <c r="A99" s="39">
        <v>2000576</v>
      </c>
      <c r="B99" s="39" t="s">
        <v>172</v>
      </c>
      <c r="C99" s="40" t="s">
        <v>204</v>
      </c>
      <c r="D99" s="40" t="s">
        <v>255</v>
      </c>
      <c r="E99" s="40" t="s">
        <v>172</v>
      </c>
      <c r="F99" s="40" t="s">
        <v>166</v>
      </c>
      <c r="G99" s="39" t="s">
        <v>183</v>
      </c>
      <c r="H99" s="40"/>
    </row>
    <row r="100" spans="1:8" ht="45" x14ac:dyDescent="0.25">
      <c r="A100" s="39">
        <v>2000926</v>
      </c>
      <c r="B100" s="39" t="s">
        <v>256</v>
      </c>
      <c r="C100" s="40" t="s">
        <v>204</v>
      </c>
      <c r="D100" s="40" t="s">
        <v>257</v>
      </c>
      <c r="E100" s="40" t="s">
        <v>258</v>
      </c>
      <c r="F100" s="40" t="s">
        <v>259</v>
      </c>
      <c r="G100" s="39" t="s">
        <v>183</v>
      </c>
      <c r="H100" s="39"/>
    </row>
    <row r="101" spans="1:8" ht="30" x14ac:dyDescent="0.25">
      <c r="A101" s="39">
        <v>2000928</v>
      </c>
      <c r="B101" s="39" t="s">
        <v>57</v>
      </c>
      <c r="C101" s="40" t="s">
        <v>204</v>
      </c>
      <c r="D101" s="40" t="s">
        <v>260</v>
      </c>
      <c r="E101" s="40" t="s">
        <v>261</v>
      </c>
      <c r="F101" s="40" t="s">
        <v>166</v>
      </c>
      <c r="G101" s="39" t="s">
        <v>183</v>
      </c>
      <c r="H101" s="39"/>
    </row>
    <row r="102" spans="1:8" ht="45" x14ac:dyDescent="0.25">
      <c r="A102" s="39">
        <v>2000927</v>
      </c>
      <c r="B102" s="39" t="s">
        <v>56</v>
      </c>
      <c r="C102" s="40" t="s">
        <v>204</v>
      </c>
      <c r="D102" s="40" t="s">
        <v>262</v>
      </c>
      <c r="E102" s="40" t="s">
        <v>263</v>
      </c>
      <c r="F102" s="40" t="s">
        <v>166</v>
      </c>
      <c r="G102" s="39" t="s">
        <v>183</v>
      </c>
      <c r="H102" s="39"/>
    </row>
    <row r="103" spans="1:8" ht="30" x14ac:dyDescent="0.25">
      <c r="A103" s="39">
        <v>65505569851</v>
      </c>
      <c r="B103" s="39" t="s">
        <v>146</v>
      </c>
      <c r="C103" s="40" t="s">
        <v>204</v>
      </c>
      <c r="D103" s="40" t="s">
        <v>168</v>
      </c>
      <c r="E103" s="40" t="s">
        <v>147</v>
      </c>
      <c r="F103" s="40" t="s">
        <v>198</v>
      </c>
      <c r="G103" s="39" t="s">
        <v>183</v>
      </c>
      <c r="H103" s="39"/>
    </row>
    <row r="104" spans="1:8" ht="30" x14ac:dyDescent="0.25">
      <c r="A104" s="39">
        <v>2000534</v>
      </c>
      <c r="B104" s="39" t="s">
        <v>50</v>
      </c>
      <c r="C104" s="40" t="s">
        <v>204</v>
      </c>
      <c r="D104" s="40" t="s">
        <v>51</v>
      </c>
      <c r="E104" s="40" t="s">
        <v>51</v>
      </c>
      <c r="F104" s="40" t="s">
        <v>259</v>
      </c>
      <c r="G104" s="39" t="s">
        <v>183</v>
      </c>
      <c r="H104" s="39"/>
    </row>
    <row r="105" spans="1:8" ht="30" x14ac:dyDescent="0.25">
      <c r="A105" s="39">
        <v>2000470</v>
      </c>
      <c r="B105" s="39" t="s">
        <v>89</v>
      </c>
      <c r="C105" s="40" t="s">
        <v>204</v>
      </c>
      <c r="D105" s="40" t="s">
        <v>264</v>
      </c>
      <c r="E105" s="40" t="s">
        <v>265</v>
      </c>
      <c r="F105" s="40" t="s">
        <v>198</v>
      </c>
      <c r="G105" s="39" t="s">
        <v>183</v>
      </c>
      <c r="H105" s="39"/>
    </row>
    <row r="106" spans="1:8" x14ac:dyDescent="0.25">
      <c r="A106" s="39">
        <v>65505285253</v>
      </c>
      <c r="B106" s="39" t="s">
        <v>99</v>
      </c>
      <c r="C106" s="40" t="s">
        <v>204</v>
      </c>
      <c r="D106" s="40" t="s">
        <v>99</v>
      </c>
      <c r="E106" s="40" t="s">
        <v>247</v>
      </c>
      <c r="F106" s="39" t="s">
        <v>198</v>
      </c>
      <c r="G106" s="39"/>
      <c r="H106" s="40"/>
    </row>
    <row r="107" spans="1:8" ht="30" x14ac:dyDescent="0.25">
      <c r="A107" s="39">
        <v>2000469</v>
      </c>
      <c r="B107" s="39" t="s">
        <v>90</v>
      </c>
      <c r="C107" s="40" t="s">
        <v>204</v>
      </c>
      <c r="D107" s="40" t="s">
        <v>266</v>
      </c>
      <c r="E107" s="40" t="s">
        <v>265</v>
      </c>
      <c r="F107" s="39" t="s">
        <v>198</v>
      </c>
      <c r="G107" s="39" t="s">
        <v>183</v>
      </c>
      <c r="H107" s="40"/>
    </row>
    <row r="108" spans="1:8" x14ac:dyDescent="0.25">
      <c r="A108" s="39">
        <v>2000730</v>
      </c>
      <c r="B108" s="39" t="s">
        <v>54</v>
      </c>
      <c r="C108" s="40" t="s">
        <v>204</v>
      </c>
      <c r="D108" s="40" t="s">
        <v>267</v>
      </c>
      <c r="E108" s="40" t="s">
        <v>55</v>
      </c>
      <c r="F108" s="39" t="s">
        <v>198</v>
      </c>
      <c r="G108" s="39" t="s">
        <v>183</v>
      </c>
      <c r="H108" s="40"/>
    </row>
    <row r="109" spans="1:8" ht="45" x14ac:dyDescent="0.25">
      <c r="A109" s="39">
        <v>2000466</v>
      </c>
      <c r="B109" s="39" t="s">
        <v>91</v>
      </c>
      <c r="C109" s="40" t="s">
        <v>204</v>
      </c>
      <c r="D109" s="40" t="s">
        <v>268</v>
      </c>
      <c r="E109" s="40" t="s">
        <v>265</v>
      </c>
      <c r="F109" s="39" t="s">
        <v>198</v>
      </c>
      <c r="G109" s="39" t="s">
        <v>183</v>
      </c>
      <c r="H109" s="40"/>
    </row>
    <row r="110" spans="1:8" ht="45" x14ac:dyDescent="0.25">
      <c r="A110" s="39">
        <v>2000467</v>
      </c>
      <c r="B110" s="39" t="s">
        <v>92</v>
      </c>
      <c r="C110" s="40" t="s">
        <v>204</v>
      </c>
      <c r="D110" s="40" t="s">
        <v>269</v>
      </c>
      <c r="E110" s="40" t="s">
        <v>265</v>
      </c>
      <c r="F110" s="39" t="s">
        <v>198</v>
      </c>
      <c r="G110" s="39" t="s">
        <v>183</v>
      </c>
      <c r="H110" s="40"/>
    </row>
    <row r="111" spans="1:8" ht="30" x14ac:dyDescent="0.25">
      <c r="A111" s="39">
        <v>2001050</v>
      </c>
      <c r="B111" s="39" t="s">
        <v>177</v>
      </c>
      <c r="C111" s="40" t="s">
        <v>204</v>
      </c>
      <c r="D111" s="40" t="s">
        <v>270</v>
      </c>
      <c r="E111" s="40" t="s">
        <v>271</v>
      </c>
      <c r="F111" s="39" t="s">
        <v>198</v>
      </c>
      <c r="G111" s="39" t="s">
        <v>183</v>
      </c>
      <c r="H111" s="40"/>
    </row>
    <row r="112" spans="1:8" ht="30" x14ac:dyDescent="0.25">
      <c r="A112" s="39">
        <v>2001049</v>
      </c>
      <c r="B112" s="39" t="s">
        <v>176</v>
      </c>
      <c r="C112" s="40" t="s">
        <v>204</v>
      </c>
      <c r="D112" s="40" t="s">
        <v>272</v>
      </c>
      <c r="E112" s="40" t="s">
        <v>271</v>
      </c>
      <c r="F112" s="39" t="s">
        <v>198</v>
      </c>
      <c r="G112" s="39" t="s">
        <v>183</v>
      </c>
      <c r="H112" s="40"/>
    </row>
    <row r="113" spans="1:8" x14ac:dyDescent="0.25">
      <c r="A113" s="39">
        <v>147491</v>
      </c>
      <c r="B113" s="39" t="s">
        <v>297</v>
      </c>
      <c r="C113" s="40" t="s">
        <v>204</v>
      </c>
      <c r="D113" s="40" t="s">
        <v>298</v>
      </c>
      <c r="E113" s="40" t="s">
        <v>299</v>
      </c>
      <c r="F113" s="39" t="s">
        <v>297</v>
      </c>
      <c r="G113" s="39" t="s">
        <v>183</v>
      </c>
      <c r="H113" s="40"/>
    </row>
    <row r="114" spans="1:8" x14ac:dyDescent="0.25">
      <c r="A114" s="39">
        <v>147492</v>
      </c>
      <c r="B114" s="39" t="s">
        <v>297</v>
      </c>
      <c r="C114" s="40" t="s">
        <v>204</v>
      </c>
      <c r="D114" s="40" t="s">
        <v>300</v>
      </c>
      <c r="E114" s="40" t="s">
        <v>299</v>
      </c>
      <c r="F114" s="39" t="s">
        <v>297</v>
      </c>
      <c r="G114" s="39" t="s">
        <v>183</v>
      </c>
      <c r="H114" s="40"/>
    </row>
    <row r="115" spans="1:8" x14ac:dyDescent="0.25">
      <c r="A115" s="39">
        <v>159246</v>
      </c>
      <c r="B115" s="39" t="s">
        <v>297</v>
      </c>
      <c r="C115" s="40" t="s">
        <v>204</v>
      </c>
      <c r="D115" s="40" t="s">
        <v>301</v>
      </c>
      <c r="E115" s="40" t="s">
        <v>299</v>
      </c>
      <c r="F115" s="40" t="s">
        <v>297</v>
      </c>
      <c r="G115" s="39" t="s">
        <v>183</v>
      </c>
      <c r="H115" s="39"/>
    </row>
    <row r="116" spans="1:8" ht="30" x14ac:dyDescent="0.25">
      <c r="A116" s="39">
        <v>1010401</v>
      </c>
      <c r="B116" s="39" t="s">
        <v>297</v>
      </c>
      <c r="C116" s="40" t="s">
        <v>204</v>
      </c>
      <c r="D116" s="40" t="s">
        <v>302</v>
      </c>
      <c r="E116" s="40" t="s">
        <v>299</v>
      </c>
      <c r="F116" s="40" t="s">
        <v>297</v>
      </c>
      <c r="G116" s="39" t="s">
        <v>183</v>
      </c>
      <c r="H116" s="39"/>
    </row>
    <row r="117" spans="1:8" x14ac:dyDescent="0.25">
      <c r="A117" s="39">
        <v>65503562246</v>
      </c>
      <c r="B117" s="39" t="s">
        <v>58</v>
      </c>
      <c r="C117" s="40" t="s">
        <v>204</v>
      </c>
      <c r="D117" s="40" t="s">
        <v>59</v>
      </c>
      <c r="E117" s="40" t="s">
        <v>59</v>
      </c>
      <c r="F117" s="40" t="s">
        <v>198</v>
      </c>
      <c r="G117" s="39" t="s">
        <v>183</v>
      </c>
      <c r="H117" s="39"/>
    </row>
    <row r="118" spans="1:8" ht="30" x14ac:dyDescent="0.25">
      <c r="A118" s="39">
        <v>1031341</v>
      </c>
      <c r="B118" s="39" t="s">
        <v>175</v>
      </c>
      <c r="C118" s="40" t="s">
        <v>204</v>
      </c>
      <c r="D118" s="40" t="s">
        <v>148</v>
      </c>
      <c r="E118" s="40" t="s">
        <v>148</v>
      </c>
      <c r="F118" s="40" t="s">
        <v>198</v>
      </c>
      <c r="G118" s="39" t="s">
        <v>183</v>
      </c>
      <c r="H118" s="39"/>
    </row>
    <row r="119" spans="1:8" ht="30" x14ac:dyDescent="0.25">
      <c r="A119" s="39">
        <v>2100</v>
      </c>
      <c r="B119" s="39">
        <v>2100</v>
      </c>
      <c r="C119" s="40" t="s">
        <v>204</v>
      </c>
      <c r="D119" s="40" t="s">
        <v>291</v>
      </c>
      <c r="E119" s="40" t="s">
        <v>292</v>
      </c>
      <c r="F119" s="40" t="s">
        <v>293</v>
      </c>
      <c r="G119" s="39" t="s">
        <v>183</v>
      </c>
      <c r="H119" s="39"/>
    </row>
    <row r="120" spans="1:8" x14ac:dyDescent="0.25">
      <c r="A120" s="39">
        <v>1036691</v>
      </c>
      <c r="B120" s="39" t="s">
        <v>311</v>
      </c>
      <c r="C120" s="40" t="s">
        <v>204</v>
      </c>
      <c r="D120" s="40" t="s">
        <v>311</v>
      </c>
      <c r="E120" s="40" t="s">
        <v>311</v>
      </c>
      <c r="F120" s="40" t="s">
        <v>307</v>
      </c>
      <c r="G120" s="39" t="s">
        <v>183</v>
      </c>
      <c r="H120" s="39"/>
    </row>
    <row r="121" spans="1:8" ht="30" x14ac:dyDescent="0.25">
      <c r="A121" s="42">
        <v>1037090</v>
      </c>
      <c r="B121" s="42" t="s">
        <v>303</v>
      </c>
      <c r="C121" s="41" t="s">
        <v>204</v>
      </c>
      <c r="D121" s="42" t="s">
        <v>309</v>
      </c>
      <c r="E121" s="42" t="s">
        <v>309</v>
      </c>
      <c r="F121" s="41" t="s">
        <v>166</v>
      </c>
      <c r="G121" s="42" t="s">
        <v>183</v>
      </c>
      <c r="H121" s="42"/>
    </row>
    <row r="122" spans="1:8" ht="30" x14ac:dyDescent="0.25">
      <c r="A122" s="42">
        <v>65501902345</v>
      </c>
      <c r="B122" s="42" t="s">
        <v>304</v>
      </c>
      <c r="C122" s="41" t="s">
        <v>204</v>
      </c>
      <c r="D122" s="42" t="s">
        <v>310</v>
      </c>
      <c r="E122" s="42" t="s">
        <v>310</v>
      </c>
      <c r="F122" s="41" t="s">
        <v>166</v>
      </c>
      <c r="G122" s="42" t="s">
        <v>183</v>
      </c>
      <c r="H122" s="42"/>
    </row>
    <row r="123" spans="1:8" ht="30" x14ac:dyDescent="0.25">
      <c r="A123" s="42">
        <v>1037087</v>
      </c>
      <c r="B123" s="42" t="s">
        <v>305</v>
      </c>
      <c r="C123" s="41" t="s">
        <v>204</v>
      </c>
      <c r="D123" s="42" t="s">
        <v>308</v>
      </c>
      <c r="E123" s="42" t="s">
        <v>308</v>
      </c>
      <c r="F123" s="41" t="s">
        <v>166</v>
      </c>
      <c r="G123" s="42" t="s">
        <v>183</v>
      </c>
      <c r="H123" s="42"/>
    </row>
    <row r="124" spans="1:8" ht="45" x14ac:dyDescent="0.25">
      <c r="A124" s="42">
        <v>1036723</v>
      </c>
      <c r="B124" s="42" t="s">
        <v>312</v>
      </c>
      <c r="C124" s="41" t="s">
        <v>165</v>
      </c>
      <c r="D124" s="49" t="s">
        <v>314</v>
      </c>
      <c r="E124" s="49" t="s">
        <v>314</v>
      </c>
      <c r="F124" s="41" t="s">
        <v>259</v>
      </c>
      <c r="G124" s="42" t="s">
        <v>183</v>
      </c>
      <c r="H124" s="42"/>
    </row>
    <row r="125" spans="1:8" ht="45" x14ac:dyDescent="0.25">
      <c r="A125" s="42">
        <v>1036724</v>
      </c>
      <c r="B125" s="42" t="s">
        <v>313</v>
      </c>
      <c r="C125" s="41" t="s">
        <v>165</v>
      </c>
      <c r="D125" s="49" t="s">
        <v>315</v>
      </c>
      <c r="E125" s="49" t="s">
        <v>315</v>
      </c>
      <c r="F125" s="41" t="s">
        <v>307</v>
      </c>
      <c r="G125" s="42" t="s">
        <v>183</v>
      </c>
      <c r="H125" s="42"/>
    </row>
    <row r="126" spans="1:8" ht="30" x14ac:dyDescent="0.25">
      <c r="A126" s="39">
        <v>65508989338</v>
      </c>
      <c r="B126" s="39" t="s">
        <v>318</v>
      </c>
      <c r="C126" s="41" t="s">
        <v>165</v>
      </c>
      <c r="D126" s="40" t="s">
        <v>316</v>
      </c>
      <c r="E126" s="40" t="s">
        <v>316</v>
      </c>
      <c r="F126" s="41" t="s">
        <v>307</v>
      </c>
      <c r="G126" s="39" t="s">
        <v>183</v>
      </c>
      <c r="H126" s="39"/>
    </row>
    <row r="127" spans="1:8" x14ac:dyDescent="0.25">
      <c r="A127" s="52">
        <v>1037923</v>
      </c>
      <c r="B127" s="52" t="s">
        <v>320</v>
      </c>
      <c r="C127" s="52" t="s">
        <v>165</v>
      </c>
      <c r="D127" s="52" t="s">
        <v>323</v>
      </c>
      <c r="E127" s="52" t="s">
        <v>311</v>
      </c>
      <c r="F127" s="52" t="s">
        <v>307</v>
      </c>
      <c r="G127" s="52" t="s">
        <v>183</v>
      </c>
      <c r="H127" s="52"/>
    </row>
    <row r="128" spans="1:8" x14ac:dyDescent="0.25">
      <c r="A128" s="52">
        <v>1037925</v>
      </c>
      <c r="B128" s="52" t="s">
        <v>321</v>
      </c>
      <c r="C128" s="52" t="s">
        <v>165</v>
      </c>
      <c r="D128" s="52" t="s">
        <v>324</v>
      </c>
      <c r="E128" s="52" t="s">
        <v>311</v>
      </c>
      <c r="F128" s="52" t="s">
        <v>307</v>
      </c>
      <c r="G128" s="52" t="s">
        <v>183</v>
      </c>
      <c r="H128" s="52"/>
    </row>
    <row r="129" spans="1:8" x14ac:dyDescent="0.25">
      <c r="A129" s="52">
        <v>1037924</v>
      </c>
      <c r="B129" s="52" t="s">
        <v>322</v>
      </c>
      <c r="C129" s="52" t="s">
        <v>165</v>
      </c>
      <c r="D129" s="52" t="s">
        <v>325</v>
      </c>
      <c r="E129" s="52" t="s">
        <v>311</v>
      </c>
      <c r="F129" s="52" t="s">
        <v>307</v>
      </c>
      <c r="G129" s="52" t="s">
        <v>183</v>
      </c>
      <c r="H129" s="52"/>
    </row>
    <row r="130" spans="1:8" x14ac:dyDescent="0.25">
      <c r="A130" s="52">
        <v>65509560409</v>
      </c>
      <c r="B130" s="52" t="s">
        <v>349</v>
      </c>
      <c r="C130" s="52" t="s">
        <v>165</v>
      </c>
      <c r="D130" s="52" t="s">
        <v>349</v>
      </c>
      <c r="E130" s="52" t="s">
        <v>349</v>
      </c>
      <c r="F130" s="52" t="s">
        <v>307</v>
      </c>
      <c r="G130" s="52" t="s">
        <v>183</v>
      </c>
      <c r="H130" s="52"/>
    </row>
    <row r="131" spans="1:8" x14ac:dyDescent="0.25">
      <c r="A131" s="52">
        <v>65509560426</v>
      </c>
      <c r="B131" s="52" t="s">
        <v>350</v>
      </c>
      <c r="C131" s="52" t="s">
        <v>165</v>
      </c>
      <c r="D131" s="52" t="s">
        <v>350</v>
      </c>
      <c r="E131" s="52" t="s">
        <v>350</v>
      </c>
      <c r="F131" s="52" t="s">
        <v>307</v>
      </c>
      <c r="G131" s="52" t="s">
        <v>183</v>
      </c>
      <c r="H131" s="52"/>
    </row>
    <row r="132" spans="1:8" x14ac:dyDescent="0.25">
      <c r="A132" s="52">
        <v>65509560457</v>
      </c>
      <c r="B132" s="52" t="s">
        <v>351</v>
      </c>
      <c r="C132" s="52" t="s">
        <v>165</v>
      </c>
      <c r="D132" s="52" t="s">
        <v>351</v>
      </c>
      <c r="E132" s="52" t="s">
        <v>351</v>
      </c>
      <c r="F132" s="52" t="s">
        <v>307</v>
      </c>
      <c r="G132" s="52" t="s">
        <v>183</v>
      </c>
      <c r="H132" s="52"/>
    </row>
    <row r="133" spans="1:8" x14ac:dyDescent="0.25">
      <c r="A133" s="52">
        <v>65509560443</v>
      </c>
      <c r="B133" s="52" t="s">
        <v>352</v>
      </c>
      <c r="C133" s="52" t="s">
        <v>165</v>
      </c>
      <c r="D133" s="52" t="s">
        <v>352</v>
      </c>
      <c r="E133" s="52" t="s">
        <v>352</v>
      </c>
      <c r="F133" s="52" t="s">
        <v>307</v>
      </c>
      <c r="G133" s="52" t="s">
        <v>183</v>
      </c>
      <c r="H133" s="52"/>
    </row>
    <row r="134" spans="1:8" x14ac:dyDescent="0.25">
      <c r="A134" s="52"/>
      <c r="B134" s="52"/>
      <c r="C134" s="52"/>
      <c r="D134" s="52"/>
      <c r="E134" s="52"/>
      <c r="F134" s="52"/>
      <c r="G134" s="52"/>
      <c r="H134" s="52"/>
    </row>
  </sheetData>
  <mergeCells count="7">
    <mergeCell ref="G2:H2"/>
    <mergeCell ref="D2:D3"/>
    <mergeCell ref="E2:E3"/>
    <mergeCell ref="F2:F3"/>
    <mergeCell ref="A2:A3"/>
    <mergeCell ref="B2:B3"/>
    <mergeCell ref="C2:C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G4"/>
  <sheetViews>
    <sheetView workbookViewId="0">
      <selection activeCell="B2" sqref="B2"/>
    </sheetView>
  </sheetViews>
  <sheetFormatPr baseColWidth="10" defaultRowHeight="15" x14ac:dyDescent="0.25"/>
  <cols>
    <col min="1" max="1" width="13" bestFit="1" customWidth="1"/>
    <col min="2" max="2" width="49.140625" bestFit="1" customWidth="1"/>
  </cols>
  <sheetData>
    <row r="1" spans="1:7" ht="14.25" customHeight="1" x14ac:dyDescent="0.25">
      <c r="A1" s="8" t="s">
        <v>184</v>
      </c>
      <c r="B1" s="26" t="s">
        <v>185</v>
      </c>
      <c r="D1" s="8" t="s">
        <v>273</v>
      </c>
      <c r="E1" s="8" t="s">
        <v>276</v>
      </c>
      <c r="F1" s="8" t="s">
        <v>274</v>
      </c>
      <c r="G1" s="8" t="s">
        <v>275</v>
      </c>
    </row>
    <row r="2" spans="1:7" x14ac:dyDescent="0.25">
      <c r="A2" t="s">
        <v>186</v>
      </c>
      <c r="B2" s="27" t="s">
        <v>296</v>
      </c>
      <c r="D2" t="s">
        <v>88</v>
      </c>
      <c r="E2" t="s">
        <v>277</v>
      </c>
      <c r="F2" t="s">
        <v>183</v>
      </c>
      <c r="G2" t="s">
        <v>183</v>
      </c>
    </row>
    <row r="3" spans="1:7" x14ac:dyDescent="0.25">
      <c r="A3" t="s">
        <v>187</v>
      </c>
      <c r="B3" s="27" t="s">
        <v>295</v>
      </c>
      <c r="D3" t="s">
        <v>87</v>
      </c>
      <c r="E3" t="s">
        <v>278</v>
      </c>
      <c r="F3" t="s">
        <v>183</v>
      </c>
      <c r="G3" t="s">
        <v>183</v>
      </c>
    </row>
    <row r="4" spans="1:7" x14ac:dyDescent="0.25">
      <c r="D4" t="s">
        <v>105</v>
      </c>
      <c r="E4" t="s">
        <v>294</v>
      </c>
      <c r="F4" t="s">
        <v>183</v>
      </c>
      <c r="G4" t="s">
        <v>183</v>
      </c>
    </row>
  </sheetData>
  <hyperlinks>
    <hyperlink ref="B3" r:id="rId1" display="\\180.2.159.233\Operaciones\Operativa\CONTRATOS DEFINITIVOS.xlsx" xr:uid="{00000000-0004-0000-0100-000000000000}"/>
    <hyperlink ref="B2" r:id="rId2" display="\\180.2.159.233\Operaciones\Operativa\CONTRATOS DEFINITIVOS.xlsx" xr:uid="{00000000-0004-0000-0100-000001000000}"/>
  </hyperlinks>
  <pageMargins left="0.7" right="0.7" top="0.75" bottom="0.75" header="0.3" footer="0.3"/>
  <pageSetup orientation="portrait"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5" filterMode="1"/>
  <dimension ref="A1:F51"/>
  <sheetViews>
    <sheetView workbookViewId="0">
      <selection sqref="A1:F998"/>
    </sheetView>
  </sheetViews>
  <sheetFormatPr baseColWidth="10" defaultRowHeight="15" x14ac:dyDescent="0.25"/>
  <cols>
    <col min="3" max="3" width="15.85546875" bestFit="1" customWidth="1"/>
  </cols>
  <sheetData>
    <row r="1" spans="1:6" x14ac:dyDescent="0.25">
      <c r="A1" t="s">
        <v>23</v>
      </c>
      <c r="B1" t="s">
        <v>106</v>
      </c>
      <c r="C1" t="s">
        <v>107</v>
      </c>
      <c r="D1" t="s">
        <v>108</v>
      </c>
      <c r="E1" t="s">
        <v>109</v>
      </c>
      <c r="F1" t="s">
        <v>145</v>
      </c>
    </row>
    <row r="2" spans="1:6" x14ac:dyDescent="0.25">
      <c r="A2">
        <v>156622</v>
      </c>
      <c r="B2">
        <v>203705476.38309199</v>
      </c>
      <c r="C2">
        <v>58</v>
      </c>
      <c r="D2" t="s">
        <v>39</v>
      </c>
      <c r="E2" t="s">
        <v>39</v>
      </c>
      <c r="F2">
        <v>0</v>
      </c>
    </row>
    <row r="3" spans="1:6" x14ac:dyDescent="0.25">
      <c r="A3">
        <v>1036691</v>
      </c>
      <c r="B3">
        <v>981466.69845200004</v>
      </c>
      <c r="C3" t="s">
        <v>311</v>
      </c>
      <c r="D3" t="s">
        <v>311</v>
      </c>
      <c r="E3" t="s">
        <v>311</v>
      </c>
      <c r="F3">
        <v>0</v>
      </c>
    </row>
    <row r="4" spans="1:6" hidden="1" x14ac:dyDescent="0.25">
      <c r="A4">
        <v>2000206</v>
      </c>
      <c r="B4">
        <v>0</v>
      </c>
      <c r="C4">
        <v>116</v>
      </c>
      <c r="D4" t="s">
        <v>220</v>
      </c>
      <c r="E4" t="s">
        <v>221</v>
      </c>
      <c r="F4">
        <v>0</v>
      </c>
    </row>
    <row r="5" spans="1:6" hidden="1" x14ac:dyDescent="0.25">
      <c r="A5">
        <v>2000205</v>
      </c>
      <c r="B5">
        <v>0</v>
      </c>
      <c r="C5">
        <v>117</v>
      </c>
      <c r="D5" t="s">
        <v>222</v>
      </c>
      <c r="E5" t="s">
        <v>221</v>
      </c>
      <c r="F5">
        <v>0</v>
      </c>
    </row>
    <row r="6" spans="1:6" x14ac:dyDescent="0.25">
      <c r="A6">
        <v>1013187</v>
      </c>
      <c r="B6">
        <v>93135769.234126002</v>
      </c>
      <c r="C6">
        <v>127</v>
      </c>
      <c r="D6" t="s">
        <v>43</v>
      </c>
      <c r="E6" t="s">
        <v>236</v>
      </c>
      <c r="F6">
        <v>0</v>
      </c>
    </row>
    <row r="7" spans="1:6" hidden="1" x14ac:dyDescent="0.25">
      <c r="A7">
        <v>2000863</v>
      </c>
      <c r="B7">
        <v>0</v>
      </c>
      <c r="C7">
        <v>2000863</v>
      </c>
      <c r="D7" t="s">
        <v>44</v>
      </c>
      <c r="E7" t="s">
        <v>221</v>
      </c>
      <c r="F7">
        <v>0</v>
      </c>
    </row>
    <row r="8" spans="1:6" x14ac:dyDescent="0.25">
      <c r="A8">
        <v>2000905</v>
      </c>
      <c r="B8">
        <v>570670743.00125206</v>
      </c>
      <c r="C8">
        <v>2000905</v>
      </c>
      <c r="D8" t="s">
        <v>45</v>
      </c>
      <c r="E8" t="s">
        <v>45</v>
      </c>
      <c r="F8">
        <v>0</v>
      </c>
    </row>
    <row r="9" spans="1:6" x14ac:dyDescent="0.25">
      <c r="A9">
        <v>2000574</v>
      </c>
      <c r="B9">
        <v>6247804.5492439996</v>
      </c>
      <c r="C9" t="s">
        <v>172</v>
      </c>
      <c r="D9" t="s">
        <v>255</v>
      </c>
      <c r="E9" t="s">
        <v>172</v>
      </c>
      <c r="F9">
        <v>0</v>
      </c>
    </row>
    <row r="10" spans="1:6" x14ac:dyDescent="0.25">
      <c r="A10">
        <v>2000575</v>
      </c>
      <c r="B10">
        <v>27603079.142901</v>
      </c>
      <c r="C10" t="s">
        <v>172</v>
      </c>
      <c r="D10" t="s">
        <v>255</v>
      </c>
      <c r="E10" t="s">
        <v>172</v>
      </c>
      <c r="F10">
        <v>0</v>
      </c>
    </row>
    <row r="11" spans="1:6" x14ac:dyDescent="0.25">
      <c r="A11">
        <v>2000576</v>
      </c>
      <c r="B11">
        <v>7847433.3837179998</v>
      </c>
      <c r="C11" t="s">
        <v>172</v>
      </c>
      <c r="D11" t="s">
        <v>255</v>
      </c>
      <c r="E11" t="s">
        <v>172</v>
      </c>
      <c r="F11">
        <v>0</v>
      </c>
    </row>
    <row r="12" spans="1:6" x14ac:dyDescent="0.25">
      <c r="A12">
        <v>2000577</v>
      </c>
      <c r="B12">
        <v>61534022.634461001</v>
      </c>
      <c r="C12" t="s">
        <v>172</v>
      </c>
      <c r="D12" t="s">
        <v>255</v>
      </c>
      <c r="E12" t="s">
        <v>172</v>
      </c>
      <c r="F12">
        <v>0</v>
      </c>
    </row>
    <row r="13" spans="1:6" x14ac:dyDescent="0.25">
      <c r="A13">
        <v>65503691935</v>
      </c>
      <c r="B13">
        <v>14666173.122264</v>
      </c>
      <c r="C13" t="s">
        <v>49</v>
      </c>
      <c r="D13" t="s">
        <v>49</v>
      </c>
      <c r="E13" t="s">
        <v>49</v>
      </c>
      <c r="F13">
        <v>0</v>
      </c>
    </row>
    <row r="14" spans="1:6" x14ac:dyDescent="0.25">
      <c r="A14">
        <v>2000534</v>
      </c>
      <c r="B14">
        <v>437.32162499999998</v>
      </c>
      <c r="C14" t="s">
        <v>50</v>
      </c>
      <c r="D14" t="s">
        <v>51</v>
      </c>
      <c r="E14" t="s">
        <v>51</v>
      </c>
      <c r="F14">
        <v>0</v>
      </c>
    </row>
    <row r="15" spans="1:6" x14ac:dyDescent="0.25">
      <c r="A15">
        <v>65507430562</v>
      </c>
      <c r="B15">
        <v>219370869.39074799</v>
      </c>
      <c r="C15" t="s">
        <v>242</v>
      </c>
      <c r="D15" t="s">
        <v>243</v>
      </c>
      <c r="E15" t="s">
        <v>243</v>
      </c>
      <c r="F15">
        <v>0</v>
      </c>
    </row>
    <row r="16" spans="1:6" x14ac:dyDescent="0.25">
      <c r="A16">
        <v>2000597</v>
      </c>
      <c r="B16">
        <v>23370.467639999999</v>
      </c>
      <c r="C16" t="s">
        <v>306</v>
      </c>
      <c r="F16">
        <v>0</v>
      </c>
    </row>
    <row r="17" spans="1:6" x14ac:dyDescent="0.25">
      <c r="A17">
        <v>2000730</v>
      </c>
      <c r="B17">
        <v>4910789.4843149995</v>
      </c>
      <c r="C17" t="s">
        <v>54</v>
      </c>
      <c r="D17" t="s">
        <v>267</v>
      </c>
      <c r="E17" t="s">
        <v>55</v>
      </c>
      <c r="F17">
        <v>0</v>
      </c>
    </row>
    <row r="18" spans="1:6" x14ac:dyDescent="0.25">
      <c r="A18">
        <v>2000927</v>
      </c>
      <c r="B18">
        <v>43142832.562044002</v>
      </c>
      <c r="C18" t="s">
        <v>56</v>
      </c>
      <c r="D18" t="s">
        <v>262</v>
      </c>
      <c r="E18" t="s">
        <v>263</v>
      </c>
      <c r="F18">
        <v>0</v>
      </c>
    </row>
    <row r="19" spans="1:6" x14ac:dyDescent="0.25">
      <c r="A19">
        <v>2000928</v>
      </c>
      <c r="B19">
        <v>37093456.768576004</v>
      </c>
      <c r="C19" t="s">
        <v>57</v>
      </c>
      <c r="D19" t="s">
        <v>260</v>
      </c>
      <c r="E19" t="s">
        <v>261</v>
      </c>
      <c r="F19">
        <v>0</v>
      </c>
    </row>
    <row r="20" spans="1:6" hidden="1" x14ac:dyDescent="0.25">
      <c r="A20">
        <v>65507408917</v>
      </c>
      <c r="B20">
        <v>0</v>
      </c>
      <c r="C20">
        <v>37</v>
      </c>
      <c r="D20" t="s">
        <v>18</v>
      </c>
      <c r="E20" t="s">
        <v>209</v>
      </c>
      <c r="F20">
        <v>0</v>
      </c>
    </row>
    <row r="21" spans="1:6" x14ac:dyDescent="0.25">
      <c r="A21">
        <v>1033811</v>
      </c>
      <c r="B21">
        <v>3248841.5216000001</v>
      </c>
      <c r="C21">
        <v>76</v>
      </c>
      <c r="D21" t="s">
        <v>64</v>
      </c>
      <c r="E21" t="s">
        <v>212</v>
      </c>
      <c r="F21">
        <v>0</v>
      </c>
    </row>
    <row r="22" spans="1:6" x14ac:dyDescent="0.25">
      <c r="A22">
        <v>65502425394</v>
      </c>
      <c r="B22">
        <v>104963120.889327</v>
      </c>
      <c r="C22">
        <v>93</v>
      </c>
      <c r="D22" t="s">
        <v>66</v>
      </c>
      <c r="E22" t="s">
        <v>215</v>
      </c>
      <c r="F22">
        <v>0</v>
      </c>
    </row>
    <row r="23" spans="1:6" x14ac:dyDescent="0.25">
      <c r="A23">
        <v>1002455</v>
      </c>
      <c r="B23">
        <v>8938949.8599999994</v>
      </c>
      <c r="C23">
        <v>94</v>
      </c>
      <c r="D23" t="s">
        <v>67</v>
      </c>
      <c r="E23" t="s">
        <v>216</v>
      </c>
      <c r="F23">
        <v>0</v>
      </c>
    </row>
    <row r="24" spans="1:6" x14ac:dyDescent="0.25">
      <c r="A24">
        <v>152965</v>
      </c>
      <c r="B24">
        <v>21394557.376568999</v>
      </c>
      <c r="C24">
        <v>105</v>
      </c>
      <c r="D24" t="s">
        <v>68</v>
      </c>
      <c r="E24" t="s">
        <v>217</v>
      </c>
      <c r="F24">
        <v>0</v>
      </c>
    </row>
    <row r="25" spans="1:6" x14ac:dyDescent="0.25">
      <c r="A25">
        <v>1005849</v>
      </c>
      <c r="B25">
        <v>26196890.727880001</v>
      </c>
      <c r="C25">
        <v>114</v>
      </c>
      <c r="D25" t="s">
        <v>218</v>
      </c>
      <c r="E25" t="s">
        <v>219</v>
      </c>
      <c r="F25">
        <v>0</v>
      </c>
    </row>
    <row r="26" spans="1:6" x14ac:dyDescent="0.25">
      <c r="A26">
        <v>142481</v>
      </c>
      <c r="B26">
        <v>1058388.8999999999</v>
      </c>
      <c r="C26">
        <v>1081</v>
      </c>
      <c r="D26" t="s">
        <v>73</v>
      </c>
      <c r="E26" t="s">
        <v>216</v>
      </c>
      <c r="F26">
        <v>0</v>
      </c>
    </row>
    <row r="27" spans="1:6" x14ac:dyDescent="0.25">
      <c r="A27">
        <v>142482</v>
      </c>
      <c r="B27">
        <v>208796.14</v>
      </c>
      <c r="C27">
        <v>1082</v>
      </c>
      <c r="D27" t="s">
        <v>74</v>
      </c>
      <c r="E27" t="s">
        <v>216</v>
      </c>
      <c r="F27">
        <v>0</v>
      </c>
    </row>
    <row r="28" spans="1:6" hidden="1" x14ac:dyDescent="0.25">
      <c r="A28">
        <v>65507665273</v>
      </c>
      <c r="B28">
        <v>0</v>
      </c>
      <c r="C28">
        <v>1094</v>
      </c>
      <c r="D28" t="s">
        <v>75</v>
      </c>
      <c r="E28" t="s">
        <v>209</v>
      </c>
      <c r="F28">
        <v>0</v>
      </c>
    </row>
    <row r="29" spans="1:6" x14ac:dyDescent="0.25">
      <c r="A29">
        <v>1018014</v>
      </c>
      <c r="B29">
        <v>4309.26</v>
      </c>
      <c r="C29">
        <v>1018014</v>
      </c>
      <c r="D29" t="s">
        <v>79</v>
      </c>
      <c r="E29" t="s">
        <v>79</v>
      </c>
      <c r="F29">
        <v>0</v>
      </c>
    </row>
    <row r="30" spans="1:6" x14ac:dyDescent="0.25">
      <c r="A30">
        <v>1018122</v>
      </c>
      <c r="B30">
        <v>59838.68</v>
      </c>
      <c r="C30">
        <v>1018122</v>
      </c>
      <c r="D30" t="s">
        <v>80</v>
      </c>
      <c r="E30" t="s">
        <v>216</v>
      </c>
      <c r="F30">
        <v>0</v>
      </c>
    </row>
    <row r="31" spans="1:6" x14ac:dyDescent="0.25">
      <c r="A31">
        <v>1018302</v>
      </c>
      <c r="B31">
        <v>2957355.92</v>
      </c>
      <c r="C31">
        <v>1018302</v>
      </c>
      <c r="D31" t="s">
        <v>81</v>
      </c>
      <c r="E31" t="s">
        <v>216</v>
      </c>
      <c r="F31">
        <v>0</v>
      </c>
    </row>
    <row r="32" spans="1:6" x14ac:dyDescent="0.25">
      <c r="A32">
        <v>65502313952</v>
      </c>
      <c r="B32">
        <v>1667338100.6397631</v>
      </c>
      <c r="C32">
        <v>92</v>
      </c>
      <c r="D32" t="s">
        <v>213</v>
      </c>
      <c r="E32" t="s">
        <v>214</v>
      </c>
      <c r="F32">
        <v>0</v>
      </c>
    </row>
    <row r="33" spans="1:6" x14ac:dyDescent="0.25">
      <c r="A33">
        <v>1036724</v>
      </c>
      <c r="B33">
        <v>9398474.0984480008</v>
      </c>
      <c r="C33" t="s">
        <v>313</v>
      </c>
      <c r="D33" t="s">
        <v>315</v>
      </c>
      <c r="E33" t="s">
        <v>315</v>
      </c>
      <c r="F33">
        <v>0</v>
      </c>
    </row>
    <row r="34" spans="1:6" x14ac:dyDescent="0.25">
      <c r="A34">
        <v>65508989338</v>
      </c>
      <c r="B34">
        <v>57461140.273712002</v>
      </c>
      <c r="C34" t="s">
        <v>318</v>
      </c>
      <c r="D34" t="s">
        <v>316</v>
      </c>
      <c r="E34" t="s">
        <v>316</v>
      </c>
      <c r="F34">
        <v>0</v>
      </c>
    </row>
    <row r="35" spans="1:6" x14ac:dyDescent="0.25">
      <c r="A35">
        <v>65507143699</v>
      </c>
      <c r="B35">
        <v>469565.06172900001</v>
      </c>
      <c r="C35" t="s">
        <v>327</v>
      </c>
      <c r="D35" t="s">
        <v>327</v>
      </c>
      <c r="E35" t="s">
        <v>327</v>
      </c>
      <c r="F35">
        <v>0</v>
      </c>
    </row>
    <row r="36" spans="1:6" x14ac:dyDescent="0.25">
      <c r="A36">
        <v>65507143745</v>
      </c>
      <c r="B36">
        <v>296669.94669900002</v>
      </c>
      <c r="C36" t="s">
        <v>328</v>
      </c>
      <c r="D36" t="s">
        <v>328</v>
      </c>
      <c r="E36" t="s">
        <v>328</v>
      </c>
      <c r="F36">
        <v>0</v>
      </c>
    </row>
    <row r="37" spans="1:6" x14ac:dyDescent="0.25">
      <c r="A37">
        <v>65507142173</v>
      </c>
      <c r="B37">
        <v>739470.93246499996</v>
      </c>
      <c r="C37" t="s">
        <v>329</v>
      </c>
      <c r="D37" t="s">
        <v>329</v>
      </c>
      <c r="E37" t="s">
        <v>329</v>
      </c>
      <c r="F37">
        <v>0</v>
      </c>
    </row>
    <row r="38" spans="1:6" x14ac:dyDescent="0.25">
      <c r="A38">
        <v>65507052215</v>
      </c>
      <c r="B38">
        <v>7911653.4124480002</v>
      </c>
      <c r="C38" t="s">
        <v>330</v>
      </c>
      <c r="D38" t="s">
        <v>331</v>
      </c>
      <c r="E38" t="s">
        <v>331</v>
      </c>
      <c r="F38">
        <v>0</v>
      </c>
    </row>
    <row r="39" spans="1:6" x14ac:dyDescent="0.25">
      <c r="A39">
        <v>65507052277</v>
      </c>
      <c r="B39">
        <v>5074705.3529690001</v>
      </c>
      <c r="C39" t="s">
        <v>332</v>
      </c>
      <c r="D39" t="s">
        <v>331</v>
      </c>
      <c r="E39" t="s">
        <v>331</v>
      </c>
      <c r="F39">
        <v>0</v>
      </c>
    </row>
    <row r="40" spans="1:6" x14ac:dyDescent="0.25">
      <c r="A40">
        <v>65507052294</v>
      </c>
      <c r="B40">
        <v>7726026.700096</v>
      </c>
      <c r="C40" t="s">
        <v>333</v>
      </c>
      <c r="D40" t="s">
        <v>331</v>
      </c>
      <c r="E40" t="s">
        <v>331</v>
      </c>
      <c r="F40">
        <v>0</v>
      </c>
    </row>
    <row r="41" spans="1:6" x14ac:dyDescent="0.25">
      <c r="A41">
        <v>1037923</v>
      </c>
      <c r="B41">
        <v>1499134.751252</v>
      </c>
      <c r="C41" t="s">
        <v>320</v>
      </c>
      <c r="D41" t="s">
        <v>320</v>
      </c>
      <c r="E41" t="s">
        <v>320</v>
      </c>
      <c r="F41">
        <v>0</v>
      </c>
    </row>
    <row r="42" spans="1:6" hidden="1" x14ac:dyDescent="0.25">
      <c r="A42">
        <v>1037924</v>
      </c>
      <c r="B42">
        <v>0</v>
      </c>
      <c r="C42" t="s">
        <v>322</v>
      </c>
      <c r="D42" t="s">
        <v>322</v>
      </c>
      <c r="E42" t="s">
        <v>322</v>
      </c>
      <c r="F42">
        <v>0</v>
      </c>
    </row>
    <row r="43" spans="1:6" x14ac:dyDescent="0.25">
      <c r="A43">
        <v>1037925</v>
      </c>
      <c r="B43">
        <v>1531784.5237159999</v>
      </c>
      <c r="C43" t="s">
        <v>321</v>
      </c>
      <c r="D43" t="s">
        <v>321</v>
      </c>
      <c r="E43" t="s">
        <v>321</v>
      </c>
      <c r="F43">
        <v>0</v>
      </c>
    </row>
    <row r="44" spans="1:6" x14ac:dyDescent="0.25">
      <c r="A44">
        <v>65509560409</v>
      </c>
      <c r="B44">
        <v>57344512.107092001</v>
      </c>
      <c r="C44" t="s">
        <v>353</v>
      </c>
      <c r="D44" t="s">
        <v>349</v>
      </c>
      <c r="E44" t="s">
        <v>349</v>
      </c>
      <c r="F44">
        <v>0</v>
      </c>
    </row>
    <row r="45" spans="1:6" x14ac:dyDescent="0.25">
      <c r="A45">
        <v>65509560426</v>
      </c>
      <c r="B45">
        <v>217913.11411600001</v>
      </c>
      <c r="C45" t="s">
        <v>354</v>
      </c>
      <c r="D45" t="s">
        <v>350</v>
      </c>
      <c r="E45" t="s">
        <v>350</v>
      </c>
      <c r="F45">
        <v>0</v>
      </c>
    </row>
    <row r="46" spans="1:6" x14ac:dyDescent="0.25">
      <c r="A46">
        <v>65509560457</v>
      </c>
      <c r="B46">
        <v>1277403.6654079999</v>
      </c>
      <c r="C46" t="s">
        <v>355</v>
      </c>
      <c r="D46" t="s">
        <v>351</v>
      </c>
      <c r="E46" t="s">
        <v>351</v>
      </c>
      <c r="F46">
        <v>0</v>
      </c>
    </row>
    <row r="47" spans="1:6" x14ac:dyDescent="0.25">
      <c r="A47">
        <v>65509560443</v>
      </c>
      <c r="B47">
        <v>594835.91909600003</v>
      </c>
      <c r="C47" t="s">
        <v>356</v>
      </c>
      <c r="D47" t="s">
        <v>352</v>
      </c>
      <c r="E47" t="s">
        <v>352</v>
      </c>
      <c r="F47">
        <v>0</v>
      </c>
    </row>
    <row r="48" spans="1:6" x14ac:dyDescent="0.25">
      <c r="A48">
        <v>1036723</v>
      </c>
      <c r="B48">
        <v>4302568.8086080002</v>
      </c>
      <c r="C48" t="s">
        <v>312</v>
      </c>
      <c r="D48" t="s">
        <v>314</v>
      </c>
      <c r="E48" t="s">
        <v>314</v>
      </c>
      <c r="F48">
        <v>0</v>
      </c>
    </row>
    <row r="49" spans="1:6" hidden="1" x14ac:dyDescent="0.25">
      <c r="A49">
        <v>154702</v>
      </c>
      <c r="B49">
        <v>0</v>
      </c>
      <c r="C49">
        <v>60</v>
      </c>
      <c r="D49" t="s">
        <v>40</v>
      </c>
      <c r="E49" t="s">
        <v>210</v>
      </c>
      <c r="F49">
        <v>1</v>
      </c>
    </row>
    <row r="50" spans="1:6" hidden="1" x14ac:dyDescent="0.25">
      <c r="A50">
        <v>80820</v>
      </c>
      <c r="B50">
        <v>0</v>
      </c>
      <c r="C50">
        <v>63</v>
      </c>
      <c r="D50" t="s">
        <v>211</v>
      </c>
      <c r="E50" t="s">
        <v>210</v>
      </c>
      <c r="F50">
        <v>1</v>
      </c>
    </row>
    <row r="51" spans="1:6" hidden="1" x14ac:dyDescent="0.25">
      <c r="A51">
        <v>1037124</v>
      </c>
      <c r="B51">
        <v>2875696.5890790001</v>
      </c>
      <c r="C51">
        <v>75</v>
      </c>
      <c r="D51" t="s">
        <v>63</v>
      </c>
      <c r="E51" t="s">
        <v>212</v>
      </c>
      <c r="F51">
        <v>1</v>
      </c>
    </row>
  </sheetData>
  <autoFilter ref="A1:F51" xr:uid="{00000000-0001-0000-0800-000000000000}">
    <filterColumn colId="1">
      <customFilters>
        <customFilter operator="greaterThan" val="0"/>
      </customFilters>
    </filterColumn>
    <filterColumn colId="5">
      <filters>
        <filter val="0"/>
      </filters>
    </filterColumn>
  </autoFilter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" filterMode="1"/>
  <dimension ref="A1:F5"/>
  <sheetViews>
    <sheetView workbookViewId="0">
      <selection sqref="A1:F998"/>
    </sheetView>
  </sheetViews>
  <sheetFormatPr baseColWidth="10" defaultRowHeight="15" x14ac:dyDescent="0.25"/>
  <sheetData>
    <row r="1" spans="1:6" x14ac:dyDescent="0.25">
      <c r="A1" t="s">
        <v>23</v>
      </c>
      <c r="B1" t="s">
        <v>106</v>
      </c>
      <c r="C1" t="s">
        <v>107</v>
      </c>
      <c r="D1" t="s">
        <v>108</v>
      </c>
      <c r="E1" t="s">
        <v>109</v>
      </c>
      <c r="F1" t="s">
        <v>145</v>
      </c>
    </row>
    <row r="2" spans="1:6" x14ac:dyDescent="0.25">
      <c r="A2">
        <v>147492</v>
      </c>
      <c r="B2">
        <v>42426821.603606999</v>
      </c>
      <c r="C2" t="s">
        <v>297</v>
      </c>
      <c r="D2" t="s">
        <v>302</v>
      </c>
      <c r="E2" t="s">
        <v>299</v>
      </c>
      <c r="F2">
        <v>0</v>
      </c>
    </row>
    <row r="3" spans="1:6" x14ac:dyDescent="0.25">
      <c r="A3">
        <v>147491</v>
      </c>
      <c r="B3">
        <v>1600297.8591159999</v>
      </c>
      <c r="C3" t="s">
        <v>297</v>
      </c>
      <c r="D3" t="s">
        <v>302</v>
      </c>
      <c r="E3" t="s">
        <v>299</v>
      </c>
      <c r="F3">
        <v>0</v>
      </c>
    </row>
    <row r="4" spans="1:6" x14ac:dyDescent="0.25">
      <c r="A4">
        <v>159246</v>
      </c>
      <c r="B4">
        <v>13674935.246929999</v>
      </c>
      <c r="C4" t="s">
        <v>297</v>
      </c>
      <c r="D4" t="s">
        <v>302</v>
      </c>
      <c r="E4" t="s">
        <v>299</v>
      </c>
      <c r="F4">
        <v>0</v>
      </c>
    </row>
    <row r="5" spans="1:6" x14ac:dyDescent="0.25">
      <c r="A5">
        <v>1010401</v>
      </c>
      <c r="B5">
        <v>52831071.346625999</v>
      </c>
      <c r="C5" t="s">
        <v>297</v>
      </c>
      <c r="D5" t="s">
        <v>302</v>
      </c>
      <c r="E5" t="s">
        <v>299</v>
      </c>
      <c r="F5">
        <v>0</v>
      </c>
    </row>
  </sheetData>
  <autoFilter ref="A1:F5" xr:uid="{00000000-0001-0000-0900-000000000000}">
    <filterColumn colId="1">
      <customFilters>
        <customFilter operator="greaterThan" val="0"/>
      </customFilters>
    </filterColumn>
    <filterColumn colId="5">
      <filters>
        <filter val="0"/>
      </filters>
    </filterColumn>
  </autoFilter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7" filterMode="1"/>
  <dimension ref="A1:F82"/>
  <sheetViews>
    <sheetView workbookViewId="0">
      <selection sqref="A1:F998"/>
    </sheetView>
  </sheetViews>
  <sheetFormatPr baseColWidth="10" defaultRowHeight="15" x14ac:dyDescent="0.25"/>
  <sheetData>
    <row r="1" spans="1:6" x14ac:dyDescent="0.25">
      <c r="A1" t="s">
        <v>23</v>
      </c>
      <c r="B1" t="s">
        <v>106</v>
      </c>
      <c r="C1" t="s">
        <v>107</v>
      </c>
      <c r="D1" t="s">
        <v>108</v>
      </c>
      <c r="E1" t="s">
        <v>109</v>
      </c>
      <c r="F1" t="s">
        <v>145</v>
      </c>
    </row>
    <row r="2" spans="1:6" x14ac:dyDescent="0.25">
      <c r="A2">
        <v>2000467</v>
      </c>
      <c r="B2">
        <v>22901377.689304002</v>
      </c>
      <c r="C2" t="s">
        <v>92</v>
      </c>
      <c r="D2" t="s">
        <v>269</v>
      </c>
      <c r="E2" t="s">
        <v>265</v>
      </c>
      <c r="F2">
        <v>0</v>
      </c>
    </row>
    <row r="3" spans="1:6" x14ac:dyDescent="0.25">
      <c r="A3">
        <v>1018867</v>
      </c>
      <c r="B3">
        <v>29175276.964768</v>
      </c>
      <c r="C3" t="s">
        <v>93</v>
      </c>
      <c r="D3" t="s">
        <v>249</v>
      </c>
      <c r="E3" t="s">
        <v>250</v>
      </c>
      <c r="F3">
        <v>0</v>
      </c>
    </row>
    <row r="4" spans="1:6" x14ac:dyDescent="0.25">
      <c r="A4">
        <v>65501372909</v>
      </c>
      <c r="B4">
        <v>30554888.754117001</v>
      </c>
      <c r="C4" t="s">
        <v>94</v>
      </c>
      <c r="D4" t="s">
        <v>95</v>
      </c>
      <c r="E4" t="s">
        <v>254</v>
      </c>
      <c r="F4">
        <v>0</v>
      </c>
    </row>
    <row r="5" spans="1:6" x14ac:dyDescent="0.25">
      <c r="A5">
        <v>65505285253</v>
      </c>
      <c r="B5">
        <v>257628.98404800001</v>
      </c>
      <c r="C5" t="s">
        <v>99</v>
      </c>
      <c r="D5" t="s">
        <v>99</v>
      </c>
      <c r="E5" t="s">
        <v>247</v>
      </c>
      <c r="F5">
        <v>0</v>
      </c>
    </row>
    <row r="6" spans="1:6" x14ac:dyDescent="0.25">
      <c r="A6">
        <v>1031340</v>
      </c>
      <c r="B6">
        <v>32195624.158808</v>
      </c>
      <c r="C6" t="s">
        <v>100</v>
      </c>
      <c r="D6" t="s">
        <v>101</v>
      </c>
      <c r="E6" t="s">
        <v>101</v>
      </c>
      <c r="F6">
        <v>0</v>
      </c>
    </row>
    <row r="7" spans="1:6" x14ac:dyDescent="0.25">
      <c r="A7">
        <v>2000926</v>
      </c>
      <c r="B7">
        <v>36862014.311584003</v>
      </c>
      <c r="C7" t="s">
        <v>256</v>
      </c>
      <c r="D7" t="s">
        <v>257</v>
      </c>
      <c r="E7" t="s">
        <v>258</v>
      </c>
      <c r="F7">
        <v>0</v>
      </c>
    </row>
    <row r="8" spans="1:6" x14ac:dyDescent="0.25">
      <c r="A8">
        <v>1031341</v>
      </c>
      <c r="B8">
        <v>26358687.108624</v>
      </c>
      <c r="C8" t="s">
        <v>175</v>
      </c>
      <c r="D8" t="s">
        <v>148</v>
      </c>
      <c r="E8" t="s">
        <v>148</v>
      </c>
      <c r="F8">
        <v>0</v>
      </c>
    </row>
    <row r="9" spans="1:6" x14ac:dyDescent="0.25">
      <c r="A9">
        <v>65501902345</v>
      </c>
      <c r="B9">
        <v>29211516.135896001</v>
      </c>
      <c r="C9" t="s">
        <v>304</v>
      </c>
      <c r="D9" t="s">
        <v>310</v>
      </c>
      <c r="E9" t="s">
        <v>310</v>
      </c>
      <c r="F9">
        <v>0</v>
      </c>
    </row>
    <row r="10" spans="1:6" x14ac:dyDescent="0.25">
      <c r="A10">
        <v>1037087</v>
      </c>
      <c r="B10">
        <v>18359.321096</v>
      </c>
      <c r="C10" t="s">
        <v>305</v>
      </c>
      <c r="D10" t="s">
        <v>308</v>
      </c>
      <c r="E10" t="s">
        <v>308</v>
      </c>
      <c r="F10">
        <v>0</v>
      </c>
    </row>
    <row r="11" spans="1:6" x14ac:dyDescent="0.25">
      <c r="A11">
        <v>65502397418</v>
      </c>
      <c r="B11">
        <v>21732632.524448</v>
      </c>
      <c r="C11" t="s">
        <v>344</v>
      </c>
      <c r="D11" t="s">
        <v>346</v>
      </c>
      <c r="E11" t="s">
        <v>346</v>
      </c>
      <c r="F11">
        <v>0</v>
      </c>
    </row>
    <row r="12" spans="1:6" x14ac:dyDescent="0.25">
      <c r="A12">
        <v>65501285111</v>
      </c>
      <c r="B12">
        <v>32732470.33326</v>
      </c>
      <c r="C12" t="s">
        <v>345</v>
      </c>
      <c r="D12" t="s">
        <v>347</v>
      </c>
      <c r="E12" t="s">
        <v>347</v>
      </c>
      <c r="F12">
        <v>0</v>
      </c>
    </row>
    <row r="13" spans="1:6" hidden="1" x14ac:dyDescent="0.25">
      <c r="A13">
        <v>2000466</v>
      </c>
      <c r="B13">
        <v>0</v>
      </c>
      <c r="C13" t="s">
        <v>91</v>
      </c>
      <c r="D13" t="s">
        <v>268</v>
      </c>
      <c r="E13" t="s">
        <v>268</v>
      </c>
      <c r="F13">
        <v>0</v>
      </c>
    </row>
    <row r="14" spans="1:6" x14ac:dyDescent="0.25">
      <c r="A14">
        <v>1033795</v>
      </c>
      <c r="B14">
        <v>11634623.918634001</v>
      </c>
      <c r="C14">
        <v>1033795</v>
      </c>
      <c r="D14" t="s">
        <v>510</v>
      </c>
      <c r="E14" t="s">
        <v>510</v>
      </c>
      <c r="F14">
        <v>0</v>
      </c>
    </row>
    <row r="15" spans="1:6" x14ac:dyDescent="0.25">
      <c r="A15">
        <v>65508881201</v>
      </c>
      <c r="B15">
        <v>1529145.231872</v>
      </c>
      <c r="C15" t="s">
        <v>619</v>
      </c>
      <c r="D15" t="s">
        <v>614</v>
      </c>
      <c r="E15" t="s">
        <v>614</v>
      </c>
      <c r="F15">
        <v>0</v>
      </c>
    </row>
    <row r="16" spans="1:6" x14ac:dyDescent="0.25">
      <c r="A16">
        <v>65508886089</v>
      </c>
      <c r="B16">
        <v>96488725.812631994</v>
      </c>
      <c r="C16" t="s">
        <v>512</v>
      </c>
      <c r="D16" t="s">
        <v>511</v>
      </c>
      <c r="E16" t="s">
        <v>511</v>
      </c>
      <c r="F16">
        <v>0</v>
      </c>
    </row>
    <row r="17" spans="1:6" x14ac:dyDescent="0.25">
      <c r="A17">
        <v>1000003294</v>
      </c>
      <c r="B17">
        <v>2752363.5903360001</v>
      </c>
      <c r="C17">
        <v>1528</v>
      </c>
      <c r="D17" t="s">
        <v>529</v>
      </c>
      <c r="E17" t="s">
        <v>529</v>
      </c>
      <c r="F17">
        <v>0</v>
      </c>
    </row>
    <row r="18" spans="1:6" x14ac:dyDescent="0.25">
      <c r="A18">
        <v>1000003296</v>
      </c>
      <c r="B18">
        <v>29963625.547031999</v>
      </c>
      <c r="C18" t="s">
        <v>519</v>
      </c>
      <c r="D18" t="s">
        <v>531</v>
      </c>
      <c r="E18" t="s">
        <v>531</v>
      </c>
      <c r="F18">
        <v>0</v>
      </c>
    </row>
    <row r="19" spans="1:6" x14ac:dyDescent="0.25">
      <c r="A19">
        <v>1000003300</v>
      </c>
      <c r="B19">
        <v>10765009.061136</v>
      </c>
      <c r="C19" t="s">
        <v>522</v>
      </c>
      <c r="D19" t="s">
        <v>535</v>
      </c>
      <c r="E19" t="s">
        <v>535</v>
      </c>
      <c r="F19">
        <v>0</v>
      </c>
    </row>
    <row r="20" spans="1:6" x14ac:dyDescent="0.25">
      <c r="A20">
        <v>1000003301</v>
      </c>
      <c r="B20">
        <v>21470183.983491998</v>
      </c>
      <c r="C20" t="s">
        <v>523</v>
      </c>
      <c r="D20" t="s">
        <v>536</v>
      </c>
      <c r="E20" t="s">
        <v>536</v>
      </c>
      <c r="F20">
        <v>0</v>
      </c>
    </row>
    <row r="21" spans="1:6" x14ac:dyDescent="0.25">
      <c r="A21">
        <v>1000003305</v>
      </c>
      <c r="B21">
        <v>10526385.828136001</v>
      </c>
      <c r="C21" t="s">
        <v>525</v>
      </c>
      <c r="D21" t="s">
        <v>538</v>
      </c>
      <c r="E21" t="s">
        <v>538</v>
      </c>
      <c r="F21">
        <v>0</v>
      </c>
    </row>
    <row r="22" spans="1:6" x14ac:dyDescent="0.25">
      <c r="A22">
        <v>1000003307</v>
      </c>
      <c r="B22">
        <v>7177.3792359999998</v>
      </c>
      <c r="C22" t="s">
        <v>547</v>
      </c>
      <c r="D22" t="s">
        <v>548</v>
      </c>
      <c r="E22" t="s">
        <v>548</v>
      </c>
      <c r="F22">
        <v>0</v>
      </c>
    </row>
    <row r="23" spans="1:6" hidden="1" x14ac:dyDescent="0.25">
      <c r="A23">
        <v>1000003968</v>
      </c>
      <c r="B23">
        <v>0</v>
      </c>
      <c r="C23" t="s">
        <v>549</v>
      </c>
      <c r="D23" t="s">
        <v>550</v>
      </c>
      <c r="E23" t="s">
        <v>550</v>
      </c>
      <c r="F23">
        <v>0</v>
      </c>
    </row>
    <row r="24" spans="1:6" hidden="1" x14ac:dyDescent="0.25">
      <c r="A24">
        <v>1000003306</v>
      </c>
      <c r="B24">
        <v>0</v>
      </c>
      <c r="C24" t="s">
        <v>620</v>
      </c>
      <c r="D24" t="s">
        <v>621</v>
      </c>
      <c r="E24" t="s">
        <v>621</v>
      </c>
      <c r="F24">
        <v>0</v>
      </c>
    </row>
    <row r="25" spans="1:6" hidden="1" x14ac:dyDescent="0.25">
      <c r="A25">
        <v>2000469</v>
      </c>
      <c r="B25">
        <v>0</v>
      </c>
      <c r="C25" t="s">
        <v>90</v>
      </c>
      <c r="D25" t="s">
        <v>266</v>
      </c>
      <c r="E25" t="s">
        <v>265</v>
      </c>
      <c r="F25">
        <v>1</v>
      </c>
    </row>
    <row r="26" spans="1:6" hidden="1" x14ac:dyDescent="0.25">
      <c r="A26">
        <v>2001050</v>
      </c>
      <c r="B26">
        <v>3958037.0935169999</v>
      </c>
      <c r="C26" t="s">
        <v>177</v>
      </c>
      <c r="D26" t="s">
        <v>270</v>
      </c>
      <c r="E26" t="s">
        <v>271</v>
      </c>
      <c r="F26">
        <v>1</v>
      </c>
    </row>
    <row r="27" spans="1:6" hidden="1" x14ac:dyDescent="0.25">
      <c r="A27">
        <v>1037090</v>
      </c>
      <c r="B27">
        <v>16704197.451416001</v>
      </c>
      <c r="C27" t="s">
        <v>303</v>
      </c>
      <c r="D27" t="s">
        <v>309</v>
      </c>
      <c r="E27" t="s">
        <v>309</v>
      </c>
      <c r="F27">
        <v>1</v>
      </c>
    </row>
    <row r="28" spans="1:6" hidden="1" x14ac:dyDescent="0.25">
      <c r="A28">
        <v>1037118</v>
      </c>
      <c r="B28">
        <v>14737348.621164</v>
      </c>
      <c r="C28" t="s">
        <v>334</v>
      </c>
      <c r="D28" t="s">
        <v>335</v>
      </c>
      <c r="E28" t="s">
        <v>335</v>
      </c>
      <c r="F28">
        <v>1</v>
      </c>
    </row>
    <row r="29" spans="1:6" hidden="1" x14ac:dyDescent="0.25">
      <c r="A29">
        <v>1037086</v>
      </c>
      <c r="B29">
        <v>55433047.280056</v>
      </c>
      <c r="C29" t="s">
        <v>336</v>
      </c>
      <c r="D29" t="s">
        <v>337</v>
      </c>
      <c r="E29" t="s">
        <v>337</v>
      </c>
      <c r="F29">
        <v>1</v>
      </c>
    </row>
    <row r="30" spans="1:6" hidden="1" x14ac:dyDescent="0.25">
      <c r="A30">
        <v>1037113</v>
      </c>
      <c r="B30">
        <v>7989275.5879040007</v>
      </c>
      <c r="C30" t="s">
        <v>338</v>
      </c>
      <c r="D30" t="s">
        <v>339</v>
      </c>
      <c r="E30" t="s">
        <v>339</v>
      </c>
      <c r="F30">
        <v>1</v>
      </c>
    </row>
    <row r="31" spans="1:6" hidden="1" x14ac:dyDescent="0.25">
      <c r="A31">
        <v>1037117</v>
      </c>
      <c r="B31">
        <v>8890963.5312760007</v>
      </c>
      <c r="C31" t="s">
        <v>340</v>
      </c>
      <c r="D31" t="s">
        <v>341</v>
      </c>
      <c r="E31" t="s">
        <v>341</v>
      </c>
      <c r="F31">
        <v>1</v>
      </c>
    </row>
    <row r="32" spans="1:6" hidden="1" x14ac:dyDescent="0.25">
      <c r="A32">
        <v>1037085</v>
      </c>
      <c r="B32">
        <v>40351701.630644001</v>
      </c>
      <c r="C32" t="s">
        <v>342</v>
      </c>
      <c r="D32" t="s">
        <v>343</v>
      </c>
      <c r="E32" t="s">
        <v>343</v>
      </c>
      <c r="F32">
        <v>1</v>
      </c>
    </row>
    <row r="33" spans="1:6" hidden="1" x14ac:dyDescent="0.25">
      <c r="A33">
        <v>2000469</v>
      </c>
      <c r="B33">
        <v>0</v>
      </c>
      <c r="C33" t="s">
        <v>90</v>
      </c>
      <c r="D33" t="s">
        <v>266</v>
      </c>
      <c r="E33" t="s">
        <v>266</v>
      </c>
      <c r="F33">
        <v>1</v>
      </c>
    </row>
    <row r="34" spans="1:6" hidden="1" x14ac:dyDescent="0.25">
      <c r="A34">
        <v>1000002861</v>
      </c>
      <c r="B34">
        <v>13097239.509880001</v>
      </c>
      <c r="C34" t="s">
        <v>513</v>
      </c>
      <c r="D34" t="s">
        <v>514</v>
      </c>
      <c r="E34" t="s">
        <v>514</v>
      </c>
      <c r="F34">
        <v>1</v>
      </c>
    </row>
    <row r="35" spans="1:6" hidden="1" x14ac:dyDescent="0.25">
      <c r="A35">
        <v>1000003291</v>
      </c>
      <c r="B35">
        <v>60779327.953492001</v>
      </c>
      <c r="C35" t="s">
        <v>515</v>
      </c>
      <c r="D35" t="s">
        <v>526</v>
      </c>
      <c r="E35" t="s">
        <v>526</v>
      </c>
      <c r="F35">
        <v>1</v>
      </c>
    </row>
    <row r="36" spans="1:6" hidden="1" x14ac:dyDescent="0.25">
      <c r="A36">
        <v>1000003292</v>
      </c>
      <c r="B36">
        <v>8581992.0128080007</v>
      </c>
      <c r="C36" t="s">
        <v>516</v>
      </c>
      <c r="D36" t="s">
        <v>527</v>
      </c>
      <c r="E36" t="s">
        <v>527</v>
      </c>
      <c r="F36">
        <v>1</v>
      </c>
    </row>
    <row r="37" spans="1:6" hidden="1" x14ac:dyDescent="0.25">
      <c r="A37">
        <v>1000003293</v>
      </c>
      <c r="B37">
        <v>31340123.241996001</v>
      </c>
      <c r="C37" t="s">
        <v>517</v>
      </c>
      <c r="D37" t="s">
        <v>528</v>
      </c>
      <c r="E37" t="s">
        <v>528</v>
      </c>
      <c r="F37">
        <v>1</v>
      </c>
    </row>
    <row r="38" spans="1:6" hidden="1" x14ac:dyDescent="0.25">
      <c r="A38">
        <v>1000003295</v>
      </c>
      <c r="B38">
        <v>82669240.862708002</v>
      </c>
      <c r="C38" t="s">
        <v>518</v>
      </c>
      <c r="D38" t="s">
        <v>530</v>
      </c>
      <c r="E38" t="s">
        <v>530</v>
      </c>
      <c r="F38">
        <v>1</v>
      </c>
    </row>
    <row r="39" spans="1:6" hidden="1" x14ac:dyDescent="0.25">
      <c r="A39">
        <v>1000003297</v>
      </c>
      <c r="B39">
        <v>10801619.469752001</v>
      </c>
      <c r="C39" t="s">
        <v>520</v>
      </c>
      <c r="D39" t="s">
        <v>532</v>
      </c>
      <c r="E39" t="s">
        <v>532</v>
      </c>
      <c r="F39">
        <v>1</v>
      </c>
    </row>
    <row r="40" spans="1:6" hidden="1" x14ac:dyDescent="0.25">
      <c r="A40">
        <v>1000003298</v>
      </c>
      <c r="B40">
        <v>26481530.031164002</v>
      </c>
      <c r="C40" t="s">
        <v>521</v>
      </c>
      <c r="D40" t="s">
        <v>533</v>
      </c>
      <c r="E40" t="s">
        <v>533</v>
      </c>
      <c r="F40">
        <v>1</v>
      </c>
    </row>
    <row r="41" spans="1:6" hidden="1" x14ac:dyDescent="0.25">
      <c r="A41">
        <v>1000003299</v>
      </c>
      <c r="B41">
        <v>96704930.350431994</v>
      </c>
      <c r="C41">
        <v>6981</v>
      </c>
      <c r="D41" t="s">
        <v>534</v>
      </c>
      <c r="E41" t="s">
        <v>534</v>
      </c>
      <c r="F41">
        <v>1</v>
      </c>
    </row>
    <row r="42" spans="1:6" hidden="1" x14ac:dyDescent="0.25">
      <c r="A42">
        <v>1000003302</v>
      </c>
      <c r="B42">
        <v>13975865.53926</v>
      </c>
      <c r="C42" t="s">
        <v>524</v>
      </c>
      <c r="D42" t="s">
        <v>537</v>
      </c>
      <c r="E42" t="s">
        <v>537</v>
      </c>
      <c r="F42">
        <v>1</v>
      </c>
    </row>
    <row r="43" spans="1:6" hidden="1" x14ac:dyDescent="0.25">
      <c r="A43">
        <v>2001049</v>
      </c>
      <c r="B43">
        <v>10750642.521645</v>
      </c>
      <c r="C43" t="s">
        <v>176</v>
      </c>
      <c r="D43" t="s">
        <v>272</v>
      </c>
      <c r="E43" t="s">
        <v>271</v>
      </c>
      <c r="F43">
        <v>6</v>
      </c>
    </row>
    <row r="44" spans="1:6" hidden="1" x14ac:dyDescent="0.25">
      <c r="A44">
        <v>2001049</v>
      </c>
      <c r="B44">
        <v>7587642.8867290001</v>
      </c>
      <c r="C44" t="s">
        <v>176</v>
      </c>
      <c r="D44" t="s">
        <v>272</v>
      </c>
      <c r="E44" t="s">
        <v>271</v>
      </c>
      <c r="F44">
        <v>15</v>
      </c>
    </row>
    <row r="45" spans="1:6" hidden="1" x14ac:dyDescent="0.25">
      <c r="A45">
        <v>2001049</v>
      </c>
      <c r="B45">
        <v>7587642.8867290001</v>
      </c>
      <c r="C45" t="s">
        <v>176</v>
      </c>
      <c r="D45" t="s">
        <v>272</v>
      </c>
      <c r="E45" t="s">
        <v>271</v>
      </c>
      <c r="F45">
        <v>15</v>
      </c>
    </row>
    <row r="64" spans="3:6" x14ac:dyDescent="0.25">
      <c r="C64">
        <v>2300</v>
      </c>
      <c r="D64" t="s">
        <v>104</v>
      </c>
      <c r="E64" t="s">
        <v>103</v>
      </c>
      <c r="F64">
        <v>0</v>
      </c>
    </row>
    <row r="65" spans="3:6" x14ac:dyDescent="0.25">
      <c r="C65" t="s">
        <v>175</v>
      </c>
      <c r="D65" t="s">
        <v>148</v>
      </c>
      <c r="E65" t="s">
        <v>148</v>
      </c>
      <c r="F65">
        <v>0</v>
      </c>
    </row>
    <row r="66" spans="3:6" x14ac:dyDescent="0.25">
      <c r="C66" t="s">
        <v>176</v>
      </c>
      <c r="D66" t="s">
        <v>272</v>
      </c>
      <c r="E66" t="s">
        <v>271</v>
      </c>
      <c r="F66">
        <v>0</v>
      </c>
    </row>
    <row r="67" spans="3:6" x14ac:dyDescent="0.25">
      <c r="C67" t="s">
        <v>177</v>
      </c>
      <c r="D67" t="s">
        <v>270</v>
      </c>
      <c r="E67" t="s">
        <v>271</v>
      </c>
      <c r="F67">
        <v>0</v>
      </c>
    </row>
    <row r="68" spans="3:6" x14ac:dyDescent="0.25">
      <c r="C68">
        <v>2779</v>
      </c>
      <c r="D68" t="s">
        <v>289</v>
      </c>
      <c r="E68" t="s">
        <v>142</v>
      </c>
      <c r="F68">
        <v>0</v>
      </c>
    </row>
    <row r="69" spans="3:6" x14ac:dyDescent="0.25">
      <c r="C69">
        <v>2779</v>
      </c>
      <c r="D69" t="s">
        <v>289</v>
      </c>
      <c r="E69" t="s">
        <v>142</v>
      </c>
      <c r="F69">
        <v>0</v>
      </c>
    </row>
    <row r="70" spans="3:6" x14ac:dyDescent="0.25">
      <c r="C70">
        <v>2779</v>
      </c>
      <c r="D70" t="s">
        <v>289</v>
      </c>
      <c r="E70" t="s">
        <v>142</v>
      </c>
      <c r="F70">
        <v>0</v>
      </c>
    </row>
    <row r="71" spans="3:6" x14ac:dyDescent="0.25">
      <c r="C71">
        <v>2779</v>
      </c>
      <c r="D71" t="s">
        <v>289</v>
      </c>
      <c r="E71" t="s">
        <v>142</v>
      </c>
      <c r="F71">
        <v>0</v>
      </c>
    </row>
    <row r="72" spans="3:6" x14ac:dyDescent="0.25">
      <c r="C72">
        <v>2779</v>
      </c>
      <c r="D72" t="s">
        <v>289</v>
      </c>
      <c r="E72" t="s">
        <v>142</v>
      </c>
      <c r="F72">
        <v>0</v>
      </c>
    </row>
    <row r="73" spans="3:6" x14ac:dyDescent="0.25">
      <c r="C73">
        <v>2779</v>
      </c>
      <c r="D73" t="s">
        <v>289</v>
      </c>
      <c r="E73" t="s">
        <v>142</v>
      </c>
      <c r="F73">
        <v>0</v>
      </c>
    </row>
    <row r="74" spans="3:6" x14ac:dyDescent="0.25">
      <c r="C74">
        <v>2779</v>
      </c>
      <c r="D74" t="s">
        <v>289</v>
      </c>
      <c r="E74" t="s">
        <v>142</v>
      </c>
      <c r="F74">
        <v>0</v>
      </c>
    </row>
    <row r="75" spans="3:6" x14ac:dyDescent="0.25">
      <c r="C75">
        <v>2779</v>
      </c>
      <c r="D75" t="s">
        <v>289</v>
      </c>
      <c r="E75" t="s">
        <v>142</v>
      </c>
      <c r="F75">
        <v>0</v>
      </c>
    </row>
    <row r="76" spans="3:6" x14ac:dyDescent="0.25">
      <c r="C76">
        <v>2001022</v>
      </c>
      <c r="D76" t="s">
        <v>280</v>
      </c>
      <c r="E76" t="s">
        <v>149</v>
      </c>
      <c r="F76">
        <v>0</v>
      </c>
    </row>
    <row r="77" spans="3:6" x14ac:dyDescent="0.25">
      <c r="C77">
        <v>2001022</v>
      </c>
      <c r="D77" t="s">
        <v>280</v>
      </c>
      <c r="E77" t="s">
        <v>149</v>
      </c>
      <c r="F77">
        <v>0</v>
      </c>
    </row>
    <row r="78" spans="3:6" x14ac:dyDescent="0.25">
      <c r="C78">
        <v>2001022</v>
      </c>
      <c r="D78" t="s">
        <v>280</v>
      </c>
      <c r="E78" t="s">
        <v>149</v>
      </c>
      <c r="F78">
        <v>0</v>
      </c>
    </row>
    <row r="79" spans="3:6" x14ac:dyDescent="0.25">
      <c r="C79">
        <v>2001022</v>
      </c>
      <c r="D79" t="s">
        <v>280</v>
      </c>
      <c r="E79" t="s">
        <v>149</v>
      </c>
      <c r="F79">
        <v>0</v>
      </c>
    </row>
    <row r="80" spans="3:6" x14ac:dyDescent="0.25">
      <c r="C80" t="s">
        <v>303</v>
      </c>
      <c r="D80" t="s">
        <v>309</v>
      </c>
      <c r="E80" t="s">
        <v>309</v>
      </c>
      <c r="F80">
        <v>2</v>
      </c>
    </row>
    <row r="81" spans="3:6" x14ac:dyDescent="0.25">
      <c r="C81" t="s">
        <v>304</v>
      </c>
      <c r="D81" t="s">
        <v>310</v>
      </c>
      <c r="E81" t="s">
        <v>310</v>
      </c>
      <c r="F81">
        <v>1</v>
      </c>
    </row>
    <row r="82" spans="3:6" x14ac:dyDescent="0.25">
      <c r="C82" t="s">
        <v>305</v>
      </c>
      <c r="D82" t="s">
        <v>308</v>
      </c>
      <c r="E82" t="s">
        <v>308</v>
      </c>
      <c r="F82">
        <v>3</v>
      </c>
    </row>
  </sheetData>
  <autoFilter ref="A1:F45" xr:uid="{00000000-0001-0000-0A00-000000000000}">
    <filterColumn colId="1">
      <customFilters>
        <customFilter operator="greaterThan" val="0"/>
      </customFilters>
    </filterColumn>
    <filterColumn colId="5">
      <filters>
        <filter val="0"/>
      </filters>
    </filterColumn>
  </autoFilter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PENDIENTES</vt:lpstr>
      <vt:lpstr>FONT</vt:lpstr>
      <vt:lpstr>CONTRATOS RK</vt:lpstr>
      <vt:lpstr>CONTRATOS MANUALES RK</vt:lpstr>
      <vt:lpstr>Contratos</vt:lpstr>
      <vt:lpstr>CatalogoContratosManuales</vt:lpstr>
      <vt:lpstr>VALUACIÓN</vt:lpstr>
      <vt:lpstr>CONTRATOSMANUALESRK</vt:lpstr>
      <vt:lpstr>CatalogoContratos</vt:lpstr>
      <vt:lpstr>ListaContratos</vt:lpstr>
      <vt:lpstr>CatalogoConfiguracion</vt:lpstr>
      <vt:lpstr>Especial</vt:lpstr>
      <vt:lpstr>Retiro</vt:lpstr>
      <vt:lpstr>Comercial</vt:lpstr>
    </vt:vector>
  </TitlesOfParts>
  <Company>Santander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n823784</dc:creator>
  <cp:lastModifiedBy>Carlos Alberto</cp:lastModifiedBy>
  <dcterms:created xsi:type="dcterms:W3CDTF">2017-03-15T23:42:22Z</dcterms:created>
  <dcterms:modified xsi:type="dcterms:W3CDTF">2024-05-08T00:33:52Z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1b88ec2-a72b-4523-9e84-0458a1764731_Enabled">
    <vt:lpwstr>true</vt:lpwstr>
  </property>
  <property fmtid="{D5CDD505-2E9C-101B-9397-08002B2CF9AE}" pid="3" name="MSIP_Label_41b88ec2-a72b-4523-9e84-0458a1764731_SetDate">
    <vt:lpwstr>2021-10-13T14:11:38Z</vt:lpwstr>
  </property>
  <property fmtid="{D5CDD505-2E9C-101B-9397-08002B2CF9AE}" pid="4" name="MSIP_Label_41b88ec2-a72b-4523-9e84-0458a1764731_Method">
    <vt:lpwstr>Privileged</vt:lpwstr>
  </property>
  <property fmtid="{D5CDD505-2E9C-101B-9397-08002B2CF9AE}" pid="5" name="MSIP_Label_41b88ec2-a72b-4523-9e84-0458a1764731_Name">
    <vt:lpwstr>Public O365</vt:lpwstr>
  </property>
  <property fmtid="{D5CDD505-2E9C-101B-9397-08002B2CF9AE}" pid="6" name="MSIP_Label_41b88ec2-a72b-4523-9e84-0458a1764731_SiteId">
    <vt:lpwstr>35595a02-4d6d-44ac-99e1-f9ab4cd872db</vt:lpwstr>
  </property>
  <property fmtid="{D5CDD505-2E9C-101B-9397-08002B2CF9AE}" pid="7" name="MSIP_Label_41b88ec2-a72b-4523-9e84-0458a1764731_ActionId">
    <vt:lpwstr>09dacb76-6d14-4b44-b9d7-bc70002297dc</vt:lpwstr>
  </property>
  <property fmtid="{D5CDD505-2E9C-101B-9397-08002B2CF9AE}" pid="8" name="MSIP_Label_41b88ec2-a72b-4523-9e84-0458a1764731_ContentBits">
    <vt:lpwstr>0</vt:lpwstr>
  </property>
</Properties>
</file>